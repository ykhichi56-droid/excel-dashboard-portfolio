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ykhic\Documents\"/>
    </mc:Choice>
  </mc:AlternateContent>
  <xr:revisionPtr revIDLastSave="0" documentId="13_ncr:1_{59501E4F-5086-4C91-94A9-D1CA75246C34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DASHBOARD" sheetId="4" r:id="rId1"/>
    <sheet name="Raw_Data" sheetId="1" r:id="rId2"/>
    <sheet name="Metrics" sheetId="2" r:id="rId3"/>
    <sheet name="Pivots" sheetId="3" r:id="rId4"/>
  </sheets>
  <definedNames>
    <definedName name="DATA1">Raw_Data!$A$1:$N$214</definedName>
  </definedNames>
  <calcPr calcId="191029"/>
  <pivotCaches>
    <pivotCache cacheId="15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2" i="2" l="1"/>
  <c r="B4" i="2" s="1"/>
  <c r="B5" i="2"/>
  <c r="B8" i="2"/>
  <c r="B7" i="2"/>
  <c r="B6" i="2"/>
  <c r="B3" i="2"/>
  <c r="B1" i="2"/>
</calcChain>
</file>

<file path=xl/sharedStrings.xml><?xml version="1.0" encoding="utf-8"?>
<sst xmlns="http://schemas.openxmlformats.org/spreadsheetml/2006/main" count="26055" uniqueCount="3637">
  <si>
    <t>Order ID</t>
  </si>
  <si>
    <t>Order Date</t>
  </si>
  <si>
    <t>Customer ID</t>
  </si>
  <si>
    <t>Customer Name</t>
  </si>
  <si>
    <t>Region</t>
  </si>
  <si>
    <t>City</t>
  </si>
  <si>
    <t>Category</t>
  </si>
  <si>
    <t>Sub Category</t>
  </si>
  <si>
    <t>Product</t>
  </si>
  <si>
    <t>Quantity</t>
  </si>
  <si>
    <t>Sales</t>
  </si>
  <si>
    <t>Discount %</t>
  </si>
  <si>
    <t>Salesperson</t>
  </si>
  <si>
    <t>Payment Mode</t>
  </si>
  <si>
    <t>ORD1002</t>
  </si>
  <si>
    <t>C802</t>
  </si>
  <si>
    <t>Arjun</t>
  </si>
  <si>
    <t>South</t>
  </si>
  <si>
    <t>Delhi</t>
  </si>
  <si>
    <t>Furniture</t>
  </si>
  <si>
    <t>Chair</t>
  </si>
  <si>
    <t>Chair 23</t>
  </si>
  <si>
    <t>Kiran</t>
  </si>
  <si>
    <t>UPI</t>
  </si>
  <si>
    <t>ORD1003</t>
  </si>
  <si>
    <t>C456</t>
  </si>
  <si>
    <t>Sneha</t>
  </si>
  <si>
    <t>North</t>
  </si>
  <si>
    <t>Pune</t>
  </si>
  <si>
    <t>Table</t>
  </si>
  <si>
    <t>Table 30</t>
  </si>
  <si>
    <t>Cash</t>
  </si>
  <si>
    <t>C996</t>
  </si>
  <si>
    <t>Riya</t>
  </si>
  <si>
    <t>East</t>
  </si>
  <si>
    <t>Table 17</t>
  </si>
  <si>
    <t>Rohit</t>
  </si>
  <si>
    <t>Card</t>
  </si>
  <si>
    <t>ORD1005</t>
  </si>
  <si>
    <t>C677</t>
  </si>
  <si>
    <t>Anjali</t>
  </si>
  <si>
    <t>West</t>
  </si>
  <si>
    <t>Electronics</t>
  </si>
  <si>
    <t>Phone</t>
  </si>
  <si>
    <t>Phone 7</t>
  </si>
  <si>
    <t>Bank Transfer</t>
  </si>
  <si>
    <t>ORD1006</t>
  </si>
  <si>
    <t>C987</t>
  </si>
  <si>
    <t xml:space="preserve">Karan </t>
  </si>
  <si>
    <t xml:space="preserve">delhi </t>
  </si>
  <si>
    <t>Phone 27</t>
  </si>
  <si>
    <t>C654</t>
  </si>
  <si>
    <t>Priya</t>
  </si>
  <si>
    <t>Office Supplies</t>
  </si>
  <si>
    <t>Paper</t>
  </si>
  <si>
    <t>Paper 6</t>
  </si>
  <si>
    <t>Pooja</t>
  </si>
  <si>
    <t>ORD1008</t>
  </si>
  <si>
    <t>C655</t>
  </si>
  <si>
    <t xml:space="preserve"> north </t>
  </si>
  <si>
    <t>Jaipur</t>
  </si>
  <si>
    <t>Laptop</t>
  </si>
  <si>
    <t>Laptop 28</t>
  </si>
  <si>
    <t>Ali</t>
  </si>
  <si>
    <t>upi</t>
  </si>
  <si>
    <t>ORD1009</t>
  </si>
  <si>
    <t>C332</t>
  </si>
  <si>
    <t>Vikas</t>
  </si>
  <si>
    <t>Laptop 27</t>
  </si>
  <si>
    <t>John</t>
  </si>
  <si>
    <t>C204</t>
  </si>
  <si>
    <t>Rahul</t>
  </si>
  <si>
    <t>SOUTH</t>
  </si>
  <si>
    <t>Paper 11</t>
  </si>
  <si>
    <t>card</t>
  </si>
  <si>
    <t>ORD1011</t>
  </si>
  <si>
    <t>C141</t>
  </si>
  <si>
    <t xml:space="preserve">Arjun </t>
  </si>
  <si>
    <t>Chair 6</t>
  </si>
  <si>
    <t>ORD1012</t>
  </si>
  <si>
    <t>C224</t>
  </si>
  <si>
    <t>Amit</t>
  </si>
  <si>
    <t>Mumbai</t>
  </si>
  <si>
    <t>Electronic</t>
  </si>
  <si>
    <t>Phone 2</t>
  </si>
  <si>
    <t>ORD1013</t>
  </si>
  <si>
    <t>C912</t>
  </si>
  <si>
    <t>Neha</t>
  </si>
  <si>
    <t>Kolkata</t>
  </si>
  <si>
    <t>Phone 4</t>
  </si>
  <si>
    <t>ORD1014</t>
  </si>
  <si>
    <t>C860</t>
  </si>
  <si>
    <t>Paper 15</t>
  </si>
  <si>
    <t>Meera</t>
  </si>
  <si>
    <t>ORD1015</t>
  </si>
  <si>
    <t>C852</t>
  </si>
  <si>
    <t>Table 27</t>
  </si>
  <si>
    <t>ORD1016</t>
  </si>
  <si>
    <t>C104</t>
  </si>
  <si>
    <t>Bengaluru</t>
  </si>
  <si>
    <t>Phone 23</t>
  </si>
  <si>
    <t>ORD1017</t>
  </si>
  <si>
    <t>C893</t>
  </si>
  <si>
    <t>Paper 17</t>
  </si>
  <si>
    <t>ORD1018</t>
  </si>
  <si>
    <t>C292</t>
  </si>
  <si>
    <t>Laptop 7</t>
  </si>
  <si>
    <t>ORD1019</t>
  </si>
  <si>
    <t>C859</t>
  </si>
  <si>
    <t>Paper 27</t>
  </si>
  <si>
    <t>10 %</t>
  </si>
  <si>
    <t>ORD1020</t>
  </si>
  <si>
    <t>C804</t>
  </si>
  <si>
    <t>Table 21</t>
  </si>
  <si>
    <t>ORD1021</t>
  </si>
  <si>
    <t>Laptop 24</t>
  </si>
  <si>
    <t>ORD1022</t>
  </si>
  <si>
    <t>C286</t>
  </si>
  <si>
    <t xml:space="preserve">Neha </t>
  </si>
  <si>
    <t>ORD1023</t>
  </si>
  <si>
    <t>C522</t>
  </si>
  <si>
    <t>Paper 26</t>
  </si>
  <si>
    <t>ORD1024</t>
  </si>
  <si>
    <t>C980</t>
  </si>
  <si>
    <t>Table 10</t>
  </si>
  <si>
    <t>ORD1025</t>
  </si>
  <si>
    <t>C505</t>
  </si>
  <si>
    <t>Chair 11</t>
  </si>
  <si>
    <t>ORD1026</t>
  </si>
  <si>
    <t>C619</t>
  </si>
  <si>
    <t>Chair 26</t>
  </si>
  <si>
    <t>C358</t>
  </si>
  <si>
    <t>Paper 1</t>
  </si>
  <si>
    <t>ORD1294</t>
  </si>
  <si>
    <t>C844</t>
  </si>
  <si>
    <t>Table 13</t>
  </si>
  <si>
    <t>ORD1029</t>
  </si>
  <si>
    <t>C934</t>
  </si>
  <si>
    <t>Chair 20</t>
  </si>
  <si>
    <t>ORD1030</t>
  </si>
  <si>
    <t>C247</t>
  </si>
  <si>
    <t>Table 20</t>
  </si>
  <si>
    <t>ORD1031</t>
  </si>
  <si>
    <t>C867</t>
  </si>
  <si>
    <t>Phone 25</t>
  </si>
  <si>
    <t>ORD1032</t>
  </si>
  <si>
    <t>C385</t>
  </si>
  <si>
    <t>Karan</t>
  </si>
  <si>
    <t>Table 19</t>
  </si>
  <si>
    <t>ORD1033</t>
  </si>
  <si>
    <t>C765</t>
  </si>
  <si>
    <t>Laptop 15</t>
  </si>
  <si>
    <t>ORD1034</t>
  </si>
  <si>
    <t>C511</t>
  </si>
  <si>
    <t>Phone 14</t>
  </si>
  <si>
    <t>ORD1035</t>
  </si>
  <si>
    <t>C596</t>
  </si>
  <si>
    <t>Phone 11</t>
  </si>
  <si>
    <t>ORD1036</t>
  </si>
  <si>
    <t>C555</t>
  </si>
  <si>
    <t>C805</t>
  </si>
  <si>
    <t xml:space="preserve">Riya </t>
  </si>
  <si>
    <t>Table 1</t>
  </si>
  <si>
    <t>C453</t>
  </si>
  <si>
    <t>Chair 8</t>
  </si>
  <si>
    <t>ORD1039</t>
  </si>
  <si>
    <t>C296</t>
  </si>
  <si>
    <t>ORD1040</t>
  </si>
  <si>
    <t>C967</t>
  </si>
  <si>
    <t xml:space="preserve">Amit </t>
  </si>
  <si>
    <t>Paper 10</t>
  </si>
  <si>
    <t>ORD1041</t>
  </si>
  <si>
    <t>C638</t>
  </si>
  <si>
    <t>Paper 25</t>
  </si>
  <si>
    <t>ORD1042</t>
  </si>
  <si>
    <t>C283</t>
  </si>
  <si>
    <t>Chair 19</t>
  </si>
  <si>
    <t>ORD1043</t>
  </si>
  <si>
    <t>C579</t>
  </si>
  <si>
    <t>Chair 30</t>
  </si>
  <si>
    <t>ORD1044</t>
  </si>
  <si>
    <t>C731</t>
  </si>
  <si>
    <t>Phone 16</t>
  </si>
  <si>
    <t>ORD1045</t>
  </si>
  <si>
    <t>C582</t>
  </si>
  <si>
    <t>Laptop 3</t>
  </si>
  <si>
    <t>C120</t>
  </si>
  <si>
    <t>Chair 7</t>
  </si>
  <si>
    <t>ORD1047</t>
  </si>
  <si>
    <t>ORD1048</t>
  </si>
  <si>
    <t>C471</t>
  </si>
  <si>
    <t>C671</t>
  </si>
  <si>
    <t xml:space="preserve">Anjali </t>
  </si>
  <si>
    <t>Chair 1</t>
  </si>
  <si>
    <t>ORD1050</t>
  </si>
  <si>
    <t>C527</t>
  </si>
  <si>
    <t>Laptop 30</t>
  </si>
  <si>
    <t>ORD1051</t>
  </si>
  <si>
    <t>C394</t>
  </si>
  <si>
    <t>ORD1052</t>
  </si>
  <si>
    <t>C553</t>
  </si>
  <si>
    <t>ORD1053</t>
  </si>
  <si>
    <t>ORD1054</t>
  </si>
  <si>
    <t>C465</t>
  </si>
  <si>
    <t>Laptop 14</t>
  </si>
  <si>
    <t>ORD1055</t>
  </si>
  <si>
    <t>C658</t>
  </si>
  <si>
    <t>Paper 23</t>
  </si>
  <si>
    <t>C838</t>
  </si>
  <si>
    <t>ORD1057</t>
  </si>
  <si>
    <t>C577</t>
  </si>
  <si>
    <t>ORD1058</t>
  </si>
  <si>
    <t>C877</t>
  </si>
  <si>
    <t>Chair 4</t>
  </si>
  <si>
    <t>Chair 9</t>
  </si>
  <si>
    <t>ORD1060</t>
  </si>
  <si>
    <t>C665</t>
  </si>
  <si>
    <t>Laptop 22</t>
  </si>
  <si>
    <t>ORD1061</t>
  </si>
  <si>
    <t>C232</t>
  </si>
  <si>
    <t>Table 7</t>
  </si>
  <si>
    <t>ORD1062</t>
  </si>
  <si>
    <t>C915</t>
  </si>
  <si>
    <t>Table 29</t>
  </si>
  <si>
    <t>ORD1063</t>
  </si>
  <si>
    <t>C928</t>
  </si>
  <si>
    <t>Chair 25</t>
  </si>
  <si>
    <t>ORD1064</t>
  </si>
  <si>
    <t>C608</t>
  </si>
  <si>
    <t>C504</t>
  </si>
  <si>
    <t>Chair 21</t>
  </si>
  <si>
    <t>ORD1066</t>
  </si>
  <si>
    <t>ORD1067</t>
  </si>
  <si>
    <t>C196</t>
  </si>
  <si>
    <t>Laptop 8</t>
  </si>
  <si>
    <t>C137</t>
  </si>
  <si>
    <t>Paper 22</t>
  </si>
  <si>
    <t>ORD1069</t>
  </si>
  <si>
    <t>C605</t>
  </si>
  <si>
    <t>Chair 28</t>
  </si>
  <si>
    <t>ORD1070</t>
  </si>
  <si>
    <t>C633</t>
  </si>
  <si>
    <t>ORD1071</t>
  </si>
  <si>
    <t>C155</t>
  </si>
  <si>
    <t>Phone 10</t>
  </si>
  <si>
    <t>ORD1072</t>
  </si>
  <si>
    <t>C657</t>
  </si>
  <si>
    <t>Laptop 20</t>
  </si>
  <si>
    <t>ORD1073</t>
  </si>
  <si>
    <t>C651</t>
  </si>
  <si>
    <t>Laptop 17</t>
  </si>
  <si>
    <t>ORD1074</t>
  </si>
  <si>
    <t>C493</t>
  </si>
  <si>
    <t>Paper 4</t>
  </si>
  <si>
    <t>Chair 22</t>
  </si>
  <si>
    <t>C246</t>
  </si>
  <si>
    <t>ORD1077</t>
  </si>
  <si>
    <t>C591</t>
  </si>
  <si>
    <t>Phone 5</t>
  </si>
  <si>
    <t>ORD1078</t>
  </si>
  <si>
    <t>C841</t>
  </si>
  <si>
    <t>Chair 16</t>
  </si>
  <si>
    <t>C835</t>
  </si>
  <si>
    <t>Chair 18</t>
  </si>
  <si>
    <t>ORD1080</t>
  </si>
  <si>
    <t>ORD1081</t>
  </si>
  <si>
    <t>C348</t>
  </si>
  <si>
    <t>Table 14</t>
  </si>
  <si>
    <t>ORD1082</t>
  </si>
  <si>
    <t>C288</t>
  </si>
  <si>
    <t>ORD1084</t>
  </si>
  <si>
    <t>C302</t>
  </si>
  <si>
    <t>Paper 5</t>
  </si>
  <si>
    <t>C251</t>
  </si>
  <si>
    <t>Phone 20</t>
  </si>
  <si>
    <t>ORD1086</t>
  </si>
  <si>
    <t>C366</t>
  </si>
  <si>
    <t>ORD1087</t>
  </si>
  <si>
    <t>C449</t>
  </si>
  <si>
    <t>ORD1088</t>
  </si>
  <si>
    <t>Chair 27</t>
  </si>
  <si>
    <t>ORD1089</t>
  </si>
  <si>
    <t>C920</t>
  </si>
  <si>
    <t>ORD1090</t>
  </si>
  <si>
    <t>C549</t>
  </si>
  <si>
    <t>Phone 22</t>
  </si>
  <si>
    <t>ORD1091</t>
  </si>
  <si>
    <t>C490</t>
  </si>
  <si>
    <t>Phone 8</t>
  </si>
  <si>
    <t>ORD1092</t>
  </si>
  <si>
    <t>C136</t>
  </si>
  <si>
    <t>ORD1093</t>
  </si>
  <si>
    <t>C132</t>
  </si>
  <si>
    <t>ORD1094</t>
  </si>
  <si>
    <t>Laptop 21</t>
  </si>
  <si>
    <t>ORD1096</t>
  </si>
  <si>
    <t>C976</t>
  </si>
  <si>
    <t>ORD1097</t>
  </si>
  <si>
    <t>C147</t>
  </si>
  <si>
    <t>ORD1098</t>
  </si>
  <si>
    <t>ORD1099</t>
  </si>
  <si>
    <t>C597</t>
  </si>
  <si>
    <t>Laptop 4</t>
  </si>
  <si>
    <t>ORD1100</t>
  </si>
  <si>
    <t>C177</t>
  </si>
  <si>
    <t>Laptop 9</t>
  </si>
  <si>
    <t>ORD1101</t>
  </si>
  <si>
    <t>C193</t>
  </si>
  <si>
    <t>Paper 16</t>
  </si>
  <si>
    <t>ORD1102</t>
  </si>
  <si>
    <t>ORD1103</t>
  </si>
  <si>
    <t>C585</t>
  </si>
  <si>
    <t>Chair 12</t>
  </si>
  <si>
    <t>ORD1104</t>
  </si>
  <si>
    <t>C391</t>
  </si>
  <si>
    <t>ORD1105</t>
  </si>
  <si>
    <t>C960</t>
  </si>
  <si>
    <t>Laptop 12</t>
  </si>
  <si>
    <t>ORD1107</t>
  </si>
  <si>
    <t>C492</t>
  </si>
  <si>
    <t>Table 16</t>
  </si>
  <si>
    <t>ORD1108</t>
  </si>
  <si>
    <t>C787</t>
  </si>
  <si>
    <t>Phone 3</t>
  </si>
  <si>
    <t>ORD1109</t>
  </si>
  <si>
    <t>C676</t>
  </si>
  <si>
    <t>Chair 2</t>
  </si>
  <si>
    <t>ORD1110</t>
  </si>
  <si>
    <t>C401</t>
  </si>
  <si>
    <t>Phone 9</t>
  </si>
  <si>
    <t>ORD1111</t>
  </si>
  <si>
    <t>C350</t>
  </si>
  <si>
    <t>C667</t>
  </si>
  <si>
    <t>Paper 28</t>
  </si>
  <si>
    <t>ORD1113</t>
  </si>
  <si>
    <t>C529</t>
  </si>
  <si>
    <t>Phone 26</t>
  </si>
  <si>
    <t>ORD1114</t>
  </si>
  <si>
    <t>C475</t>
  </si>
  <si>
    <t>Phone 21</t>
  </si>
  <si>
    <t>ORD1115</t>
  </si>
  <si>
    <t>C513</t>
  </si>
  <si>
    <t>ORD1116</t>
  </si>
  <si>
    <t>C998</t>
  </si>
  <si>
    <t>ORD1117</t>
  </si>
  <si>
    <t>C788</t>
  </si>
  <si>
    <t>ORD1118</t>
  </si>
  <si>
    <t>C573</t>
  </si>
  <si>
    <t>Phone 30</t>
  </si>
  <si>
    <t>ORD1119</t>
  </si>
  <si>
    <t>ORD1120</t>
  </si>
  <si>
    <t>ORD1121</t>
  </si>
  <si>
    <t>C417</t>
  </si>
  <si>
    <t>ORD1122</t>
  </si>
  <si>
    <t>C315</t>
  </si>
  <si>
    <t>ORD1123</t>
  </si>
  <si>
    <t>C472</t>
  </si>
  <si>
    <t>Laptop 18</t>
  </si>
  <si>
    <t>ORD1124</t>
  </si>
  <si>
    <t>C679</t>
  </si>
  <si>
    <t xml:space="preserve">Priya </t>
  </si>
  <si>
    <t>ORD1125</t>
  </si>
  <si>
    <t>C599</t>
  </si>
  <si>
    <t>ORD1126</t>
  </si>
  <si>
    <t>C383</t>
  </si>
  <si>
    <t>Phone 29</t>
  </si>
  <si>
    <t>ORD1127</t>
  </si>
  <si>
    <t>C574</t>
  </si>
  <si>
    <t>ORD1128</t>
  </si>
  <si>
    <t>C560</t>
  </si>
  <si>
    <t>Table 5</t>
  </si>
  <si>
    <t>ORD1129</t>
  </si>
  <si>
    <t>C865</t>
  </si>
  <si>
    <t>ORD1130</t>
  </si>
  <si>
    <t>Table 2</t>
  </si>
  <si>
    <t>C562</t>
  </si>
  <si>
    <t>ORD1132</t>
  </si>
  <si>
    <t>C621</t>
  </si>
  <si>
    <t xml:space="preserve">Vikas </t>
  </si>
  <si>
    <t>C284</t>
  </si>
  <si>
    <t>Phone 12</t>
  </si>
  <si>
    <t>ORD1134</t>
  </si>
  <si>
    <t>C738</t>
  </si>
  <si>
    <t>ORD1135</t>
  </si>
  <si>
    <t>C438</t>
  </si>
  <si>
    <t>Table 9</t>
  </si>
  <si>
    <t>ORD1136</t>
  </si>
  <si>
    <t>C398</t>
  </si>
  <si>
    <t>Laptop 13</t>
  </si>
  <si>
    <t>ORD1137</t>
  </si>
  <si>
    <t>C606</t>
  </si>
  <si>
    <t>Chair 10</t>
  </si>
  <si>
    <t>ORD1138</t>
  </si>
  <si>
    <t>C467</t>
  </si>
  <si>
    <t>Phone 24</t>
  </si>
  <si>
    <t>ORD1139</t>
  </si>
  <si>
    <t>C873</t>
  </si>
  <si>
    <t>ORD1140</t>
  </si>
  <si>
    <t>C301</t>
  </si>
  <si>
    <t xml:space="preserve">Sneha </t>
  </si>
  <si>
    <t>ORD1141</t>
  </si>
  <si>
    <t>C485</t>
  </si>
  <si>
    <t>Laptop 25</t>
  </si>
  <si>
    <t>C551</t>
  </si>
  <si>
    <t>ORD1143</t>
  </si>
  <si>
    <t>C440</t>
  </si>
  <si>
    <t>ORD1144</t>
  </si>
  <si>
    <t>C602</t>
  </si>
  <si>
    <t>ORD1145</t>
  </si>
  <si>
    <t>ORD1146</t>
  </si>
  <si>
    <t>C163</t>
  </si>
  <si>
    <t>ORD1147</t>
  </si>
  <si>
    <t>C683</t>
  </si>
  <si>
    <t>Paper 2</t>
  </si>
  <si>
    <t>ORD1148</t>
  </si>
  <si>
    <t>C799</t>
  </si>
  <si>
    <t>ORD1149</t>
  </si>
  <si>
    <t>C314</t>
  </si>
  <si>
    <t>ORD1150</t>
  </si>
  <si>
    <t>ORD1151</t>
  </si>
  <si>
    <t>C661</t>
  </si>
  <si>
    <t>Chair 3</t>
  </si>
  <si>
    <t>ORD1152</t>
  </si>
  <si>
    <t>C719</t>
  </si>
  <si>
    <t>Table 8</t>
  </si>
  <si>
    <t>ORD1153</t>
  </si>
  <si>
    <t>C111</t>
  </si>
  <si>
    <t>Paper 3</t>
  </si>
  <si>
    <t>ORD1154</t>
  </si>
  <si>
    <t>C425</t>
  </si>
  <si>
    <t>ORD1155</t>
  </si>
  <si>
    <t>C377</t>
  </si>
  <si>
    <t>ORD1156</t>
  </si>
  <si>
    <t>C331</t>
  </si>
  <si>
    <t>ORD1157</t>
  </si>
  <si>
    <t>C517</t>
  </si>
  <si>
    <t xml:space="preserve">Rahul </t>
  </si>
  <si>
    <t>Paper 29</t>
  </si>
  <si>
    <t>ORD1159</t>
  </si>
  <si>
    <t>C181</t>
  </si>
  <si>
    <t>Laptop 6</t>
  </si>
  <si>
    <t>ORD1160</t>
  </si>
  <si>
    <t>C101</t>
  </si>
  <si>
    <t>ORD1161</t>
  </si>
  <si>
    <t>C239</t>
  </si>
  <si>
    <t>Table 25</t>
  </si>
  <si>
    <t>ORD1162</t>
  </si>
  <si>
    <t>C387</t>
  </si>
  <si>
    <t>ORD1163</t>
  </si>
  <si>
    <t>C883</t>
  </si>
  <si>
    <t>ORD1164</t>
  </si>
  <si>
    <t>C171</t>
  </si>
  <si>
    <t>Table 15</t>
  </si>
  <si>
    <t>ORD1165</t>
  </si>
  <si>
    <t>C260</t>
  </si>
  <si>
    <t>ORD1166</t>
  </si>
  <si>
    <t>C424</t>
  </si>
  <si>
    <t>ORD1167</t>
  </si>
  <si>
    <t>C635</t>
  </si>
  <si>
    <t>ORD1168</t>
  </si>
  <si>
    <t>C116</t>
  </si>
  <si>
    <t>ORD1169</t>
  </si>
  <si>
    <t>C626</t>
  </si>
  <si>
    <t>ORD1170</t>
  </si>
  <si>
    <t>C831</t>
  </si>
  <si>
    <t>ORD1171</t>
  </si>
  <si>
    <t>C436</t>
  </si>
  <si>
    <t>Phone 18</t>
  </si>
  <si>
    <t>ORD1173</t>
  </si>
  <si>
    <t>ORD1174</t>
  </si>
  <si>
    <t>ORD1175</t>
  </si>
  <si>
    <t>C180</t>
  </si>
  <si>
    <t>Table 12</t>
  </si>
  <si>
    <t>ORD1176</t>
  </si>
  <si>
    <t>C966</t>
  </si>
  <si>
    <t>Table 6</t>
  </si>
  <si>
    <t>ORD1177</t>
  </si>
  <si>
    <t>ORD1178</t>
  </si>
  <si>
    <t>C325</t>
  </si>
  <si>
    <t>Paper 20</t>
  </si>
  <si>
    <t>ORD1179</t>
  </si>
  <si>
    <t>C557</t>
  </si>
  <si>
    <t>ORD1180</t>
  </si>
  <si>
    <t>C534</t>
  </si>
  <si>
    <t>C285</t>
  </si>
  <si>
    <t>ORD1182</t>
  </si>
  <si>
    <t>ORD1183</t>
  </si>
  <si>
    <t>C278</t>
  </si>
  <si>
    <t>Phone 28</t>
  </si>
  <si>
    <t>ORD1184</t>
  </si>
  <si>
    <t>C272</t>
  </si>
  <si>
    <t>Phone 19</t>
  </si>
  <si>
    <t>ORD1185</t>
  </si>
  <si>
    <t>C905</t>
  </si>
  <si>
    <t>Phone 17</t>
  </si>
  <si>
    <t>C578</t>
  </si>
  <si>
    <t>ORD1187</t>
  </si>
  <si>
    <t>C826</t>
  </si>
  <si>
    <t>ORD1188</t>
  </si>
  <si>
    <t>C982</t>
  </si>
  <si>
    <t>ORD1189</t>
  </si>
  <si>
    <t>C566</t>
  </si>
  <si>
    <t>ORD1190</t>
  </si>
  <si>
    <t>C849</t>
  </si>
  <si>
    <t>C416</t>
  </si>
  <si>
    <t>ORD1192</t>
  </si>
  <si>
    <t>ORD1193</t>
  </si>
  <si>
    <t>C756</t>
  </si>
  <si>
    <t>ORD1194</t>
  </si>
  <si>
    <t>C428</t>
  </si>
  <si>
    <t>ORD1195</t>
  </si>
  <si>
    <t>C411</t>
  </si>
  <si>
    <t>ORD1196</t>
  </si>
  <si>
    <t>ORD1197</t>
  </si>
  <si>
    <t>C218</t>
  </si>
  <si>
    <t>Table 11</t>
  </si>
  <si>
    <t>ORD1199</t>
  </si>
  <si>
    <t>C434</t>
  </si>
  <si>
    <t>Paper 7</t>
  </si>
  <si>
    <t>ORD1200</t>
  </si>
  <si>
    <t>C170</t>
  </si>
  <si>
    <t>ORD1201</t>
  </si>
  <si>
    <t>C567</t>
  </si>
  <si>
    <t>ORD1202</t>
  </si>
  <si>
    <t>C669</t>
  </si>
  <si>
    <t>ORD1203</t>
  </si>
  <si>
    <t>C780</t>
  </si>
  <si>
    <t>ORD1204</t>
  </si>
  <si>
    <t>C965</t>
  </si>
  <si>
    <t>Laptop 16</t>
  </si>
  <si>
    <t>ORD1205</t>
  </si>
  <si>
    <t>C880</t>
  </si>
  <si>
    <t>ORD1206</t>
  </si>
  <si>
    <t>C122</t>
  </si>
  <si>
    <t>ORD1208</t>
  </si>
  <si>
    <t>ORD1209</t>
  </si>
  <si>
    <t>C827</t>
  </si>
  <si>
    <t>ORD1210</t>
  </si>
  <si>
    <t>C810</t>
  </si>
  <si>
    <t>ORD1211</t>
  </si>
  <si>
    <t>C236</t>
  </si>
  <si>
    <t>ORD1212</t>
  </si>
  <si>
    <t>C586</t>
  </si>
  <si>
    <t>ORD1213</t>
  </si>
  <si>
    <t>C558</t>
  </si>
  <si>
    <t>ORD1214</t>
  </si>
  <si>
    <t>C265</t>
  </si>
  <si>
    <t>ORD1215</t>
  </si>
  <si>
    <t>Paper 8</t>
  </si>
  <si>
    <t>ORD1216</t>
  </si>
  <si>
    <t>C777</t>
  </si>
  <si>
    <t>ORD1217</t>
  </si>
  <si>
    <t>ORD1218</t>
  </si>
  <si>
    <t>C276</t>
  </si>
  <si>
    <t>Paper 12</t>
  </si>
  <si>
    <t>ORD1220</t>
  </si>
  <si>
    <t>Table 26</t>
  </si>
  <si>
    <t>C290</t>
  </si>
  <si>
    <t>Paper 24</t>
  </si>
  <si>
    <t>ORD1222</t>
  </si>
  <si>
    <t>C874</t>
  </si>
  <si>
    <t>ORD1223</t>
  </si>
  <si>
    <t>C803</t>
  </si>
  <si>
    <t>Chair 14</t>
  </si>
  <si>
    <t>ORD1225</t>
  </si>
  <si>
    <t>C258</t>
  </si>
  <si>
    <t>Phone 13</t>
  </si>
  <si>
    <t>ORD1226</t>
  </si>
  <si>
    <t>C388</t>
  </si>
  <si>
    <t>ORD1227</t>
  </si>
  <si>
    <t>C956</t>
  </si>
  <si>
    <t>ORD1228</t>
  </si>
  <si>
    <t>Phone 6</t>
  </si>
  <si>
    <t>ORD1229</t>
  </si>
  <si>
    <t>C127</t>
  </si>
  <si>
    <t>ORD1230</t>
  </si>
  <si>
    <t>C262</t>
  </si>
  <si>
    <t>ORD1231</t>
  </si>
  <si>
    <t>C250</t>
  </si>
  <si>
    <t>ORD1232</t>
  </si>
  <si>
    <t>C118</t>
  </si>
  <si>
    <t>ORD1233</t>
  </si>
  <si>
    <t>C639</t>
  </si>
  <si>
    <t>Chair 17</t>
  </si>
  <si>
    <t>ORD1234</t>
  </si>
  <si>
    <t>C158</t>
  </si>
  <si>
    <t>C902</t>
  </si>
  <si>
    <t>Laptop 23</t>
  </si>
  <si>
    <t>ORD1236</t>
  </si>
  <si>
    <t>C500</t>
  </si>
  <si>
    <t>ORD1237</t>
  </si>
  <si>
    <t>C612</t>
  </si>
  <si>
    <t>ORD1238</t>
  </si>
  <si>
    <t>C194</t>
  </si>
  <si>
    <t>ORD1239</t>
  </si>
  <si>
    <t>C435</t>
  </si>
  <si>
    <t>ORD1240</t>
  </si>
  <si>
    <t>C779</t>
  </si>
  <si>
    <t>ORD1241</t>
  </si>
  <si>
    <t>C528</t>
  </si>
  <si>
    <t>ORD1242</t>
  </si>
  <si>
    <t>C494</t>
  </si>
  <si>
    <t>ORD1243</t>
  </si>
  <si>
    <t>ORD1244</t>
  </si>
  <si>
    <t>ORD1245</t>
  </si>
  <si>
    <t>ORD1246</t>
  </si>
  <si>
    <t>ORD1247</t>
  </si>
  <si>
    <t>C135</t>
  </si>
  <si>
    <t>Paper 13</t>
  </si>
  <si>
    <t>C644</t>
  </si>
  <si>
    <t>ORD1249</t>
  </si>
  <si>
    <t>ORD1251</t>
  </si>
  <si>
    <t>C367</t>
  </si>
  <si>
    <t>ORD1253</t>
  </si>
  <si>
    <t>C143</t>
  </si>
  <si>
    <t>ORD1254</t>
  </si>
  <si>
    <t>C372</t>
  </si>
  <si>
    <t>ORD1255</t>
  </si>
  <si>
    <t>ORD1256</t>
  </si>
  <si>
    <t>C620</t>
  </si>
  <si>
    <t>ORD1257</t>
  </si>
  <si>
    <t>C184</t>
  </si>
  <si>
    <t>ORD1258</t>
  </si>
  <si>
    <t>C964</t>
  </si>
  <si>
    <t>ORD1259</t>
  </si>
  <si>
    <t>C745</t>
  </si>
  <si>
    <t>ORD1261</t>
  </si>
  <si>
    <t>C952</t>
  </si>
  <si>
    <t>ORD1262</t>
  </si>
  <si>
    <t>C462</t>
  </si>
  <si>
    <t>ORD1263</t>
  </si>
  <si>
    <t>ORD1264</t>
  </si>
  <si>
    <t>Laptop 2</t>
  </si>
  <si>
    <t>ORD1265</t>
  </si>
  <si>
    <t>C714</t>
  </si>
  <si>
    <t>Table 18</t>
  </si>
  <si>
    <t>ORD1266</t>
  </si>
  <si>
    <t>C395</t>
  </si>
  <si>
    <t>ORD1267</t>
  </si>
  <si>
    <t>Paper 21</t>
  </si>
  <si>
    <t>C423</t>
  </si>
  <si>
    <t>ORD1269</t>
  </si>
  <si>
    <t>C100</t>
  </si>
  <si>
    <t>ORD1270</t>
  </si>
  <si>
    <t>ORD1271</t>
  </si>
  <si>
    <t>C222</t>
  </si>
  <si>
    <t>Table 3</t>
  </si>
  <si>
    <t>C570</t>
  </si>
  <si>
    <t>ORD1273</t>
  </si>
  <si>
    <t>C961</t>
  </si>
  <si>
    <t>ORD1274</t>
  </si>
  <si>
    <t>C174</t>
  </si>
  <si>
    <t>Phone 15</t>
  </si>
  <si>
    <t>ORD1275</t>
  </si>
  <si>
    <t>C316</t>
  </si>
  <si>
    <t>ORD1277</t>
  </si>
  <si>
    <t>C270</t>
  </si>
  <si>
    <t>ORD1279</t>
  </si>
  <si>
    <t>C686</t>
  </si>
  <si>
    <t>C306</t>
  </si>
  <si>
    <t>ORD1281</t>
  </si>
  <si>
    <t>C878</t>
  </si>
  <si>
    <t>ORD1282</t>
  </si>
  <si>
    <t>C289</t>
  </si>
  <si>
    <t>ORD1283</t>
  </si>
  <si>
    <t>ORD1284</t>
  </si>
  <si>
    <t>C771</t>
  </si>
  <si>
    <t>Laptop 1</t>
  </si>
  <si>
    <t>ORD1285</t>
  </si>
  <si>
    <t>C499</t>
  </si>
  <si>
    <t>ORD1286</t>
  </si>
  <si>
    <t>ORD1287</t>
  </si>
  <si>
    <t>ORD1288</t>
  </si>
  <si>
    <t>C571</t>
  </si>
  <si>
    <t>ORD1289</t>
  </si>
  <si>
    <t>C281</t>
  </si>
  <si>
    <t>ORD1290</t>
  </si>
  <si>
    <t>C611</t>
  </si>
  <si>
    <t>ORD1291</t>
  </si>
  <si>
    <t>C343</t>
  </si>
  <si>
    <t>ORD1292</t>
  </si>
  <si>
    <t>C712</t>
  </si>
  <si>
    <t>C609</t>
  </si>
  <si>
    <t>C352</t>
  </si>
  <si>
    <t>ORD1295</t>
  </si>
  <si>
    <t>C495</t>
  </si>
  <si>
    <t>ORD1297</t>
  </si>
  <si>
    <t>ORD1298</t>
  </si>
  <si>
    <t>C413</t>
  </si>
  <si>
    <t>ORD1299</t>
  </si>
  <si>
    <t>C359</t>
  </si>
  <si>
    <t>ORD1300</t>
  </si>
  <si>
    <t>C322</t>
  </si>
  <si>
    <t>Table 23</t>
  </si>
  <si>
    <t>C861</t>
  </si>
  <si>
    <t>ORD1302</t>
  </si>
  <si>
    <t>C293</t>
  </si>
  <si>
    <t>ORD1303</t>
  </si>
  <si>
    <t>ORD1304</t>
  </si>
  <si>
    <t>C663</t>
  </si>
  <si>
    <t>ORD1306</t>
  </si>
  <si>
    <t>C997</t>
  </si>
  <si>
    <t>ORD1307</t>
  </si>
  <si>
    <t>C740</t>
  </si>
  <si>
    <t>Phone 1</t>
  </si>
  <si>
    <t>ORD1308</t>
  </si>
  <si>
    <t>C547</t>
  </si>
  <si>
    <t>ORD1309</t>
  </si>
  <si>
    <t>ORD1310</t>
  </si>
  <si>
    <t>C515</t>
  </si>
  <si>
    <t>ORD1311</t>
  </si>
  <si>
    <t>C496</t>
  </si>
  <si>
    <t>ORD1312</t>
  </si>
  <si>
    <t>C742</t>
  </si>
  <si>
    <t>ORD1313</t>
  </si>
  <si>
    <t>ORD1314</t>
  </si>
  <si>
    <t>C733</t>
  </si>
  <si>
    <t>ORD1315</t>
  </si>
  <si>
    <t>C389</t>
  </si>
  <si>
    <t>ORD1316</t>
  </si>
  <si>
    <t>C694</t>
  </si>
  <si>
    <t>ORD1317</t>
  </si>
  <si>
    <t>C209</t>
  </si>
  <si>
    <t>ORD1318</t>
  </si>
  <si>
    <t>C279</t>
  </si>
  <si>
    <t>Laptop 19</t>
  </si>
  <si>
    <t>ORD1319</t>
  </si>
  <si>
    <t>C373</t>
  </si>
  <si>
    <t>ORD1320</t>
  </si>
  <si>
    <t>C469</t>
  </si>
  <si>
    <t>ORD1321</t>
  </si>
  <si>
    <t>Chair 15</t>
  </si>
  <si>
    <t>ORD1322</t>
  </si>
  <si>
    <t>C340</t>
  </si>
  <si>
    <t>ORD1323</t>
  </si>
  <si>
    <t>C538</t>
  </si>
  <si>
    <t>ORD1324</t>
  </si>
  <si>
    <t>C197</t>
  </si>
  <si>
    <t>ORD1325</t>
  </si>
  <si>
    <t>C310</t>
  </si>
  <si>
    <t>ORD1326</t>
  </si>
  <si>
    <t>C502</t>
  </si>
  <si>
    <t>ORD1327</t>
  </si>
  <si>
    <t>C992</t>
  </si>
  <si>
    <t>ORD1328</t>
  </si>
  <si>
    <t>C610</t>
  </si>
  <si>
    <t>ORD1329</t>
  </si>
  <si>
    <t>C223</t>
  </si>
  <si>
    <t>ORD1330</t>
  </si>
  <si>
    <t>C399</t>
  </si>
  <si>
    <t>ORD1331</t>
  </si>
  <si>
    <t>C526</t>
  </si>
  <si>
    <t>ORD1332</t>
  </si>
  <si>
    <t>C525</t>
  </si>
  <si>
    <t>ORD1333</t>
  </si>
  <si>
    <t>C439</t>
  </si>
  <si>
    <t>ORD1334</t>
  </si>
  <si>
    <t>C410</t>
  </si>
  <si>
    <t>ORD1335</t>
  </si>
  <si>
    <t>C486</t>
  </si>
  <si>
    <t>ORD1336</t>
  </si>
  <si>
    <t>ORD1337</t>
  </si>
  <si>
    <t>ORD1338</t>
  </si>
  <si>
    <t>ORD1339</t>
  </si>
  <si>
    <t>C461</t>
  </si>
  <si>
    <t>C593</t>
  </si>
  <si>
    <t>ORD1341</t>
  </si>
  <si>
    <t>C744</t>
  </si>
  <si>
    <t>ORD1342</t>
  </si>
  <si>
    <t>ORD1343</t>
  </si>
  <si>
    <t>C640</t>
  </si>
  <si>
    <t>ORD1344</t>
  </si>
  <si>
    <t>C786</t>
  </si>
  <si>
    <t>ORD1345</t>
  </si>
  <si>
    <t>C161</t>
  </si>
  <si>
    <t>ORD1346</t>
  </si>
  <si>
    <t>C255</t>
  </si>
  <si>
    <t>ORD1347</t>
  </si>
  <si>
    <t>C853</t>
  </si>
  <si>
    <t>C629</t>
  </si>
  <si>
    <t>ORD1349</t>
  </si>
  <si>
    <t>C792</t>
  </si>
  <si>
    <t>ORD1350</t>
  </si>
  <si>
    <t>C406</t>
  </si>
  <si>
    <t>ORD1351</t>
  </si>
  <si>
    <t>C698</t>
  </si>
  <si>
    <t>ORD1352</t>
  </si>
  <si>
    <t>C271</t>
  </si>
  <si>
    <t>Chair 29</t>
  </si>
  <si>
    <t>ORD1353</t>
  </si>
  <si>
    <t>C530</t>
  </si>
  <si>
    <t>ORD1354</t>
  </si>
  <si>
    <t>ORD1355</t>
  </si>
  <si>
    <t>C881</t>
  </si>
  <si>
    <t>ORD1356</t>
  </si>
  <si>
    <t>C157</t>
  </si>
  <si>
    <t>ORD1357</t>
  </si>
  <si>
    <t>C378</t>
  </si>
  <si>
    <t>ORD1358</t>
  </si>
  <si>
    <t>ORD1359</t>
  </si>
  <si>
    <t>C357</t>
  </si>
  <si>
    <t>Chair 13</t>
  </si>
  <si>
    <t>ORD1361</t>
  </si>
  <si>
    <t>C508</t>
  </si>
  <si>
    <t>ORD1362</t>
  </si>
  <si>
    <t>ORD1363</t>
  </si>
  <si>
    <t>C857</t>
  </si>
  <si>
    <t>ORD1364</t>
  </si>
  <si>
    <t>C863</t>
  </si>
  <si>
    <t>ORD1365</t>
  </si>
  <si>
    <t>ORD1366</t>
  </si>
  <si>
    <t>C318</t>
  </si>
  <si>
    <t>ORD1367</t>
  </si>
  <si>
    <t>C768</t>
  </si>
  <si>
    <t>ORD1368</t>
  </si>
  <si>
    <t>C680</t>
  </si>
  <si>
    <t>ORD1369</t>
  </si>
  <si>
    <t>C313</t>
  </si>
  <si>
    <t>ORD1370</t>
  </si>
  <si>
    <t>C726</t>
  </si>
  <si>
    <t>ORD1371</t>
  </si>
  <si>
    <t>C812</t>
  </si>
  <si>
    <t>ORD1372</t>
  </si>
  <si>
    <t>C488</t>
  </si>
  <si>
    <t>ORD1373</t>
  </si>
  <si>
    <t>C397</t>
  </si>
  <si>
    <t>ORD1374</t>
  </si>
  <si>
    <t>C993</t>
  </si>
  <si>
    <t>ORD1375</t>
  </si>
  <si>
    <t>C561</t>
  </si>
  <si>
    <t>Table 28</t>
  </si>
  <si>
    <t>C755</t>
  </si>
  <si>
    <t>ORD1377</t>
  </si>
  <si>
    <t>Laptop 29</t>
  </si>
  <si>
    <t>ORD1378</t>
  </si>
  <si>
    <t>C178</t>
  </si>
  <si>
    <t>ORD1379</t>
  </si>
  <si>
    <t>C217</t>
  </si>
  <si>
    <t>ORD1380</t>
  </si>
  <si>
    <t>C631</t>
  </si>
  <si>
    <t>ORD1381</t>
  </si>
  <si>
    <t>C371</t>
  </si>
  <si>
    <t>ORD1382</t>
  </si>
  <si>
    <t>C185</t>
  </si>
  <si>
    <t>ORD1383</t>
  </si>
  <si>
    <t>C978</t>
  </si>
  <si>
    <t>ORD1384</t>
  </si>
  <si>
    <t>ORD1385</t>
  </si>
  <si>
    <t>ORD1386</t>
  </si>
  <si>
    <t>C989</t>
  </si>
  <si>
    <t>ORD1387</t>
  </si>
  <si>
    <t>ORD1388</t>
  </si>
  <si>
    <t>C130</t>
  </si>
  <si>
    <t>ORD1389</t>
  </si>
  <si>
    <t>C836</t>
  </si>
  <si>
    <t>ORD1390</t>
  </si>
  <si>
    <t>C656</t>
  </si>
  <si>
    <t>ORD1391</t>
  </si>
  <si>
    <t>C871</t>
  </si>
  <si>
    <t>ORD1392</t>
  </si>
  <si>
    <t>C429</t>
  </si>
  <si>
    <t>ORD1393</t>
  </si>
  <si>
    <t>ORD1394</t>
  </si>
  <si>
    <t>Laptop 10</t>
  </si>
  <si>
    <t>ORD1395</t>
  </si>
  <si>
    <t>ORD1396</t>
  </si>
  <si>
    <t>ORD1397</t>
  </si>
  <si>
    <t>C447</t>
  </si>
  <si>
    <t>ORD1398</t>
  </si>
  <si>
    <t>ORD1399</t>
  </si>
  <si>
    <t>C311</t>
  </si>
  <si>
    <t>ORD1400</t>
  </si>
  <si>
    <t>C235</t>
  </si>
  <si>
    <t>C688</t>
  </si>
  <si>
    <t>ORD1402</t>
  </si>
  <si>
    <t>ORD1403</t>
  </si>
  <si>
    <t>C845</t>
  </si>
  <si>
    <t>ORD1404</t>
  </si>
  <si>
    <t>C659</t>
  </si>
  <si>
    <t>C448</t>
  </si>
  <si>
    <t>ORD1406</t>
  </si>
  <si>
    <t>ORD1407</t>
  </si>
  <si>
    <t>C186</t>
  </si>
  <si>
    <t>ORD1408</t>
  </si>
  <si>
    <t>C868</t>
  </si>
  <si>
    <t>Table 24</t>
  </si>
  <si>
    <t>ORD1409</t>
  </si>
  <si>
    <t>C330</t>
  </si>
  <si>
    <t>ORD1410</t>
  </si>
  <si>
    <t>C806</t>
  </si>
  <si>
    <t>ORD1411</t>
  </si>
  <si>
    <t>C172</t>
  </si>
  <si>
    <t>ORD1412</t>
  </si>
  <si>
    <t>ORD1413</t>
  </si>
  <si>
    <t>C951</t>
  </si>
  <si>
    <t>ORD1414</t>
  </si>
  <si>
    <t>ORD1415</t>
  </si>
  <si>
    <t>ORD1416</t>
  </si>
  <si>
    <t>ORD1417</t>
  </si>
  <si>
    <t>ORD1418</t>
  </si>
  <si>
    <t>C519</t>
  </si>
  <si>
    <t>ORD1419</t>
  </si>
  <si>
    <t>C464</t>
  </si>
  <si>
    <t>ORD1420</t>
  </si>
  <si>
    <t>ORD1421</t>
  </si>
  <si>
    <t>ORD1422</t>
  </si>
  <si>
    <t>C233</t>
  </si>
  <si>
    <t>ORD1423</t>
  </si>
  <si>
    <t>C879</t>
  </si>
  <si>
    <t>C847</t>
  </si>
  <si>
    <t>C117</t>
  </si>
  <si>
    <t>ORD1426</t>
  </si>
  <si>
    <t>C206</t>
  </si>
  <si>
    <t>ORD1427</t>
  </si>
  <si>
    <t>ORD1428</t>
  </si>
  <si>
    <t>C949</t>
  </si>
  <si>
    <t>ORD1429</t>
  </si>
  <si>
    <t>C862</t>
  </si>
  <si>
    <t>ORD1430</t>
  </si>
  <si>
    <t>ORD1431</t>
  </si>
  <si>
    <t>C153</t>
  </si>
  <si>
    <t>ORD1432</t>
  </si>
  <si>
    <t>C162</t>
  </si>
  <si>
    <t>ORD1433</t>
  </si>
  <si>
    <t>C643</t>
  </si>
  <si>
    <t>ORD1434</t>
  </si>
  <si>
    <t>C243</t>
  </si>
  <si>
    <t>ORD1435</t>
  </si>
  <si>
    <t>Chair 24</t>
  </si>
  <si>
    <t>ORD1436</t>
  </si>
  <si>
    <t>ORD1437</t>
  </si>
  <si>
    <t>C234</t>
  </si>
  <si>
    <t>ORD1438</t>
  </si>
  <si>
    <t>C384</t>
  </si>
  <si>
    <t>C535</t>
  </si>
  <si>
    <t>ORD1440</t>
  </si>
  <si>
    <t>ORD1441</t>
  </si>
  <si>
    <t>ORD1442</t>
  </si>
  <si>
    <t>C131</t>
  </si>
  <si>
    <t>ORD1443</t>
  </si>
  <si>
    <t>ORD1444</t>
  </si>
  <si>
    <t>ORD1445</t>
  </si>
  <si>
    <t>C421</t>
  </si>
  <si>
    <t>C237</t>
  </si>
  <si>
    <t>ORD1447</t>
  </si>
  <si>
    <t>C614</t>
  </si>
  <si>
    <t>Paper 30</t>
  </si>
  <si>
    <t>C624</t>
  </si>
  <si>
    <t>ORD1449</t>
  </si>
  <si>
    <t>C382</t>
  </si>
  <si>
    <t>ORD1450</t>
  </si>
  <si>
    <t>C752</t>
  </si>
  <si>
    <t>ORD1451</t>
  </si>
  <si>
    <t>C563</t>
  </si>
  <si>
    <t>ORD1453</t>
  </si>
  <si>
    <t>C333</t>
  </si>
  <si>
    <t>ORD1454</t>
  </si>
  <si>
    <t>ORD1455</t>
  </si>
  <si>
    <t>C498</t>
  </si>
  <si>
    <t>ORD1456</t>
  </si>
  <si>
    <t>C200</t>
  </si>
  <si>
    <t>ORD1458</t>
  </si>
  <si>
    <t>C807</t>
  </si>
  <si>
    <t>ORD1459</t>
  </si>
  <si>
    <t>C825</t>
  </si>
  <si>
    <t>C766</t>
  </si>
  <si>
    <t>ORD1462</t>
  </si>
  <si>
    <t>C687</t>
  </si>
  <si>
    <t>ORD1463</t>
  </si>
  <si>
    <t>C248</t>
  </si>
  <si>
    <t>ORD1464</t>
  </si>
  <si>
    <t>C757</t>
  </si>
  <si>
    <t>ORD1466</t>
  </si>
  <si>
    <t>ORD1467</t>
  </si>
  <si>
    <t>C647</t>
  </si>
  <si>
    <t>ORD1468</t>
  </si>
  <si>
    <t>ORD1469</t>
  </si>
  <si>
    <t>C412</t>
  </si>
  <si>
    <t>ORD1470</t>
  </si>
  <si>
    <t>C419</t>
  </si>
  <si>
    <t>ORD1471</t>
  </si>
  <si>
    <t>C291</t>
  </si>
  <si>
    <t>ORD1472</t>
  </si>
  <si>
    <t>ORD1473</t>
  </si>
  <si>
    <t>C616</t>
  </si>
  <si>
    <t>ORD1474</t>
  </si>
  <si>
    <t>C895</t>
  </si>
  <si>
    <t>ORD1475</t>
  </si>
  <si>
    <t>C339</t>
  </si>
  <si>
    <t>ORD1477</t>
  </si>
  <si>
    <t>C896</t>
  </si>
  <si>
    <t>ORD1478</t>
  </si>
  <si>
    <t>C317</t>
  </si>
  <si>
    <t>ORD1479</t>
  </si>
  <si>
    <t>ORD1481</t>
  </si>
  <si>
    <t>C728</t>
  </si>
  <si>
    <t>ORD1482</t>
  </si>
  <si>
    <t>ORD1483</t>
  </si>
  <si>
    <t>C793</t>
  </si>
  <si>
    <t>ORD1484</t>
  </si>
  <si>
    <t>ORD1485</t>
  </si>
  <si>
    <t>C908</t>
  </si>
  <si>
    <t>ORD1486</t>
  </si>
  <si>
    <t>ORD1487</t>
  </si>
  <si>
    <t>C487</t>
  </si>
  <si>
    <t>ORD1488</t>
  </si>
  <si>
    <t>ORD1489</t>
  </si>
  <si>
    <t>C876</t>
  </si>
  <si>
    <t>ORD1490</t>
  </si>
  <si>
    <t>C546</t>
  </si>
  <si>
    <t>ORD1491</t>
  </si>
  <si>
    <t>Laptop 26</t>
  </si>
  <si>
    <t>ORD1492</t>
  </si>
  <si>
    <t>C832</t>
  </si>
  <si>
    <t>ORD1493</t>
  </si>
  <si>
    <t>C323</t>
  </si>
  <si>
    <t>ORD1494</t>
  </si>
  <si>
    <t>C420</t>
  </si>
  <si>
    <t>ORD1495</t>
  </si>
  <si>
    <t>ORD1496</t>
  </si>
  <si>
    <t>Laptop 5</t>
  </si>
  <si>
    <t>C277</t>
  </si>
  <si>
    <t>ORD1498</t>
  </si>
  <si>
    <t>C897</t>
  </si>
  <si>
    <t>ORD1499</t>
  </si>
  <si>
    <t>C937</t>
  </si>
  <si>
    <t>ORD1500</t>
  </si>
  <si>
    <t>C711</t>
  </si>
  <si>
    <t>ORD1502</t>
  </si>
  <si>
    <t>C347</t>
  </si>
  <si>
    <t>ORD1503</t>
  </si>
  <si>
    <t>C668</t>
  </si>
  <si>
    <t>ORD1504</t>
  </si>
  <si>
    <t>ORD1505</t>
  </si>
  <si>
    <t>C850</t>
  </si>
  <si>
    <t>C890</t>
  </si>
  <si>
    <t>ORD1507</t>
  </si>
  <si>
    <t>C829</t>
  </si>
  <si>
    <t>ORD1508</t>
  </si>
  <si>
    <t>C151</t>
  </si>
  <si>
    <t>ORD1509</t>
  </si>
  <si>
    <t>ORD1510</t>
  </si>
  <si>
    <t>ORD1511</t>
  </si>
  <si>
    <t>ORD1512</t>
  </si>
  <si>
    <t>ORD1513</t>
  </si>
  <si>
    <t>ORD1514</t>
  </si>
  <si>
    <t>C240</t>
  </si>
  <si>
    <t>ORD1516</t>
  </si>
  <si>
    <t>C506</t>
  </si>
  <si>
    <t>ORD1517</t>
  </si>
  <si>
    <t>C362</t>
  </si>
  <si>
    <t>ORD1518</t>
  </si>
  <si>
    <t>C533</t>
  </si>
  <si>
    <t>Paper 14</t>
  </si>
  <si>
    <t>ORD1519</t>
  </si>
  <si>
    <t>C227</t>
  </si>
  <si>
    <t>ORD1520</t>
  </si>
  <si>
    <t>ORD1521</t>
  </si>
  <si>
    <t>C123</t>
  </si>
  <si>
    <t>ORD1522</t>
  </si>
  <si>
    <t>C753</t>
  </si>
  <si>
    <t>ORD1523</t>
  </si>
  <si>
    <t>C797</t>
  </si>
  <si>
    <t>ORD1524</t>
  </si>
  <si>
    <t>C642</t>
  </si>
  <si>
    <t>C985</t>
  </si>
  <si>
    <t>Paper 19</t>
  </si>
  <si>
    <t>ORD1526</t>
  </si>
  <si>
    <t>ORD1527</t>
  </si>
  <si>
    <t>C483</t>
  </si>
  <si>
    <t>ORD1529</t>
  </si>
  <si>
    <t>C375</t>
  </si>
  <si>
    <t>ORD1530</t>
  </si>
  <si>
    <t>C403</t>
  </si>
  <si>
    <t>ORD1531</t>
  </si>
  <si>
    <t>ORD1532</t>
  </si>
  <si>
    <t>C305</t>
  </si>
  <si>
    <t>ORD1533</t>
  </si>
  <si>
    <t>ORD1534</t>
  </si>
  <si>
    <t>ORD1535</t>
  </si>
  <si>
    <t>C932</t>
  </si>
  <si>
    <t>ORD1536</t>
  </si>
  <si>
    <t>ORD1537</t>
  </si>
  <si>
    <t>C900</t>
  </si>
  <si>
    <t>ORD1538</t>
  </si>
  <si>
    <t>C523</t>
  </si>
  <si>
    <t>ORD1539</t>
  </si>
  <si>
    <t>ORD1540</t>
  </si>
  <si>
    <t>ORD1542</t>
  </si>
  <si>
    <t>ORD1543</t>
  </si>
  <si>
    <t>ORD1544</t>
  </si>
  <si>
    <t>C328</t>
  </si>
  <si>
    <t>ORD1545</t>
  </si>
  <si>
    <t>ORD1546</t>
  </si>
  <si>
    <t>C554</t>
  </si>
  <si>
    <t>ORD1547</t>
  </si>
  <si>
    <t>Laptop 11</t>
  </si>
  <si>
    <t>ORD1549</t>
  </si>
  <si>
    <t>C363</t>
  </si>
  <si>
    <t>ORD1550</t>
  </si>
  <si>
    <t>ORD1551</t>
  </si>
  <si>
    <t>C730</t>
  </si>
  <si>
    <t>ORD1552</t>
  </si>
  <si>
    <t>C548</t>
  </si>
  <si>
    <t>ORD1553</t>
  </si>
  <si>
    <t>ORD1556</t>
  </si>
  <si>
    <t>ORD1557</t>
  </si>
  <si>
    <t>ORD1558</t>
  </si>
  <si>
    <t>C615</t>
  </si>
  <si>
    <t>ORD1559</t>
  </si>
  <si>
    <t>C214</t>
  </si>
  <si>
    <t>ORD1560</t>
  </si>
  <si>
    <t>C645</t>
  </si>
  <si>
    <t>ORD1562</t>
  </si>
  <si>
    <t>ORD1564</t>
  </si>
  <si>
    <t>C678</t>
  </si>
  <si>
    <t>ORD1565</t>
  </si>
  <si>
    <t>C796</t>
  </si>
  <si>
    <t>ORD1566</t>
  </si>
  <si>
    <t>C590</t>
  </si>
  <si>
    <t>C933</t>
  </si>
  <si>
    <t>ORD1568</t>
  </si>
  <si>
    <t>ORD1569</t>
  </si>
  <si>
    <t>ORD1570</t>
  </si>
  <si>
    <t>ORD1571</t>
  </si>
  <si>
    <t>ORD1572</t>
  </si>
  <si>
    <t>C433</t>
  </si>
  <si>
    <t>ORD1573</t>
  </si>
  <si>
    <t>ORD1575</t>
  </si>
  <si>
    <t>ORD1576</t>
  </si>
  <si>
    <t>C931</t>
  </si>
  <si>
    <t>ORD1577</t>
  </si>
  <si>
    <t>C618</t>
  </si>
  <si>
    <t>ORD1579</t>
  </si>
  <si>
    <t>ORD1580</t>
  </si>
  <si>
    <t>C817</t>
  </si>
  <si>
    <t>ORD1581</t>
  </si>
  <si>
    <t>ORD1583</t>
  </si>
  <si>
    <t>ORD1584</t>
  </si>
  <si>
    <t>ORD1585</t>
  </si>
  <si>
    <t>C983</t>
  </si>
  <si>
    <t>ORD1586</t>
  </si>
  <si>
    <t>C938</t>
  </si>
  <si>
    <t>C516</t>
  </si>
  <si>
    <t>ORD1588</t>
  </si>
  <si>
    <t>C497</t>
  </si>
  <si>
    <t>ORD1589</t>
  </si>
  <si>
    <t>C210</t>
  </si>
  <si>
    <t>ORD1590</t>
  </si>
  <si>
    <t>C183</t>
  </si>
  <si>
    <t>ORD1591</t>
  </si>
  <si>
    <t>C257</t>
  </si>
  <si>
    <t>C798</t>
  </si>
  <si>
    <t>ORD1593</t>
  </si>
  <si>
    <t>ORD1594</t>
  </si>
  <si>
    <t>ORD1596</t>
  </si>
  <si>
    <t>ORD1597</t>
  </si>
  <si>
    <t>C888</t>
  </si>
  <si>
    <t>C568</t>
  </si>
  <si>
    <t>ORD1599</t>
  </si>
  <si>
    <t>C376</t>
  </si>
  <si>
    <t>ORD1600</t>
  </si>
  <si>
    <t>ORD1601</t>
  </si>
  <si>
    <t>C628</t>
  </si>
  <si>
    <t>ORD1602</t>
  </si>
  <si>
    <t>C904</t>
  </si>
  <si>
    <t>ORD1604</t>
  </si>
  <si>
    <t>C134</t>
  </si>
  <si>
    <t>ORD1606</t>
  </si>
  <si>
    <t>C446</t>
  </si>
  <si>
    <t>ORD1607</t>
  </si>
  <si>
    <t>ORD1608</t>
  </si>
  <si>
    <t>ORD1609</t>
  </si>
  <si>
    <t>C903</t>
  </si>
  <si>
    <t>ORD1610</t>
  </si>
  <si>
    <t>C160</t>
  </si>
  <si>
    <t>ORD1611</t>
  </si>
  <si>
    <t>ORD1612</t>
  </si>
  <si>
    <t>C298</t>
  </si>
  <si>
    <t>ORD1614</t>
  </si>
  <si>
    <t>C580</t>
  </si>
  <si>
    <t>ORD1615</t>
  </si>
  <si>
    <t>C169</t>
  </si>
  <si>
    <t>ORD1616</t>
  </si>
  <si>
    <t>ORD1617</t>
  </si>
  <si>
    <t>ORD1618</t>
  </si>
  <si>
    <t>C906</t>
  </si>
  <si>
    <t>ORD1619</t>
  </si>
  <si>
    <t>ORD1620</t>
  </si>
  <si>
    <t>C150</t>
  </si>
  <si>
    <t>ORD1621</t>
  </si>
  <si>
    <t>C824</t>
  </si>
  <si>
    <t>ORD1622</t>
  </si>
  <si>
    <t>ORD1623</t>
  </si>
  <si>
    <t>C182</t>
  </si>
  <si>
    <t>ORD1624</t>
  </si>
  <si>
    <t>ORD1625</t>
  </si>
  <si>
    <t>ORD1626</t>
  </si>
  <si>
    <t>C791</t>
  </si>
  <si>
    <t>ORD1627</t>
  </si>
  <si>
    <t>C971</t>
  </si>
  <si>
    <t>ORD1628</t>
  </si>
  <si>
    <t>C408</t>
  </si>
  <si>
    <t>ORD1629</t>
  </si>
  <si>
    <t>ORD1630</t>
  </si>
  <si>
    <t>ORD1631</t>
  </si>
  <si>
    <t>ORD1632</t>
  </si>
  <si>
    <t>ORD1633</t>
  </si>
  <si>
    <t>C478</t>
  </si>
  <si>
    <t>ORD1634</t>
  </si>
  <si>
    <t>ORD1635</t>
  </si>
  <si>
    <t>ORD1636</t>
  </si>
  <si>
    <t>C360</t>
  </si>
  <si>
    <t>ORD1638</t>
  </si>
  <si>
    <t>C264</t>
  </si>
  <si>
    <t>Table 4</t>
  </si>
  <si>
    <t>ORD1639</t>
  </si>
  <si>
    <t>ORD1640</t>
  </si>
  <si>
    <t>C308</t>
  </si>
  <si>
    <t>ORD1641</t>
  </si>
  <si>
    <t>C936</t>
  </si>
  <si>
    <t>ORD1642</t>
  </si>
  <si>
    <t>C565</t>
  </si>
  <si>
    <t>ORD1643</t>
  </si>
  <si>
    <t>ORD1644</t>
  </si>
  <si>
    <t>ORD1645</t>
  </si>
  <si>
    <t>ORD1646</t>
  </si>
  <si>
    <t>C634</t>
  </si>
  <si>
    <t>ORD1649</t>
  </si>
  <si>
    <t>C988</t>
  </si>
  <si>
    <t>ORD1650</t>
  </si>
  <si>
    <t>ORD1653</t>
  </si>
  <si>
    <t>ORD1654</t>
  </si>
  <si>
    <t>C637</t>
  </si>
  <si>
    <t>Chair 5</t>
  </si>
  <si>
    <t>ORD1656</t>
  </si>
  <si>
    <t>ORD1657</t>
  </si>
  <si>
    <t>C473</t>
  </si>
  <si>
    <t>ORD1659</t>
  </si>
  <si>
    <t>C491</t>
  </si>
  <si>
    <t>ORD1660</t>
  </si>
  <si>
    <t>C674</t>
  </si>
  <si>
    <t>ORD1661</t>
  </si>
  <si>
    <t>C564</t>
  </si>
  <si>
    <t>ORD1662</t>
  </si>
  <si>
    <t>C207</t>
  </si>
  <si>
    <t>ORD1663</t>
  </si>
  <si>
    <t>C784</t>
  </si>
  <si>
    <t>ORD1666</t>
  </si>
  <si>
    <t>ORD1667</t>
  </si>
  <si>
    <t>C338</t>
  </si>
  <si>
    <t>ORD1668</t>
  </si>
  <si>
    <t>C119</t>
  </si>
  <si>
    <t>C923</t>
  </si>
  <si>
    <t>ORD1670</t>
  </si>
  <si>
    <t>C950</t>
  </si>
  <si>
    <t>ORD1671</t>
  </si>
  <si>
    <t>C138</t>
  </si>
  <si>
    <t>ORD1672</t>
  </si>
  <si>
    <t>C587</t>
  </si>
  <si>
    <t>ORD1673</t>
  </si>
  <si>
    <t>C205</t>
  </si>
  <si>
    <t>ORD1674</t>
  </si>
  <si>
    <t>ORD1676</t>
  </si>
  <si>
    <t>C105</t>
  </si>
  <si>
    <t>ORD1677</t>
  </si>
  <si>
    <t>ORD1678</t>
  </si>
  <si>
    <t>C886</t>
  </si>
  <si>
    <t>ORD1679</t>
  </si>
  <si>
    <t>ORD1680</t>
  </si>
  <si>
    <t>ORD1681</t>
  </si>
  <si>
    <t>ORD1682</t>
  </si>
  <si>
    <t>Paper 9</t>
  </si>
  <si>
    <t>ORD1683</t>
  </si>
  <si>
    <t>C245</t>
  </si>
  <si>
    <t>ORD1684</t>
  </si>
  <si>
    <t>C414</t>
  </si>
  <si>
    <t>ORD1686</t>
  </si>
  <si>
    <t>ORD1687</t>
  </si>
  <si>
    <t>C115</t>
  </si>
  <si>
    <t>ORD1688</t>
  </si>
  <si>
    <t>ORD1690</t>
  </si>
  <si>
    <t>C773</t>
  </si>
  <si>
    <t>ORD1692</t>
  </si>
  <si>
    <t>C300</t>
  </si>
  <si>
    <t>ORD1694</t>
  </si>
  <si>
    <t>C269</t>
  </si>
  <si>
    <t>ORD1695</t>
  </si>
  <si>
    <t>C275</t>
  </si>
  <si>
    <t>ORD1696</t>
  </si>
  <si>
    <t>ORD1697</t>
  </si>
  <si>
    <t>ORD1698</t>
  </si>
  <si>
    <t>ORD1699</t>
  </si>
  <si>
    <t>C946</t>
  </si>
  <si>
    <t>C670</t>
  </si>
  <si>
    <t>ORD1702</t>
  </si>
  <si>
    <t>C532</t>
  </si>
  <si>
    <t>ORD1703</t>
  </si>
  <si>
    <t>ORD1704</t>
  </si>
  <si>
    <t>ORD1705</t>
  </si>
  <si>
    <t>C159</t>
  </si>
  <si>
    <t>ORD1706</t>
  </si>
  <si>
    <t>ORD1707</t>
  </si>
  <si>
    <t>ORD1708</t>
  </si>
  <si>
    <t>C261</t>
  </si>
  <si>
    <t>ORD1710</t>
  </si>
  <si>
    <t>C501</t>
  </si>
  <si>
    <t>ORD1711</t>
  </si>
  <si>
    <t>ORD1712</t>
  </si>
  <si>
    <t>ORD1713</t>
  </si>
  <si>
    <t>ORD1714</t>
  </si>
  <si>
    <t>ORD1715</t>
  </si>
  <si>
    <t>C843</t>
  </si>
  <si>
    <t>ORD1716</t>
  </si>
  <si>
    <t>ORD1717</t>
  </si>
  <si>
    <t>ORD1718</t>
  </si>
  <si>
    <t>C168</t>
  </si>
  <si>
    <t>ORD1719</t>
  </si>
  <si>
    <t>C140</t>
  </si>
  <si>
    <t>ORD1720</t>
  </si>
  <si>
    <t>C545</t>
  </si>
  <si>
    <t>ORD1721</t>
  </si>
  <si>
    <t>C503</t>
  </si>
  <si>
    <t>ORD1723</t>
  </si>
  <si>
    <t>C379</t>
  </si>
  <si>
    <t>ORD1724</t>
  </si>
  <si>
    <t>C815</t>
  </si>
  <si>
    <t>ORD1726</t>
  </si>
  <si>
    <t>ORD1727</t>
  </si>
  <si>
    <t>ORD1728</t>
  </si>
  <si>
    <t>C124</t>
  </si>
  <si>
    <t>ORD1729</t>
  </si>
  <si>
    <t>ORD1730</t>
  </si>
  <si>
    <t>C968</t>
  </si>
  <si>
    <t>Paper 18</t>
  </si>
  <si>
    <t>ORD1731</t>
  </si>
  <si>
    <t>ORD1732</t>
  </si>
  <si>
    <t>ORD1734</t>
  </si>
  <si>
    <t>ORD1735</t>
  </si>
  <si>
    <t>ORD1736</t>
  </si>
  <si>
    <t>ORD1737</t>
  </si>
  <si>
    <t>ORD1738</t>
  </si>
  <si>
    <t>C617</t>
  </si>
  <si>
    <t>ORD1739</t>
  </si>
  <si>
    <t>ORD1740</t>
  </si>
  <si>
    <t>ORD1741</t>
  </si>
  <si>
    <t>ORD1742</t>
  </si>
  <si>
    <t>C848</t>
  </si>
  <si>
    <t>ORD1744</t>
  </si>
  <si>
    <t>ORD1745</t>
  </si>
  <si>
    <t>ORD1747</t>
  </si>
  <si>
    <t>C216</t>
  </si>
  <si>
    <t>ORD1748</t>
  </si>
  <si>
    <t>C482</t>
  </si>
  <si>
    <t>ORD1749</t>
  </si>
  <si>
    <t>C691</t>
  </si>
  <si>
    <t>ORD1750</t>
  </si>
  <si>
    <t>ORD1751</t>
  </si>
  <si>
    <t>C885</t>
  </si>
  <si>
    <t>ORD1752</t>
  </si>
  <si>
    <t>ORD1754</t>
  </si>
  <si>
    <t>ORD1756</t>
  </si>
  <si>
    <t>C705</t>
  </si>
  <si>
    <t>ORD1757</t>
  </si>
  <si>
    <t>ORD1758</t>
  </si>
  <si>
    <t>C958</t>
  </si>
  <si>
    <t>ORD1759</t>
  </si>
  <si>
    <t>C463</t>
  </si>
  <si>
    <t>ORD1760</t>
  </si>
  <si>
    <t>ORD1761</t>
  </si>
  <si>
    <t>ORD1762</t>
  </si>
  <si>
    <t>C948</t>
  </si>
  <si>
    <t>ORD1763</t>
  </si>
  <si>
    <t>ORD1764</t>
  </si>
  <si>
    <t>ORD1765</t>
  </si>
  <si>
    <t>C542</t>
  </si>
  <si>
    <t>C749</t>
  </si>
  <si>
    <t>C718</t>
  </si>
  <si>
    <t>ORD1768</t>
  </si>
  <si>
    <t>C189</t>
  </si>
  <si>
    <t>ORD1769</t>
  </si>
  <si>
    <t>C572</t>
  </si>
  <si>
    <t>ORD1770</t>
  </si>
  <si>
    <t>ORD1771</t>
  </si>
  <si>
    <t>ORD1772</t>
  </si>
  <si>
    <t>C129</t>
  </si>
  <si>
    <t>ORD1773</t>
  </si>
  <si>
    <t>ORD1774</t>
  </si>
  <si>
    <t>C259</t>
  </si>
  <si>
    <t>ORD1775</t>
  </si>
  <si>
    <t>C918</t>
  </si>
  <si>
    <t>ORD1777</t>
  </si>
  <si>
    <t>C477</t>
  </si>
  <si>
    <t>ORD1778</t>
  </si>
  <si>
    <t>C822</t>
  </si>
  <si>
    <t>ORD1780</t>
  </si>
  <si>
    <t>C613</t>
  </si>
  <si>
    <t>ORD1781</t>
  </si>
  <si>
    <t>C149</t>
  </si>
  <si>
    <t>ORD1782</t>
  </si>
  <si>
    <t>ORD1783</t>
  </si>
  <si>
    <t>C415</t>
  </si>
  <si>
    <t>ORD1784</t>
  </si>
  <si>
    <t>C524</t>
  </si>
  <si>
    <t>ORD1785</t>
  </si>
  <si>
    <t>ORD1786</t>
  </si>
  <si>
    <t>C984</t>
  </si>
  <si>
    <t>ORD1787</t>
  </si>
  <si>
    <t>C431</t>
  </si>
  <si>
    <t>ORD1789</t>
  </si>
  <si>
    <t>ORD1790</t>
  </si>
  <si>
    <t>C758</t>
  </si>
  <si>
    <t>ORD1792</t>
  </si>
  <si>
    <t>ORD1793</t>
  </si>
  <si>
    <t>C329</t>
  </si>
  <si>
    <t>ORD1794</t>
  </si>
  <si>
    <t>ORD1795</t>
  </si>
  <si>
    <t>ORD1796</t>
  </si>
  <si>
    <t>C249</t>
  </si>
  <si>
    <t>ORD1797</t>
  </si>
  <si>
    <t>C334</t>
  </si>
  <si>
    <t>ORD1798</t>
  </si>
  <si>
    <t>C303</t>
  </si>
  <si>
    <t>C353</t>
  </si>
  <si>
    <t>ORD1800</t>
  </si>
  <si>
    <t>C481</t>
  </si>
  <si>
    <t>ORD1801</t>
  </si>
  <si>
    <t>ORD1802</t>
  </si>
  <si>
    <t>C769</t>
  </si>
  <si>
    <t>ORD1803</t>
  </si>
  <si>
    <t>C507</t>
  </si>
  <si>
    <t>ORD1804</t>
  </si>
  <si>
    <t>ORD1806</t>
  </si>
  <si>
    <t>ORD1807</t>
  </si>
  <si>
    <t>C454</t>
  </si>
  <si>
    <t>ORD1808</t>
  </si>
  <si>
    <t>ORD1809</t>
  </si>
  <si>
    <t>C716</t>
  </si>
  <si>
    <t>C459</t>
  </si>
  <si>
    <t>ORD1811</t>
  </si>
  <si>
    <t>C754</t>
  </si>
  <si>
    <t>ORD1812</t>
  </si>
  <si>
    <t>ORD1813</t>
  </si>
  <si>
    <t>ORD1814</t>
  </si>
  <si>
    <t>C734</t>
  </si>
  <si>
    <t>ORD1815</t>
  </si>
  <si>
    <t>C266</t>
  </si>
  <si>
    <t>ORD1816</t>
  </si>
  <si>
    <t>C834</t>
  </si>
  <si>
    <t>Table 22</t>
  </si>
  <si>
    <t>ORD1817</t>
  </si>
  <si>
    <t>ORD1818</t>
  </si>
  <si>
    <t>C953</t>
  </si>
  <si>
    <t>ORD1819</t>
  </si>
  <si>
    <t>ORD1820</t>
  </si>
  <si>
    <t>C556</t>
  </si>
  <si>
    <t>C559</t>
  </si>
  <si>
    <t>ORD1823</t>
  </si>
  <si>
    <t>C811</t>
  </si>
  <si>
    <t>ORD1825</t>
  </si>
  <si>
    <t>ORD1826</t>
  </si>
  <si>
    <t>C875</t>
  </si>
  <si>
    <t>ORD1827</t>
  </si>
  <si>
    <t>ORD1828</t>
  </si>
  <si>
    <t>ORD1830</t>
  </si>
  <si>
    <t>ORD1831</t>
  </si>
  <si>
    <t>ORD1832</t>
  </si>
  <si>
    <t>ORD1833</t>
  </si>
  <si>
    <t>ORD1834</t>
  </si>
  <si>
    <t>C267</t>
  </si>
  <si>
    <t>ORD1835</t>
  </si>
  <si>
    <t>ORD1836</t>
  </si>
  <si>
    <t>ORD1837</t>
  </si>
  <si>
    <t>ORD1838</t>
  </si>
  <si>
    <t>C165</t>
  </si>
  <si>
    <t>ORD1839</t>
  </si>
  <si>
    <t>C772</t>
  </si>
  <si>
    <t>C441</t>
  </si>
  <si>
    <t>ORD1841</t>
  </si>
  <si>
    <t>C598</t>
  </si>
  <si>
    <t>C818</t>
  </si>
  <si>
    <t>ORD1843</t>
  </si>
  <si>
    <t>ORD1844</t>
  </si>
  <si>
    <t>ORD1845</t>
  </si>
  <si>
    <t>ORD1846</t>
  </si>
  <si>
    <t>C280</t>
  </si>
  <si>
    <t>ORD1847</t>
  </si>
  <si>
    <t>ORD1848</t>
  </si>
  <si>
    <t>C750</t>
  </si>
  <si>
    <t>ORD1849</t>
  </si>
  <si>
    <t>ORD1850</t>
  </si>
  <si>
    <t>ORD1851</t>
  </si>
  <si>
    <t>ORD1852</t>
  </si>
  <si>
    <t>ORD1853</t>
  </si>
  <si>
    <t>ORD1854</t>
  </si>
  <si>
    <t>ORD1855</t>
  </si>
  <si>
    <t>ORD1856</t>
  </si>
  <si>
    <t>ORD1857</t>
  </si>
  <si>
    <t>C833</t>
  </si>
  <si>
    <t>ORD1858</t>
  </si>
  <si>
    <t>C341</t>
  </si>
  <si>
    <t>ORD1859</t>
  </si>
  <si>
    <t>ORD1860</t>
  </si>
  <si>
    <t>ORD1861</t>
  </si>
  <si>
    <t>ORD1862</t>
  </si>
  <si>
    <t>ORD1863</t>
  </si>
  <si>
    <t>ORD1864</t>
  </si>
  <si>
    <t>ORD1866</t>
  </si>
  <si>
    <t>ORD1867</t>
  </si>
  <si>
    <t>ORD1869</t>
  </si>
  <si>
    <t>C700</t>
  </si>
  <si>
    <t>C693</t>
  </si>
  <si>
    <t>ORD1871</t>
  </si>
  <si>
    <t>ORD1872</t>
  </si>
  <si>
    <t>C146</t>
  </si>
  <si>
    <t>ORD1874</t>
  </si>
  <si>
    <t>ORD1877</t>
  </si>
  <si>
    <t>ORD1878</t>
  </si>
  <si>
    <t>ORD1880</t>
  </si>
  <si>
    <t>ORD1881</t>
  </si>
  <si>
    <t>C713</t>
  </si>
  <si>
    <t>ORD1882</t>
  </si>
  <si>
    <t>C458</t>
  </si>
  <si>
    <t>ORD1883</t>
  </si>
  <si>
    <t>ORD1885</t>
  </si>
  <si>
    <t>ORD1886</t>
  </si>
  <si>
    <t>C907</t>
  </si>
  <si>
    <t>ORD1887</t>
  </si>
  <si>
    <t>ORD1888</t>
  </si>
  <si>
    <t>ORD1890</t>
  </si>
  <si>
    <t>C778</t>
  </si>
  <si>
    <t>ORD1891</t>
  </si>
  <si>
    <t>ORD1892</t>
  </si>
  <si>
    <t>ORD1893</t>
  </si>
  <si>
    <t>C709</t>
  </si>
  <si>
    <t>ORD1895</t>
  </si>
  <si>
    <t>ORD1896</t>
  </si>
  <si>
    <t>ORD1897</t>
  </si>
  <si>
    <t>C813</t>
  </si>
  <si>
    <t>ORD1898</t>
  </si>
  <si>
    <t>C342</t>
  </si>
  <si>
    <t>ORD1899</t>
  </si>
  <si>
    <t>C809</t>
  </si>
  <si>
    <t>ORD1900</t>
  </si>
  <si>
    <t>ORD1901</t>
  </si>
  <si>
    <t>C444</t>
  </si>
  <si>
    <t>ORD1902</t>
  </si>
  <si>
    <t>C133</t>
  </si>
  <si>
    <t>ORD1903</t>
  </si>
  <si>
    <t>C126</t>
  </si>
  <si>
    <t>ORD1904</t>
  </si>
  <si>
    <t>ORD1906</t>
  </si>
  <si>
    <t>ORD1907</t>
  </si>
  <si>
    <t>ORD1909</t>
  </si>
  <si>
    <t>ORD1910</t>
  </si>
  <si>
    <t>ORD1911</t>
  </si>
  <si>
    <t>ORD1913</t>
  </si>
  <si>
    <t>C212</t>
  </si>
  <si>
    <t>C930</t>
  </si>
  <si>
    <t>ORD1915</t>
  </si>
  <si>
    <t>ORD1916</t>
  </si>
  <si>
    <t>ORD1917</t>
  </si>
  <si>
    <t>C724</t>
  </si>
  <si>
    <t>ORD1918</t>
  </si>
  <si>
    <t>C660</t>
  </si>
  <si>
    <t>ORD1919</t>
  </si>
  <si>
    <t>ORD1920</t>
  </si>
  <si>
    <t>C102</t>
  </si>
  <si>
    <t>ORD1921</t>
  </si>
  <si>
    <t>ORD1922</t>
  </si>
  <si>
    <t>C717</t>
  </si>
  <si>
    <t>ORD1923</t>
  </si>
  <si>
    <t>C970</t>
  </si>
  <si>
    <t>ORD1924</t>
  </si>
  <si>
    <t>ORD1925</t>
  </si>
  <si>
    <t>ORD1926</t>
  </si>
  <si>
    <t>ORD1927</t>
  </si>
  <si>
    <t>C924</t>
  </si>
  <si>
    <t>ORD1928</t>
  </si>
  <si>
    <t>ORD1929</t>
  </si>
  <si>
    <t>C319</t>
  </si>
  <si>
    <t>ORD1930</t>
  </si>
  <si>
    <t>ORD1931</t>
  </si>
  <si>
    <t>ORD1932</t>
  </si>
  <si>
    <t>ORD1933</t>
  </si>
  <si>
    <t>ORD1935</t>
  </si>
  <si>
    <t>ORD1936</t>
  </si>
  <si>
    <t>ORD1937</t>
  </si>
  <si>
    <t>ORD1938</t>
  </si>
  <si>
    <t>ORD1940</t>
  </si>
  <si>
    <t>ORD1941</t>
  </si>
  <si>
    <t>C345</t>
  </si>
  <si>
    <t>ORD1942</t>
  </si>
  <si>
    <t>ORD1945</t>
  </si>
  <si>
    <t>ORD1946</t>
  </si>
  <si>
    <t>C715</t>
  </si>
  <si>
    <t>ORD1947</t>
  </si>
  <si>
    <t>C939</t>
  </si>
  <si>
    <t>ORD1948</t>
  </si>
  <si>
    <t>ORD1949</t>
  </si>
  <si>
    <t>ORD1950</t>
  </si>
  <si>
    <t>C108</t>
  </si>
  <si>
    <t>ORD1951</t>
  </si>
  <si>
    <t>C819</t>
  </si>
  <si>
    <t>ORD1953</t>
  </si>
  <si>
    <t>C380</t>
  </si>
  <si>
    <t>ORD1954</t>
  </si>
  <si>
    <t>ORD1955</t>
  </si>
  <si>
    <t>ORD1956</t>
  </si>
  <si>
    <t>C770</t>
  </si>
  <si>
    <t>ORD1959</t>
  </si>
  <si>
    <t>ORD1960</t>
  </si>
  <si>
    <t>C963</t>
  </si>
  <si>
    <t>ORD1961</t>
  </si>
  <si>
    <t>ORD1962</t>
  </si>
  <si>
    <t>C909</t>
  </si>
  <si>
    <t>C991</t>
  </si>
  <si>
    <t>ORD1964</t>
  </si>
  <si>
    <t>C531</t>
  </si>
  <si>
    <t>ORD1965</t>
  </si>
  <si>
    <t>C708</t>
  </si>
  <si>
    <t>ORD1966</t>
  </si>
  <si>
    <t>ORD1967</t>
  </si>
  <si>
    <t>ORD1968</t>
  </si>
  <si>
    <t>C307</t>
  </si>
  <si>
    <t>ORD1969</t>
  </si>
  <si>
    <t>ORD1971</t>
  </si>
  <si>
    <t>ORD1972</t>
  </si>
  <si>
    <t>C919</t>
  </si>
  <si>
    <t>ORD1973</t>
  </si>
  <si>
    <t>ORD1974</t>
  </si>
  <si>
    <t>C369</t>
  </si>
  <si>
    <t>ORD1975</t>
  </si>
  <si>
    <t>C346</t>
  </si>
  <si>
    <t>ORD1976</t>
  </si>
  <si>
    <t>ORD1977</t>
  </si>
  <si>
    <t>ORD1978</t>
  </si>
  <si>
    <t>ORD1979</t>
  </si>
  <si>
    <t>ORD1980</t>
  </si>
  <si>
    <t>ORD1981</t>
  </si>
  <si>
    <t>C199</t>
  </si>
  <si>
    <t>ORD1982</t>
  </si>
  <si>
    <t>ORD1984</t>
  </si>
  <si>
    <t>ORD1986</t>
  </si>
  <si>
    <t>ORD1987</t>
  </si>
  <si>
    <t>C253</t>
  </si>
  <si>
    <t>ORD1988</t>
  </si>
  <si>
    <t>C581</t>
  </si>
  <si>
    <t>ORD1989</t>
  </si>
  <si>
    <t>ORD1990</t>
  </si>
  <si>
    <t>C213</t>
  </si>
  <si>
    <t>ORD1991</t>
  </si>
  <si>
    <t>ORD1992</t>
  </si>
  <si>
    <t>ORD1993</t>
  </si>
  <si>
    <t>ORD1995</t>
  </si>
  <si>
    <t>ORD1996</t>
  </si>
  <si>
    <t>ORD1997</t>
  </si>
  <si>
    <t>C351</t>
  </si>
  <si>
    <t>ORD1998</t>
  </si>
  <si>
    <t>ORD1999</t>
  </si>
  <si>
    <t>C113</t>
  </si>
  <si>
    <t>ORD2000</t>
  </si>
  <si>
    <t>ORD2001</t>
  </si>
  <si>
    <t>C110</t>
  </si>
  <si>
    <t>ORD2003</t>
  </si>
  <si>
    <t>C354</t>
  </si>
  <si>
    <t>ORD2004</t>
  </si>
  <si>
    <t>ORD2005</t>
  </si>
  <si>
    <t>C839</t>
  </si>
  <si>
    <t>C418</t>
  </si>
  <si>
    <t>ORD2008</t>
  </si>
  <si>
    <t>ORD2009</t>
  </si>
  <si>
    <t>C539</t>
  </si>
  <si>
    <t>ORD2010</t>
  </si>
  <si>
    <t>C675</t>
  </si>
  <si>
    <t>ORD2011</t>
  </si>
  <si>
    <t>C723</t>
  </si>
  <si>
    <t>ORD2012</t>
  </si>
  <si>
    <t>ORD2013</t>
  </si>
  <si>
    <t>ORD2014</t>
  </si>
  <si>
    <t>ORD2016</t>
  </si>
  <si>
    <t>ORD2017</t>
  </si>
  <si>
    <t>ORD2018</t>
  </si>
  <si>
    <t>C320</t>
  </si>
  <si>
    <t>ORD2020</t>
  </si>
  <si>
    <t>ORD2021</t>
  </si>
  <si>
    <t>ORD2022</t>
  </si>
  <si>
    <t>C721</t>
  </si>
  <si>
    <t>ORD2023</t>
  </si>
  <si>
    <t>ORD2024</t>
  </si>
  <si>
    <t>ORD2025</t>
  </si>
  <si>
    <t>ORD2026</t>
  </si>
  <si>
    <t>ORD2028</t>
  </si>
  <si>
    <t>ORD2029</t>
  </si>
  <si>
    <t>C427</t>
  </si>
  <si>
    <t>ORD2030</t>
  </si>
  <si>
    <t>ORD2031</t>
  </si>
  <si>
    <t>C390</t>
  </si>
  <si>
    <t>ORD2033</t>
  </si>
  <si>
    <t>ORD2034</t>
  </si>
  <si>
    <t>C858</t>
  </si>
  <si>
    <t>ORD2035</t>
  </si>
  <si>
    <t>C748</t>
  </si>
  <si>
    <t>ORD2036</t>
  </si>
  <si>
    <t>C520</t>
  </si>
  <si>
    <t>ORD2037</t>
  </si>
  <si>
    <t>C916</t>
  </si>
  <si>
    <t>ORD2038</t>
  </si>
  <si>
    <t>ORD2039</t>
  </si>
  <si>
    <t>C479</t>
  </si>
  <si>
    <t>ORD2040</t>
  </si>
  <si>
    <t>C324</t>
  </si>
  <si>
    <t>ORD2041</t>
  </si>
  <si>
    <t>C959</t>
  </si>
  <si>
    <t>ORD2042</t>
  </si>
  <si>
    <t>C268</t>
  </si>
  <si>
    <t>ORD2043</t>
  </si>
  <si>
    <t>ORD2044</t>
  </si>
  <si>
    <t>ORD2045</t>
  </si>
  <si>
    <t>ORD2046</t>
  </si>
  <si>
    <t>ORD2047</t>
  </si>
  <si>
    <t>C107</t>
  </si>
  <si>
    <t>ORD2048</t>
  </si>
  <si>
    <t>ORD2050</t>
  </si>
  <si>
    <t>ORD2052</t>
  </si>
  <si>
    <t>ORD2053</t>
  </si>
  <si>
    <t>ORD2054</t>
  </si>
  <si>
    <t>C336</t>
  </si>
  <si>
    <t>ORD2055</t>
  </si>
  <si>
    <t>C201</t>
  </si>
  <si>
    <t>ORD2056</t>
  </si>
  <si>
    <t>ORD2057</t>
  </si>
  <si>
    <t>ORD2058</t>
  </si>
  <si>
    <t>ORD2059</t>
  </si>
  <si>
    <t>ORD2060</t>
  </si>
  <si>
    <t>C685</t>
  </si>
  <si>
    <t>ORD2061</t>
  </si>
  <si>
    <t>ORD2062</t>
  </si>
  <si>
    <t>ORD2064</t>
  </si>
  <si>
    <t>C746</t>
  </si>
  <si>
    <t>ORD2067</t>
  </si>
  <si>
    <t>C287</t>
  </si>
  <si>
    <t>ORD2068</t>
  </si>
  <si>
    <t>ORD2069</t>
  </si>
  <si>
    <t>ORD2070</t>
  </si>
  <si>
    <t>ORD2071</t>
  </si>
  <si>
    <t>ORD2072</t>
  </si>
  <si>
    <t>ORD2073</t>
  </si>
  <si>
    <t>ORD2074</t>
  </si>
  <si>
    <t>C603</t>
  </si>
  <si>
    <t>ORD2075</t>
  </si>
  <si>
    <t>ORD2076</t>
  </si>
  <si>
    <t>C800</t>
  </si>
  <si>
    <t>ORD2077</t>
  </si>
  <si>
    <t>ORD2078</t>
  </si>
  <si>
    <t>ORD2079</t>
  </si>
  <si>
    <t>ORD2080</t>
  </si>
  <si>
    <t>ORD2081</t>
  </si>
  <si>
    <t>ORD2082</t>
  </si>
  <si>
    <t>ORD2083</t>
  </si>
  <si>
    <t>ORD2084</t>
  </si>
  <si>
    <t>ORD2085</t>
  </si>
  <si>
    <t>C607</t>
  </si>
  <si>
    <t>ORD2086</t>
  </si>
  <si>
    <t>C304</t>
  </si>
  <si>
    <t>ORD2087</t>
  </si>
  <si>
    <t>ORD2088</t>
  </si>
  <si>
    <t>C356</t>
  </si>
  <si>
    <t>ORD2089</t>
  </si>
  <si>
    <t>ORD2090</t>
  </si>
  <si>
    <t>ORD2091</t>
  </si>
  <si>
    <t>ORD2092</t>
  </si>
  <si>
    <t>ORD2093</t>
  </si>
  <si>
    <t>ORD2094</t>
  </si>
  <si>
    <t>ORD2095</t>
  </si>
  <si>
    <t>ORD2096</t>
  </si>
  <si>
    <t>ORD2097</t>
  </si>
  <si>
    <t>ORD2098</t>
  </si>
  <si>
    <t>ORD2100</t>
  </si>
  <si>
    <t>ORD2101</t>
  </si>
  <si>
    <t>ORD2102</t>
  </si>
  <si>
    <t>C443</t>
  </si>
  <si>
    <t>ORD2104</t>
  </si>
  <si>
    <t>ORD2105</t>
  </si>
  <si>
    <t>ORD2106</t>
  </si>
  <si>
    <t>ORD2107</t>
  </si>
  <si>
    <t>ORD2108</t>
  </si>
  <si>
    <t>ORD2109</t>
  </si>
  <si>
    <t>C231</t>
  </si>
  <si>
    <t>ORD2112</t>
  </si>
  <si>
    <t>C957</t>
  </si>
  <si>
    <t>ORD2113</t>
  </si>
  <si>
    <t>ORD2114</t>
  </si>
  <si>
    <t>C154</t>
  </si>
  <si>
    <t>ORD2116</t>
  </si>
  <si>
    <t>C238</t>
  </si>
  <si>
    <t>ORD2117</t>
  </si>
  <si>
    <t>C741</t>
  </si>
  <si>
    <t>ORD2118</t>
  </si>
  <si>
    <t>C821</t>
  </si>
  <si>
    <t>ORD2119</t>
  </si>
  <si>
    <t>ORD2120</t>
  </si>
  <si>
    <t>ORD2121</t>
  </si>
  <si>
    <t>C349</t>
  </si>
  <si>
    <t>ORD2122</t>
  </si>
  <si>
    <t>ORD2124</t>
  </si>
  <si>
    <t>C801</t>
  </si>
  <si>
    <t>ORD2126</t>
  </si>
  <si>
    <t>ORD2127</t>
  </si>
  <si>
    <t>ORD2128</t>
  </si>
  <si>
    <t>C929</t>
  </si>
  <si>
    <t>ORD2129</t>
  </si>
  <si>
    <t>ORD2130</t>
  </si>
  <si>
    <t>C699</t>
  </si>
  <si>
    <t>ORD2132</t>
  </si>
  <si>
    <t>ORD2133</t>
  </si>
  <si>
    <t>ORD2134</t>
  </si>
  <si>
    <t>C173</t>
  </si>
  <si>
    <t>ORD2135</t>
  </si>
  <si>
    <t>ORD2136</t>
  </si>
  <si>
    <t>ORD2137</t>
  </si>
  <si>
    <t>C176</t>
  </si>
  <si>
    <t>ORD2138</t>
  </si>
  <si>
    <t>C820</t>
  </si>
  <si>
    <t>ORD2139</t>
  </si>
  <si>
    <t>ORD2140</t>
  </si>
  <si>
    <t>ORD2141</t>
  </si>
  <si>
    <t>ORD2142</t>
  </si>
  <si>
    <t>C783</t>
  </si>
  <si>
    <t>ORD2143</t>
  </si>
  <si>
    <t>C215</t>
  </si>
  <si>
    <t>ORD2144</t>
  </si>
  <si>
    <t>ORD2146</t>
  </si>
  <si>
    <t>ORD2147</t>
  </si>
  <si>
    <t>C244</t>
  </si>
  <si>
    <t>ORD2148</t>
  </si>
  <si>
    <t>ORD2149</t>
  </si>
  <si>
    <t>ORD2150</t>
  </si>
  <si>
    <t>ORD2151</t>
  </si>
  <si>
    <t>ORD2152</t>
  </si>
  <si>
    <t>C109</t>
  </si>
  <si>
    <t>ORD2153</t>
  </si>
  <si>
    <t>ORD2154</t>
  </si>
  <si>
    <t>C720</t>
  </si>
  <si>
    <t>ORD2155</t>
  </si>
  <si>
    <t>ORD2156</t>
  </si>
  <si>
    <t>ORD2158</t>
  </si>
  <si>
    <t>ORD2160</t>
  </si>
  <si>
    <t>ORD2161</t>
  </si>
  <si>
    <t>ORD2163</t>
  </si>
  <si>
    <t>ORD2164</t>
  </si>
  <si>
    <t>ORD2165</t>
  </si>
  <si>
    <t>ORD2167</t>
  </si>
  <si>
    <t>C512</t>
  </si>
  <si>
    <t>ORD2168</t>
  </si>
  <si>
    <t>ORD2169</t>
  </si>
  <si>
    <t>ORD2170</t>
  </si>
  <si>
    <t>ORD2171</t>
  </si>
  <si>
    <t>ORD2172</t>
  </si>
  <si>
    <t>ORD2173</t>
  </si>
  <si>
    <t>ORD2174</t>
  </si>
  <si>
    <t>C636</t>
  </si>
  <si>
    <t>ORD2175</t>
  </si>
  <si>
    <t>ORD2176</t>
  </si>
  <si>
    <t>ORD2177</t>
  </si>
  <si>
    <t>ORD2178</t>
  </si>
  <si>
    <t>ORD2179</t>
  </si>
  <si>
    <t>C774</t>
  </si>
  <si>
    <t>ORD2180</t>
  </si>
  <si>
    <t>C828</t>
  </si>
  <si>
    <t>ORD2183</t>
  </si>
  <si>
    <t>C653</t>
  </si>
  <si>
    <t>ORD2184</t>
  </si>
  <si>
    <t>ORD2185</t>
  </si>
  <si>
    <t>ORD2186</t>
  </si>
  <si>
    <t>C273</t>
  </si>
  <si>
    <t>ORD2187</t>
  </si>
  <si>
    <t>ORD2188</t>
  </si>
  <si>
    <t>ORD2189</t>
  </si>
  <si>
    <t>ORD2190</t>
  </si>
  <si>
    <t>ORD2191</t>
  </si>
  <si>
    <t>C114</t>
  </si>
  <si>
    <t>ORD2193</t>
  </si>
  <si>
    <t>C211</t>
  </si>
  <si>
    <t>ORD2195</t>
  </si>
  <si>
    <t>C144</t>
  </si>
  <si>
    <t>ORD2196</t>
  </si>
  <si>
    <t>ORD2197</t>
  </si>
  <si>
    <t>ORD2198</t>
  </si>
  <si>
    <t>ORD2200</t>
  </si>
  <si>
    <t>C751</t>
  </si>
  <si>
    <t>ORD2202</t>
  </si>
  <si>
    <t>ORD2203</t>
  </si>
  <si>
    <t>ORD2204</t>
  </si>
  <si>
    <t>ORD2206</t>
  </si>
  <si>
    <t>ORD2207</t>
  </si>
  <si>
    <t>ORD2208</t>
  </si>
  <si>
    <t>C762</t>
  </si>
  <si>
    <t>ORD2210</t>
  </si>
  <si>
    <t>ORD2211</t>
  </si>
  <si>
    <t>C166</t>
  </si>
  <si>
    <t>ORD2212</t>
  </si>
  <si>
    <t>ORD2213</t>
  </si>
  <si>
    <t>ORD2214</t>
  </si>
  <si>
    <t>C727</t>
  </si>
  <si>
    <t>ORD2216</t>
  </si>
  <si>
    <t>ORD2217</t>
  </si>
  <si>
    <t>C125</t>
  </si>
  <si>
    <t>ORD2218</t>
  </si>
  <si>
    <t>C400</t>
  </si>
  <si>
    <t>C190</t>
  </si>
  <si>
    <t>ORD2220</t>
  </si>
  <si>
    <t>ORD2221</t>
  </si>
  <si>
    <t>ORD2222</t>
  </si>
  <si>
    <t>C381</t>
  </si>
  <si>
    <t>ORD2223</t>
  </si>
  <si>
    <t>C179</t>
  </si>
  <si>
    <t>ORD2226</t>
  </si>
  <si>
    <t>ORD2229</t>
  </si>
  <si>
    <t>ORD2230</t>
  </si>
  <si>
    <t>ORD2231</t>
  </si>
  <si>
    <t>C735</t>
  </si>
  <si>
    <t>ORD2233</t>
  </si>
  <si>
    <t>ORD2234</t>
  </si>
  <si>
    <t>ORD2235</t>
  </si>
  <si>
    <t>ORD2236</t>
  </si>
  <si>
    <t>C404</t>
  </si>
  <si>
    <t>ORD2237</t>
  </si>
  <si>
    <t>C901</t>
  </si>
  <si>
    <t>ORD2239</t>
  </si>
  <si>
    <t>ORD2240</t>
  </si>
  <si>
    <t>ORD2241</t>
  </si>
  <si>
    <t>ORD2242</t>
  </si>
  <si>
    <t>ORD2243</t>
  </si>
  <si>
    <t>C808</t>
  </si>
  <si>
    <t>ORD2245</t>
  </si>
  <si>
    <t>C575</t>
  </si>
  <si>
    <t>ORD2247</t>
  </si>
  <si>
    <t>ORD2248</t>
  </si>
  <si>
    <t>ORD2249</t>
  </si>
  <si>
    <t>ORD2250</t>
  </si>
  <si>
    <t>C910</t>
  </si>
  <si>
    <t>ORD2251</t>
  </si>
  <si>
    <t>C541</t>
  </si>
  <si>
    <t>ORD2252</t>
  </si>
  <si>
    <t>ORD2253</t>
  </si>
  <si>
    <t>ORD2254</t>
  </si>
  <si>
    <t>ORD2255</t>
  </si>
  <si>
    <t>ORD2256</t>
  </si>
  <si>
    <t>C696</t>
  </si>
  <si>
    <t>ORD2257</t>
  </si>
  <si>
    <t>C396</t>
  </si>
  <si>
    <t>ORD2258</t>
  </si>
  <si>
    <t>ORD2259</t>
  </si>
  <si>
    <t>C536</t>
  </si>
  <si>
    <t>ORD2260</t>
  </si>
  <si>
    <t>ORD2261</t>
  </si>
  <si>
    <t>C112</t>
  </si>
  <si>
    <t>ORD2262</t>
  </si>
  <si>
    <t>ORD2263</t>
  </si>
  <si>
    <t>ORD2264</t>
  </si>
  <si>
    <t>ORD2266</t>
  </si>
  <si>
    <t>ORD2268</t>
  </si>
  <si>
    <t>ORD2269</t>
  </si>
  <si>
    <t>ORD2271</t>
  </si>
  <si>
    <t>ORD2272</t>
  </si>
  <si>
    <t>ORD2273</t>
  </si>
  <si>
    <t>ORD2275</t>
  </si>
  <si>
    <t>ORD2276</t>
  </si>
  <si>
    <t>ORD2277</t>
  </si>
  <si>
    <t>ORD2278</t>
  </si>
  <si>
    <t>C789</t>
  </si>
  <si>
    <t>ORD2281</t>
  </si>
  <si>
    <t>ORD2282</t>
  </si>
  <si>
    <t>ORD2283</t>
  </si>
  <si>
    <t>C855</t>
  </si>
  <si>
    <t>ORD2284</t>
  </si>
  <si>
    <t>C702</t>
  </si>
  <si>
    <t>ORD2285</t>
  </si>
  <si>
    <t>ORD2286</t>
  </si>
  <si>
    <t>ORD2287</t>
  </si>
  <si>
    <t>ORD2288</t>
  </si>
  <si>
    <t>ORD2289</t>
  </si>
  <si>
    <t>C588</t>
  </si>
  <si>
    <t>ORD2291</t>
  </si>
  <si>
    <t>ORD2292</t>
  </si>
  <si>
    <t>C601</t>
  </si>
  <si>
    <t>ORD2294</t>
  </si>
  <si>
    <t>C666</t>
  </si>
  <si>
    <t>ORD2295</t>
  </si>
  <si>
    <t>ORD2296</t>
  </si>
  <si>
    <t>ORD2297</t>
  </si>
  <si>
    <t>ORD2298</t>
  </si>
  <si>
    <t>ORD2299</t>
  </si>
  <si>
    <t>ORD2300</t>
  </si>
  <si>
    <t>ORD2301</t>
  </si>
  <si>
    <t>C954</t>
  </si>
  <si>
    <t>ORD2302</t>
  </si>
  <si>
    <t>ORD2303</t>
  </si>
  <si>
    <t>ORD2304</t>
  </si>
  <si>
    <t>C926</t>
  </si>
  <si>
    <t>ORD2306</t>
  </si>
  <si>
    <t>ORD2307</t>
  </si>
  <si>
    <t>ORD2308</t>
  </si>
  <si>
    <t>ORD2310</t>
  </si>
  <si>
    <t>ORD2311</t>
  </si>
  <si>
    <t>ORD2312</t>
  </si>
  <si>
    <t>C851</t>
  </si>
  <si>
    <t>ORD2313</t>
  </si>
  <si>
    <t>ORD2314</t>
  </si>
  <si>
    <t>ORD2315</t>
  </si>
  <si>
    <t>ORD2316</t>
  </si>
  <si>
    <t>ORD2317</t>
  </si>
  <si>
    <t>C544</t>
  </si>
  <si>
    <t>ORD2318</t>
  </si>
  <si>
    <t>C972</t>
  </si>
  <si>
    <t>ORD2319</t>
  </si>
  <si>
    <t>C795</t>
  </si>
  <si>
    <t>ORD2321</t>
  </si>
  <si>
    <t>C432</t>
  </si>
  <si>
    <t>ORD2322</t>
  </si>
  <si>
    <t>ORD2323</t>
  </si>
  <si>
    <t>ORD2324</t>
  </si>
  <si>
    <t>ORD2325</t>
  </si>
  <si>
    <t>ORD2326</t>
  </si>
  <si>
    <t>ORD2330</t>
  </si>
  <si>
    <t>ORD2331</t>
  </si>
  <si>
    <t>ORD2332</t>
  </si>
  <si>
    <t>ORD2333</t>
  </si>
  <si>
    <t>C942</t>
  </si>
  <si>
    <t>ORD2335</t>
  </si>
  <si>
    <t>C945</t>
  </si>
  <si>
    <t>ORD2336</t>
  </si>
  <si>
    <t>ORD2337</t>
  </si>
  <si>
    <t>ORD2338</t>
  </si>
  <si>
    <t>C737</t>
  </si>
  <si>
    <t>ORD2341</t>
  </si>
  <si>
    <t>ORD2342</t>
  </si>
  <si>
    <t>ORD2343</t>
  </si>
  <si>
    <t>ORD2344</t>
  </si>
  <si>
    <t>ORD2345</t>
  </si>
  <si>
    <t>ORD2346</t>
  </si>
  <si>
    <t>C595</t>
  </si>
  <si>
    <t>ORD2347</t>
  </si>
  <si>
    <t>ORD2348</t>
  </si>
  <si>
    <t>ORD2349</t>
  </si>
  <si>
    <t>ORD2350</t>
  </si>
  <si>
    <t>ORD2351</t>
  </si>
  <si>
    <t>ORD2352</t>
  </si>
  <si>
    <t>ORD2353</t>
  </si>
  <si>
    <t>C969</t>
  </si>
  <si>
    <t>ORD2354</t>
  </si>
  <si>
    <t>ORD2355</t>
  </si>
  <si>
    <t>C623</t>
  </si>
  <si>
    <t>ORD2356</t>
  </si>
  <si>
    <t>ORD2357</t>
  </si>
  <si>
    <t>ORD2358</t>
  </si>
  <si>
    <t>ORD2359</t>
  </si>
  <si>
    <t>ORD2360</t>
  </si>
  <si>
    <t>ORD2361</t>
  </si>
  <si>
    <t>ORD2363</t>
  </si>
  <si>
    <t>ORD2364</t>
  </si>
  <si>
    <t>ORD2365</t>
  </si>
  <si>
    <t>ORD2366</t>
  </si>
  <si>
    <t>ORD2367</t>
  </si>
  <si>
    <t>ORD2368</t>
  </si>
  <si>
    <t>ORD2369</t>
  </si>
  <si>
    <t>ORD2370</t>
  </si>
  <si>
    <t>ORD2371</t>
  </si>
  <si>
    <t>C782</t>
  </si>
  <si>
    <t>ORD2372</t>
  </si>
  <si>
    <t>ORD2374</t>
  </si>
  <si>
    <t>ORD2377</t>
  </si>
  <si>
    <t>ORD2378</t>
  </si>
  <si>
    <t>ORD2379</t>
  </si>
  <si>
    <t>ORD2380</t>
  </si>
  <si>
    <t>ORD2381</t>
  </si>
  <si>
    <t>ORD2382</t>
  </si>
  <si>
    <t>C725</t>
  </si>
  <si>
    <t>ORD2383</t>
  </si>
  <si>
    <t>C167</t>
  </si>
  <si>
    <t>ORD2384</t>
  </si>
  <si>
    <t>ORD2385</t>
  </si>
  <si>
    <t>ORD2386</t>
  </si>
  <si>
    <t>C510</t>
  </si>
  <si>
    <t>ORD2389</t>
  </si>
  <si>
    <t>ORD2390</t>
  </si>
  <si>
    <t>ORD2391</t>
  </si>
  <si>
    <t>C975</t>
  </si>
  <si>
    <t>ORD2394</t>
  </si>
  <si>
    <t>ORD2395</t>
  </si>
  <si>
    <t>ORD2396</t>
  </si>
  <si>
    <t>ORD2398</t>
  </si>
  <si>
    <t>ORD2399</t>
  </si>
  <si>
    <t>ORD2400</t>
  </si>
  <si>
    <t>ORD2401</t>
  </si>
  <si>
    <t>ORD2402</t>
  </si>
  <si>
    <t>ORD2403</t>
  </si>
  <si>
    <t>ORD2404</t>
  </si>
  <si>
    <t>C600</t>
  </si>
  <si>
    <t>ORD2406</t>
  </si>
  <si>
    <t>C781</t>
  </si>
  <si>
    <t>ORD2407</t>
  </si>
  <si>
    <t>ORD2408</t>
  </si>
  <si>
    <t>ORD2410</t>
  </si>
  <si>
    <t>ORD2411</t>
  </si>
  <si>
    <t>ORD2413</t>
  </si>
  <si>
    <t>ORD2414</t>
  </si>
  <si>
    <t>C823</t>
  </si>
  <si>
    <t>ORD2415</t>
  </si>
  <si>
    <t>ORD2416</t>
  </si>
  <si>
    <t>ORD2417</t>
  </si>
  <si>
    <t>ORD2418</t>
  </si>
  <si>
    <t>ORD2419</t>
  </si>
  <si>
    <t>C884</t>
  </si>
  <si>
    <t>ORD2420</t>
  </si>
  <si>
    <t>ORD2421</t>
  </si>
  <si>
    <t>ORD2422</t>
  </si>
  <si>
    <t>ORD2423</t>
  </si>
  <si>
    <t>C646</t>
  </si>
  <si>
    <t>ORD2424</t>
  </si>
  <si>
    <t>ORD2425</t>
  </si>
  <si>
    <t>C940</t>
  </si>
  <si>
    <t>ORD2426</t>
  </si>
  <si>
    <t>C256</t>
  </si>
  <si>
    <t>C763</t>
  </si>
  <si>
    <t>ORD2428</t>
  </si>
  <si>
    <t>ORD2429</t>
  </si>
  <si>
    <t>ORD2430</t>
  </si>
  <si>
    <t>ORD2431</t>
  </si>
  <si>
    <t>ORD2432</t>
  </si>
  <si>
    <t>ORD2434</t>
  </si>
  <si>
    <t>ORD2435</t>
  </si>
  <si>
    <t>C263</t>
  </si>
  <si>
    <t>ORD2436</t>
  </si>
  <si>
    <t>C898</t>
  </si>
  <si>
    <t>ORD2438</t>
  </si>
  <si>
    <t>ORD2439</t>
  </si>
  <si>
    <t>ORD2440</t>
  </si>
  <si>
    <t>ORD2441</t>
  </si>
  <si>
    <t>ORD2442</t>
  </si>
  <si>
    <t>ORD2443</t>
  </si>
  <si>
    <t>ORD2444</t>
  </si>
  <si>
    <t>ORD2445</t>
  </si>
  <si>
    <t>ORD2446</t>
  </si>
  <si>
    <t>ORD2447</t>
  </si>
  <si>
    <t>ORD2448</t>
  </si>
  <si>
    <t>ORD2449</t>
  </si>
  <si>
    <t>ORD2450</t>
  </si>
  <si>
    <t>ORD2451</t>
  </si>
  <si>
    <t>ORD2452</t>
  </si>
  <si>
    <t>C739</t>
  </si>
  <si>
    <t>ORD2453</t>
  </si>
  <si>
    <t>ORD2457</t>
  </si>
  <si>
    <t>ORD2458</t>
  </si>
  <si>
    <t>ORD2459</t>
  </si>
  <si>
    <t>ORD2460</t>
  </si>
  <si>
    <t>ORD2461</t>
  </si>
  <si>
    <t>ORD2462</t>
  </si>
  <si>
    <t>ORD2463</t>
  </si>
  <si>
    <t>ORD2464</t>
  </si>
  <si>
    <t>C583</t>
  </si>
  <si>
    <t>ORD2465</t>
  </si>
  <si>
    <t>ORD2466</t>
  </si>
  <si>
    <t>C344</t>
  </si>
  <si>
    <t>ORD2467</t>
  </si>
  <si>
    <t>ORD2470</t>
  </si>
  <si>
    <t>ORD2471</t>
  </si>
  <si>
    <t>C995</t>
  </si>
  <si>
    <t>ORD2472</t>
  </si>
  <si>
    <t>C335</t>
  </si>
  <si>
    <t>ORD2473</t>
  </si>
  <si>
    <t>ORD2474</t>
  </si>
  <si>
    <t>ORD2475</t>
  </si>
  <si>
    <t>ORD2476</t>
  </si>
  <si>
    <t>ORD2477</t>
  </si>
  <si>
    <t>ORD2478</t>
  </si>
  <si>
    <t>ORD2479</t>
  </si>
  <si>
    <t>ORD2480</t>
  </si>
  <si>
    <t>ORD2481</t>
  </si>
  <si>
    <t>C142</t>
  </si>
  <si>
    <t>ORD2482</t>
  </si>
  <si>
    <t>ORD2483</t>
  </si>
  <si>
    <t>ORD2484</t>
  </si>
  <si>
    <t>C870</t>
  </si>
  <si>
    <t>ORD2485</t>
  </si>
  <si>
    <t>ORD2486</t>
  </si>
  <si>
    <t>ORD2487</t>
  </si>
  <si>
    <t>ORD2488</t>
  </si>
  <si>
    <t>C630</t>
  </si>
  <si>
    <t>ORD2489</t>
  </si>
  <si>
    <t>ORD2490</t>
  </si>
  <si>
    <t>ORD2491</t>
  </si>
  <si>
    <t>ORD2492</t>
  </si>
  <si>
    <t>C935</t>
  </si>
  <si>
    <t>ORD2493</t>
  </si>
  <si>
    <t>ORD2494</t>
  </si>
  <si>
    <t>ORD2495</t>
  </si>
  <si>
    <t>ORD2498</t>
  </si>
  <si>
    <t>ORD2499</t>
  </si>
  <si>
    <t>ORD2501</t>
  </si>
  <si>
    <t>ORD2502</t>
  </si>
  <si>
    <t>ORD2503</t>
  </si>
  <si>
    <t>ORD2504</t>
  </si>
  <si>
    <t>ORD2505</t>
  </si>
  <si>
    <t>C442</t>
  </si>
  <si>
    <t>ORD2506</t>
  </si>
  <si>
    <t>ORD2508</t>
  </si>
  <si>
    <t>ORD2509</t>
  </si>
  <si>
    <t>ORD2511</t>
  </si>
  <si>
    <t>ORD2512</t>
  </si>
  <si>
    <t>ORD2513</t>
  </si>
  <si>
    <t>ORD2514</t>
  </si>
  <si>
    <t>ORD2516</t>
  </si>
  <si>
    <t>ORD2517</t>
  </si>
  <si>
    <t>C830</t>
  </si>
  <si>
    <t>C899</t>
  </si>
  <si>
    <t>ORD2519</t>
  </si>
  <si>
    <t>C426</t>
  </si>
  <si>
    <t>ORD2520</t>
  </si>
  <si>
    <t>ORD2521</t>
  </si>
  <si>
    <t>ORD2523</t>
  </si>
  <si>
    <t>ORD2524</t>
  </si>
  <si>
    <t>ORD2525</t>
  </si>
  <si>
    <t>C225</t>
  </si>
  <si>
    <t>ORD2526</t>
  </si>
  <si>
    <t>C407</t>
  </si>
  <si>
    <t>ORD2527</t>
  </si>
  <si>
    <t>ORD2529</t>
  </si>
  <si>
    <t>ORD2530</t>
  </si>
  <si>
    <t>ORD2532</t>
  </si>
  <si>
    <t>ORD2533</t>
  </si>
  <si>
    <t>C437</t>
  </si>
  <si>
    <t>ORD2534</t>
  </si>
  <si>
    <t>ORD2535</t>
  </si>
  <si>
    <t>ORD2536</t>
  </si>
  <si>
    <t>C889</t>
  </si>
  <si>
    <t>ORD2537</t>
  </si>
  <si>
    <t>ORD2538</t>
  </si>
  <si>
    <t>ORD2539</t>
  </si>
  <si>
    <t>ORD2540</t>
  </si>
  <si>
    <t>ORD2541</t>
  </si>
  <si>
    <t>ORD2542</t>
  </si>
  <si>
    <t>ORD2543</t>
  </si>
  <si>
    <t>ORD2544</t>
  </si>
  <si>
    <t>C761</t>
  </si>
  <si>
    <t>ORD2545</t>
  </si>
  <si>
    <t>ORD2546</t>
  </si>
  <si>
    <t>ORD2547</t>
  </si>
  <si>
    <t>C187</t>
  </si>
  <si>
    <t>ORD2548</t>
  </si>
  <si>
    <t>ORD2549</t>
  </si>
  <si>
    <t>ORD2550</t>
  </si>
  <si>
    <t>ORD2551</t>
  </si>
  <si>
    <t>ORD2552</t>
  </si>
  <si>
    <t>ORD2553</t>
  </si>
  <si>
    <t>C710</t>
  </si>
  <si>
    <t>ORD2554</t>
  </si>
  <si>
    <t>ORD2555</t>
  </si>
  <si>
    <t>ORD2556</t>
  </si>
  <si>
    <t>ORD2557</t>
  </si>
  <si>
    <t>ORD2558</t>
  </si>
  <si>
    <t>C518</t>
  </si>
  <si>
    <t>ORD2559</t>
  </si>
  <si>
    <t>ORD2561</t>
  </si>
  <si>
    <t>ORD2562</t>
  </si>
  <si>
    <t>ORD2563</t>
  </si>
  <si>
    <t>ORD2564</t>
  </si>
  <si>
    <t>ORD2565</t>
  </si>
  <si>
    <t>C128</t>
  </si>
  <si>
    <t>ORD2567</t>
  </si>
  <si>
    <t>ORD2569</t>
  </si>
  <si>
    <t>ORD2571</t>
  </si>
  <si>
    <t>ORD2572</t>
  </si>
  <si>
    <t>ORD2573</t>
  </si>
  <si>
    <t>ORD2574</t>
  </si>
  <si>
    <t>ORD2575</t>
  </si>
  <si>
    <t>ORD2576</t>
  </si>
  <si>
    <t>C794</t>
  </si>
  <si>
    <t>ORD2577</t>
  </si>
  <si>
    <t>C569</t>
  </si>
  <si>
    <t>ORD2578</t>
  </si>
  <si>
    <t>C925</t>
  </si>
  <si>
    <t>ORD2579</t>
  </si>
  <si>
    <t>ORD2580</t>
  </si>
  <si>
    <t>ORD2581</t>
  </si>
  <si>
    <t>C589</t>
  </si>
  <si>
    <t>ORD2582</t>
  </si>
  <si>
    <t>ORD2583</t>
  </si>
  <si>
    <t>ORD2584</t>
  </si>
  <si>
    <t>ORD2585</t>
  </si>
  <si>
    <t>ORD2586</t>
  </si>
  <si>
    <t>ORD2587</t>
  </si>
  <si>
    <t>ORD2588</t>
  </si>
  <si>
    <t>C840</t>
  </si>
  <si>
    <t>ORD2589</t>
  </si>
  <si>
    <t>C689</t>
  </si>
  <si>
    <t>ORD2590</t>
  </si>
  <si>
    <t>ORD2591</t>
  </si>
  <si>
    <t>ORD2594</t>
  </si>
  <si>
    <t>ORD2595</t>
  </si>
  <si>
    <t>ORD2596</t>
  </si>
  <si>
    <t>ORD2597</t>
  </si>
  <si>
    <t>C955</t>
  </si>
  <si>
    <t>ORD2598</t>
  </si>
  <si>
    <t>ORD2599</t>
  </si>
  <si>
    <t>ORD2600</t>
  </si>
  <si>
    <t>ORD2601</t>
  </si>
  <si>
    <t>ORD2602</t>
  </si>
  <si>
    <t>ORD2603</t>
  </si>
  <si>
    <t>ORD2604</t>
  </si>
  <si>
    <t>ORD2605</t>
  </si>
  <si>
    <t>C370</t>
  </si>
  <si>
    <t>ORD2606</t>
  </si>
  <si>
    <t>ORD2607</t>
  </si>
  <si>
    <t>ORD2608</t>
  </si>
  <si>
    <t>ORD2609</t>
  </si>
  <si>
    <t>ORD2610</t>
  </si>
  <si>
    <t>C460</t>
  </si>
  <si>
    <t>ORD2611</t>
  </si>
  <si>
    <t>ORD2613</t>
  </si>
  <si>
    <t>C695</t>
  </si>
  <si>
    <t>ORD2614</t>
  </si>
  <si>
    <t>ORD2615</t>
  </si>
  <si>
    <t>C106</t>
  </si>
  <si>
    <t>ORD2616</t>
  </si>
  <si>
    <t>ORD2618</t>
  </si>
  <si>
    <t>C540</t>
  </si>
  <si>
    <t>ORD2620</t>
  </si>
  <si>
    <t>ORD2621</t>
  </si>
  <si>
    <t>C729</t>
  </si>
  <si>
    <t>ORD2623</t>
  </si>
  <si>
    <t>ORD2624</t>
  </si>
  <si>
    <t>ORD2625</t>
  </si>
  <si>
    <t>C641</t>
  </si>
  <si>
    <t>ORD2626</t>
  </si>
  <si>
    <t>ORD2627</t>
  </si>
  <si>
    <t>ORD2628</t>
  </si>
  <si>
    <t>ORD2629</t>
  </si>
  <si>
    <t>ORD2630</t>
  </si>
  <si>
    <t>ORD2631</t>
  </si>
  <si>
    <t>ORD2632</t>
  </si>
  <si>
    <t>ORD2633</t>
  </si>
  <si>
    <t>C704</t>
  </si>
  <si>
    <t>ORD2635</t>
  </si>
  <si>
    <t>ORD2636</t>
  </si>
  <si>
    <t>ORD2637</t>
  </si>
  <si>
    <t>C514</t>
  </si>
  <si>
    <t>ORD2639</t>
  </si>
  <si>
    <t>ORD2640</t>
  </si>
  <si>
    <t>ORD2641</t>
  </si>
  <si>
    <t>ORD2642</t>
  </si>
  <si>
    <t>ORD2643</t>
  </si>
  <si>
    <t>ORD2644</t>
  </si>
  <si>
    <t>ORD2645</t>
  </si>
  <si>
    <t>ORD2646</t>
  </si>
  <si>
    <t>ORD2647</t>
  </si>
  <si>
    <t>ORD2648</t>
  </si>
  <si>
    <t>ORD2649</t>
  </si>
  <si>
    <t>C962</t>
  </si>
  <si>
    <t>ORD2650</t>
  </si>
  <si>
    <t>ORD2651</t>
  </si>
  <si>
    <t>ORD2652</t>
  </si>
  <si>
    <t>ORD2653</t>
  </si>
  <si>
    <t>ORD2655</t>
  </si>
  <si>
    <t>ORD2656</t>
  </si>
  <si>
    <t>ORD2657</t>
  </si>
  <si>
    <t>ORD2658</t>
  </si>
  <si>
    <t>ORD2659</t>
  </si>
  <si>
    <t>ORD2660</t>
  </si>
  <si>
    <t>ORD2661</t>
  </si>
  <si>
    <t>ORD2662</t>
  </si>
  <si>
    <t>ORD2663</t>
  </si>
  <si>
    <t>ORD2664</t>
  </si>
  <si>
    <t>ORD2665</t>
  </si>
  <si>
    <t>C221</t>
  </si>
  <si>
    <t>ORD2666</t>
  </si>
  <si>
    <t>ORD2667</t>
  </si>
  <si>
    <t>ORD2669</t>
  </si>
  <si>
    <t>C282</t>
  </si>
  <si>
    <t>ORD2670</t>
  </si>
  <si>
    <t>ORD2671</t>
  </si>
  <si>
    <t>ORD2672</t>
  </si>
  <si>
    <t>ORD2673</t>
  </si>
  <si>
    <t>ORD2674</t>
  </si>
  <si>
    <t>ORD2675</t>
  </si>
  <si>
    <t>ORD2676</t>
  </si>
  <si>
    <t>ORD2677</t>
  </si>
  <si>
    <t>ORD2679</t>
  </si>
  <si>
    <t>ORD2680</t>
  </si>
  <si>
    <t>C451</t>
  </si>
  <si>
    <t>ORD2681</t>
  </si>
  <si>
    <t>ORD2682</t>
  </si>
  <si>
    <t>ORD2683</t>
  </si>
  <si>
    <t>ORD2685</t>
  </si>
  <si>
    <t>ORD2686</t>
  </si>
  <si>
    <t>ORD2687</t>
  </si>
  <si>
    <t>C785</t>
  </si>
  <si>
    <t>ORD2688</t>
  </si>
  <si>
    <t>ORD2690</t>
  </si>
  <si>
    <t>ORD2691</t>
  </si>
  <si>
    <t>C156</t>
  </si>
  <si>
    <t>ORD2692</t>
  </si>
  <si>
    <t>ORD2694</t>
  </si>
  <si>
    <t>ORD2695</t>
  </si>
  <si>
    <t>C470</t>
  </si>
  <si>
    <t>ORD2696</t>
  </si>
  <si>
    <t>C405</t>
  </si>
  <si>
    <t>ORD2697</t>
  </si>
  <si>
    <t>ORD2698</t>
  </si>
  <si>
    <t>ORD2699</t>
  </si>
  <si>
    <t>ORD2700</t>
  </si>
  <si>
    <t>C103</t>
  </si>
  <si>
    <t>ORD2701</t>
  </si>
  <si>
    <t>ORD2702</t>
  </si>
  <si>
    <t>ORD2703</t>
  </si>
  <si>
    <t>ORD2704</t>
  </si>
  <si>
    <t>ORD2705</t>
  </si>
  <si>
    <t>ORD2706</t>
  </si>
  <si>
    <t>ORD2707</t>
  </si>
  <si>
    <t>ORD2709</t>
  </si>
  <si>
    <t>ORD2710</t>
  </si>
  <si>
    <t>ORD2711</t>
  </si>
  <si>
    <t>ORD2713</t>
  </si>
  <si>
    <t>ORD2715</t>
  </si>
  <si>
    <t>ORD2716</t>
  </si>
  <si>
    <t>C706</t>
  </si>
  <si>
    <t>ORD2717</t>
  </si>
  <si>
    <t>ORD2718</t>
  </si>
  <si>
    <t>ORD2719</t>
  </si>
  <si>
    <t>ORD2720</t>
  </si>
  <si>
    <t>ORD2721</t>
  </si>
  <si>
    <t>ORD2722</t>
  </si>
  <si>
    <t>ORD2723</t>
  </si>
  <si>
    <t>ORD2724</t>
  </si>
  <si>
    <t>ORD2725</t>
  </si>
  <si>
    <t>ORD2726</t>
  </si>
  <si>
    <t>ORD2727</t>
  </si>
  <si>
    <t>ORD2728</t>
  </si>
  <si>
    <t>ORD2729</t>
  </si>
  <si>
    <t>ORD2730</t>
  </si>
  <si>
    <t>ORD2731</t>
  </si>
  <si>
    <t>ORD2732</t>
  </si>
  <si>
    <t>ORD2733</t>
  </si>
  <si>
    <t>ORD2734</t>
  </si>
  <si>
    <t>ORD2735</t>
  </si>
  <si>
    <t>ORD2736</t>
  </si>
  <si>
    <t>ORD2737</t>
  </si>
  <si>
    <t>ORD2738</t>
  </si>
  <si>
    <t>C392</t>
  </si>
  <si>
    <t>ORD2739</t>
  </si>
  <si>
    <t>ORD2742</t>
  </si>
  <si>
    <t>ORD2745</t>
  </si>
  <si>
    <t>ORD2746</t>
  </si>
  <si>
    <t>C979</t>
  </si>
  <si>
    <t>ORD2747</t>
  </si>
  <si>
    <t>C521</t>
  </si>
  <si>
    <t>ORD2748</t>
  </si>
  <si>
    <t>C990</t>
  </si>
  <si>
    <t>ORD2751</t>
  </si>
  <si>
    <t>ORD2753</t>
  </si>
  <si>
    <t>ORD2754</t>
  </si>
  <si>
    <t>ORD2755</t>
  </si>
  <si>
    <t>C981</t>
  </si>
  <si>
    <t>ORD2756</t>
  </si>
  <si>
    <t>C297</t>
  </si>
  <si>
    <t>ORD2758</t>
  </si>
  <si>
    <t>ORD2759</t>
  </si>
  <si>
    <t>ORD2760</t>
  </si>
  <si>
    <t>ORD2762</t>
  </si>
  <si>
    <t>ORD2763</t>
  </si>
  <si>
    <t>ORD2764</t>
  </si>
  <si>
    <t>ORD2765</t>
  </si>
  <si>
    <t>C198</t>
  </si>
  <si>
    <t>ORD2766</t>
  </si>
  <si>
    <t>ORD2767</t>
  </si>
  <si>
    <t>ORD2768</t>
  </si>
  <si>
    <t>ORD2769</t>
  </si>
  <si>
    <t>ORD2770</t>
  </si>
  <si>
    <t>ORD2771</t>
  </si>
  <si>
    <t>C697</t>
  </si>
  <si>
    <t>ORD2772</t>
  </si>
  <si>
    <t>ORD2773</t>
  </si>
  <si>
    <t>ORD2774</t>
  </si>
  <si>
    <t>ORD2775</t>
  </si>
  <si>
    <t>ORD2777</t>
  </si>
  <si>
    <t>C476</t>
  </si>
  <si>
    <t>ORD2778</t>
  </si>
  <si>
    <t>C650</t>
  </si>
  <si>
    <t>ORD2780</t>
  </si>
  <si>
    <t>ORD2781</t>
  </si>
  <si>
    <t>ORD2782</t>
  </si>
  <si>
    <t>C592</t>
  </si>
  <si>
    <t>ORD2783</t>
  </si>
  <si>
    <t>ORD2784</t>
  </si>
  <si>
    <t>ORD2785</t>
  </si>
  <si>
    <t>C767</t>
  </si>
  <si>
    <t>ORD2786</t>
  </si>
  <si>
    <t>ORD2787</t>
  </si>
  <si>
    <t>ORD2788</t>
  </si>
  <si>
    <t>ORD2789</t>
  </si>
  <si>
    <t>ORD2791</t>
  </si>
  <si>
    <t>C846</t>
  </si>
  <si>
    <t>ORD2792</t>
  </si>
  <si>
    <t>ORD2793</t>
  </si>
  <si>
    <t>ORD2794</t>
  </si>
  <si>
    <t>ORD2795</t>
  </si>
  <si>
    <t>ORD2796</t>
  </si>
  <si>
    <t>ORD2797</t>
  </si>
  <si>
    <t>ORD2798</t>
  </si>
  <si>
    <t>ORD2799</t>
  </si>
  <si>
    <t>ORD2800</t>
  </si>
  <si>
    <t>ORD2802</t>
  </si>
  <si>
    <t>C468</t>
  </si>
  <si>
    <t>ORD2803</t>
  </si>
  <si>
    <t>ORD2804</t>
  </si>
  <si>
    <t>ORD2805</t>
  </si>
  <si>
    <t>ORD2807</t>
  </si>
  <si>
    <t>ORD2808</t>
  </si>
  <si>
    <t>ORD2810</t>
  </si>
  <si>
    <t>ORD2811</t>
  </si>
  <si>
    <t>ORD2812</t>
  </si>
  <si>
    <t>ORD2813</t>
  </si>
  <si>
    <t>ORD2815</t>
  </si>
  <si>
    <t>C226</t>
  </si>
  <si>
    <t>ORD2816</t>
  </si>
  <si>
    <t>ORD2817</t>
  </si>
  <si>
    <t>ORD2818</t>
  </si>
  <si>
    <t>ORD2819</t>
  </si>
  <si>
    <t>C361</t>
  </si>
  <si>
    <t>ORD2820</t>
  </si>
  <si>
    <t>ORD2821</t>
  </si>
  <si>
    <t>ORD2823</t>
  </si>
  <si>
    <t>ORD2824</t>
  </si>
  <si>
    <t>ORD2826</t>
  </si>
  <si>
    <t>ORD2827</t>
  </si>
  <si>
    <t>ORD2828</t>
  </si>
  <si>
    <t>ORD2829</t>
  </si>
  <si>
    <t>ORD2831</t>
  </si>
  <si>
    <t>ORD2832</t>
  </si>
  <si>
    <t>ORD2833</t>
  </si>
  <si>
    <t>ORD2834</t>
  </si>
  <si>
    <t>ORD2835</t>
  </si>
  <si>
    <t>ORD2836</t>
  </si>
  <si>
    <t>ORD2837</t>
  </si>
  <si>
    <t>ORD2838</t>
  </si>
  <si>
    <t>C202</t>
  </si>
  <si>
    <t>ORD2839</t>
  </si>
  <si>
    <t>ORD2840</t>
  </si>
  <si>
    <t>ORD2841</t>
  </si>
  <si>
    <t>ORD2842</t>
  </si>
  <si>
    <t>ORD2843</t>
  </si>
  <si>
    <t>ORD2844</t>
  </si>
  <si>
    <t>C913</t>
  </si>
  <si>
    <t>ORD2846</t>
  </si>
  <si>
    <t>C652</t>
  </si>
  <si>
    <t>ORD2847</t>
  </si>
  <si>
    <t>C864</t>
  </si>
  <si>
    <t>ORD2848</t>
  </si>
  <si>
    <t>ORD2849</t>
  </si>
  <si>
    <t>ORD2850</t>
  </si>
  <si>
    <t>ORD2852</t>
  </si>
  <si>
    <t>ORD2853</t>
  </si>
  <si>
    <t>C241</t>
  </si>
  <si>
    <t>ORD2854</t>
  </si>
  <si>
    <t>C484</t>
  </si>
  <si>
    <t>ORD2856</t>
  </si>
  <si>
    <t>ORD2857</t>
  </si>
  <si>
    <t>ORD2858</t>
  </si>
  <si>
    <t>ORD2859</t>
  </si>
  <si>
    <t>ORD2860</t>
  </si>
  <si>
    <t>ORD2861</t>
  </si>
  <si>
    <t>ORD2862</t>
  </si>
  <si>
    <t>ORD2863</t>
  </si>
  <si>
    <t>ORD2864</t>
  </si>
  <si>
    <t>ORD2865</t>
  </si>
  <si>
    <t>ORD2866</t>
  </si>
  <si>
    <t>ORD2867</t>
  </si>
  <si>
    <t>ORD2868</t>
  </si>
  <si>
    <t>ORD2869</t>
  </si>
  <si>
    <t>ORD2870</t>
  </si>
  <si>
    <t>C911</t>
  </si>
  <si>
    <t>ORD2871</t>
  </si>
  <si>
    <t>ORD2873</t>
  </si>
  <si>
    <t>ORD2875</t>
  </si>
  <si>
    <t>ORD2876</t>
  </si>
  <si>
    <t>ORD2877</t>
  </si>
  <si>
    <t>ORD2880</t>
  </si>
  <si>
    <t>ORD2881</t>
  </si>
  <si>
    <t>ORD2882</t>
  </si>
  <si>
    <t>ORD2883</t>
  </si>
  <si>
    <t>ORD2884</t>
  </si>
  <si>
    <t>ORD2885</t>
  </si>
  <si>
    <t>ORD2886</t>
  </si>
  <si>
    <t>C294</t>
  </si>
  <si>
    <t>ORD2888</t>
  </si>
  <si>
    <t>ORD2889</t>
  </si>
  <si>
    <t>ORD2890</t>
  </si>
  <si>
    <t>ORD2891</t>
  </si>
  <si>
    <t>ORD2892</t>
  </si>
  <si>
    <t>ORD2893</t>
  </si>
  <si>
    <t>ORD2894</t>
  </si>
  <si>
    <t>ORD2896</t>
  </si>
  <si>
    <t>C672</t>
  </si>
  <si>
    <t>C309</t>
  </si>
  <si>
    <t>ORD2898</t>
  </si>
  <si>
    <t>ORD2899</t>
  </si>
  <si>
    <t>ORD2900</t>
  </si>
  <si>
    <t>C941</t>
  </si>
  <si>
    <t>ORD2902</t>
  </si>
  <si>
    <t>ORD2903</t>
  </si>
  <si>
    <t>ORD2904</t>
  </si>
  <si>
    <t>ORD2905</t>
  </si>
  <si>
    <t>ORD2906</t>
  </si>
  <si>
    <t>ORD2907</t>
  </si>
  <si>
    <t>ORD2908</t>
  </si>
  <si>
    <t>ORD2909</t>
  </si>
  <si>
    <t>ORD2910</t>
  </si>
  <si>
    <t>ORD2911</t>
  </si>
  <si>
    <t>ORD2912</t>
  </si>
  <si>
    <t>ORD2914</t>
  </si>
  <si>
    <t>ORD2916</t>
  </si>
  <si>
    <t>ORD2917</t>
  </si>
  <si>
    <t>ORD2918</t>
  </si>
  <si>
    <t>ORD2919</t>
  </si>
  <si>
    <t>ORD2921</t>
  </si>
  <si>
    <t>ORD2922</t>
  </si>
  <si>
    <t>ORD2924</t>
  </si>
  <si>
    <t>ORD2926</t>
  </si>
  <si>
    <t>ORD2927</t>
  </si>
  <si>
    <t>ORD2928</t>
  </si>
  <si>
    <t>ORD2929</t>
  </si>
  <si>
    <t>ORD2930</t>
  </si>
  <si>
    <t>ORD2931</t>
  </si>
  <si>
    <t>ORD2932</t>
  </si>
  <si>
    <t>ORD2933</t>
  </si>
  <si>
    <t>ORD2934</t>
  </si>
  <si>
    <t>ORD2935</t>
  </si>
  <si>
    <t>ORD2936</t>
  </si>
  <si>
    <t>C649</t>
  </si>
  <si>
    <t>ORD2937</t>
  </si>
  <si>
    <t>ORD2938</t>
  </si>
  <si>
    <t>ORD2939</t>
  </si>
  <si>
    <t>C584</t>
  </si>
  <si>
    <t>ORD2940</t>
  </si>
  <si>
    <t>ORD2941</t>
  </si>
  <si>
    <t>ORD2943</t>
  </si>
  <si>
    <t>ORD2944</t>
  </si>
  <si>
    <t>ORD2945</t>
  </si>
  <si>
    <t>ORD2947</t>
  </si>
  <si>
    <t>ORD2948</t>
  </si>
  <si>
    <t>ORD2949</t>
  </si>
  <si>
    <t>ORD2950</t>
  </si>
  <si>
    <t>ORD2951</t>
  </si>
  <si>
    <t>ORD2952</t>
  </si>
  <si>
    <t>ORD2953</t>
  </si>
  <si>
    <t>C622</t>
  </si>
  <si>
    <t>ORD2954</t>
  </si>
  <si>
    <t>C152</t>
  </si>
  <si>
    <t>ORD2955</t>
  </si>
  <si>
    <t>ORD2956</t>
  </si>
  <si>
    <t>ORD2957</t>
  </si>
  <si>
    <t>ORD2958</t>
  </si>
  <si>
    <t>ORD2959</t>
  </si>
  <si>
    <t>ORD2960</t>
  </si>
  <si>
    <t>ORD2961</t>
  </si>
  <si>
    <t>ORD2962</t>
  </si>
  <si>
    <t>ORD2963</t>
  </si>
  <si>
    <t>ORD2964</t>
  </si>
  <si>
    <t>ORD2965</t>
  </si>
  <si>
    <t>ORD2966</t>
  </si>
  <si>
    <t>ORD2967</t>
  </si>
  <si>
    <t>ORD2968</t>
  </si>
  <si>
    <t>ORD2972</t>
  </si>
  <si>
    <t>ORD2973</t>
  </si>
  <si>
    <t>ORD2975</t>
  </si>
  <si>
    <t>ORD2976</t>
  </si>
  <si>
    <t>ORD2977</t>
  </si>
  <si>
    <t>C455</t>
  </si>
  <si>
    <t>ORD2978</t>
  </si>
  <si>
    <t>ORD2979</t>
  </si>
  <si>
    <t>ORD2980</t>
  </si>
  <si>
    <t>ORD2981</t>
  </si>
  <si>
    <t>ORD2982</t>
  </si>
  <si>
    <t>ORD2983</t>
  </si>
  <si>
    <t>ORD2984</t>
  </si>
  <si>
    <t>ORD2986</t>
  </si>
  <si>
    <t>ORD2987</t>
  </si>
  <si>
    <t>ORD2988</t>
  </si>
  <si>
    <t>C604</t>
  </si>
  <si>
    <t>ORD2989</t>
  </si>
  <si>
    <t>ORD2990</t>
  </si>
  <si>
    <t>ORD2992</t>
  </si>
  <si>
    <t>ORD2993</t>
  </si>
  <si>
    <t>ORD2994</t>
  </si>
  <si>
    <t>ORD2995</t>
  </si>
  <si>
    <t>ORD2996</t>
  </si>
  <si>
    <t>ORD2997</t>
  </si>
  <si>
    <t>ORD2998</t>
  </si>
  <si>
    <t>ORD2999</t>
  </si>
  <si>
    <t>ORD3000</t>
  </si>
  <si>
    <t>ORD3001</t>
  </si>
  <si>
    <t>ORD3002</t>
  </si>
  <si>
    <t>ORD3003</t>
  </si>
  <si>
    <t>ORD3005</t>
  </si>
  <si>
    <t>C921</t>
  </si>
  <si>
    <t>ORD3006</t>
  </si>
  <si>
    <t>ORD3007</t>
  </si>
  <si>
    <t>ORD3008</t>
  </si>
  <si>
    <t>ORD3010</t>
  </si>
  <si>
    <t>ORD3012</t>
  </si>
  <si>
    <t>ORD3013</t>
  </si>
  <si>
    <t>ORD3015</t>
  </si>
  <si>
    <t>ORD3016</t>
  </si>
  <si>
    <t>ORD3017</t>
  </si>
  <si>
    <t>ORD3018</t>
  </si>
  <si>
    <t>ORD3019</t>
  </si>
  <si>
    <t>C681</t>
  </si>
  <si>
    <t>ORD3020</t>
  </si>
  <si>
    <t>ORD3022</t>
  </si>
  <si>
    <t>ORD3024</t>
  </si>
  <si>
    <t>ORD3025</t>
  </si>
  <si>
    <t>ORD3026</t>
  </si>
  <si>
    <t>C856</t>
  </si>
  <si>
    <t>ORD3027</t>
  </si>
  <si>
    <t>ORD3028</t>
  </si>
  <si>
    <t>ORD3029</t>
  </si>
  <si>
    <t>ORD3030</t>
  </si>
  <si>
    <t>ORD3031</t>
  </si>
  <si>
    <t>ORD3033</t>
  </si>
  <si>
    <t>ORD3034</t>
  </si>
  <si>
    <t>ORD3035</t>
  </si>
  <si>
    <t>ORD3036</t>
  </si>
  <si>
    <t>ORD3037</t>
  </si>
  <si>
    <t>ORD3038</t>
  </si>
  <si>
    <t>ORD3039</t>
  </si>
  <si>
    <t>ORD3040</t>
  </si>
  <si>
    <t>ORD3041</t>
  </si>
  <si>
    <t>ORD3042</t>
  </si>
  <si>
    <t>C450</t>
  </si>
  <si>
    <t>ORD3043</t>
  </si>
  <si>
    <t>ORD3045</t>
  </si>
  <si>
    <t>ORD3046</t>
  </si>
  <si>
    <t>ORD3047</t>
  </si>
  <si>
    <t>C509</t>
  </si>
  <si>
    <t>ORD3049</t>
  </si>
  <si>
    <t>ORD3050</t>
  </si>
  <si>
    <t>ORD3051</t>
  </si>
  <si>
    <t>ORD3052</t>
  </si>
  <si>
    <t>C648</t>
  </si>
  <si>
    <t>ORD3054</t>
  </si>
  <si>
    <t>ORD3056</t>
  </si>
  <si>
    <t>C474</t>
  </si>
  <si>
    <t>ORD3058</t>
  </si>
  <si>
    <t>ORD3059</t>
  </si>
  <si>
    <t>ORD3060</t>
  </si>
  <si>
    <t>ORD3061</t>
  </si>
  <si>
    <t>ORD3062</t>
  </si>
  <si>
    <t>ORD3063</t>
  </si>
  <si>
    <t>ORD3064</t>
  </si>
  <si>
    <t>ORD3065</t>
  </si>
  <si>
    <t>ORD3067</t>
  </si>
  <si>
    <t>ORD3068</t>
  </si>
  <si>
    <t>ORD3069</t>
  </si>
  <si>
    <t>ORD3070</t>
  </si>
  <si>
    <t>ORD3071</t>
  </si>
  <si>
    <t>ORD3072</t>
  </si>
  <si>
    <t>ORD3073</t>
  </si>
  <si>
    <t>ORD3074</t>
  </si>
  <si>
    <t>ORD3075</t>
  </si>
  <si>
    <t>C164</t>
  </si>
  <si>
    <t>ORD3076</t>
  </si>
  <si>
    <t>ORD3077</t>
  </si>
  <si>
    <t>ORD3078</t>
  </si>
  <si>
    <t>ORD3079</t>
  </si>
  <si>
    <t>ORD3081</t>
  </si>
  <si>
    <t>ORD3082</t>
  </si>
  <si>
    <t>ORD3083</t>
  </si>
  <si>
    <t>C230</t>
  </si>
  <si>
    <t>ORD3084</t>
  </si>
  <si>
    <t>ORD3085</t>
  </si>
  <si>
    <t>ORD3086</t>
  </si>
  <si>
    <t>C422</t>
  </si>
  <si>
    <t>ORD3087</t>
  </si>
  <si>
    <t>ORD3088</t>
  </si>
  <si>
    <t>ORD3089</t>
  </si>
  <si>
    <t>ORD3090</t>
  </si>
  <si>
    <t>ORD3091</t>
  </si>
  <si>
    <t>ORD3092</t>
  </si>
  <si>
    <t>ORD3094</t>
  </si>
  <si>
    <t>ORD3095</t>
  </si>
  <si>
    <t>ORD3096</t>
  </si>
  <si>
    <t>ORD3097</t>
  </si>
  <si>
    <t>ORD3099</t>
  </si>
  <si>
    <t>ORD3100</t>
  </si>
  <si>
    <t>ORD3101</t>
  </si>
  <si>
    <t>ORD3102</t>
  </si>
  <si>
    <t>ORD3103</t>
  </si>
  <si>
    <t>ORD3104</t>
  </si>
  <si>
    <t>ORD3105</t>
  </si>
  <si>
    <t>ORD3106</t>
  </si>
  <si>
    <t>ORD3107</t>
  </si>
  <si>
    <t>ORD3108</t>
  </si>
  <si>
    <t>ORD3110</t>
  </si>
  <si>
    <t>ORD3111</t>
  </si>
  <si>
    <t>ORD3112</t>
  </si>
  <si>
    <t>ORD3113</t>
  </si>
  <si>
    <t>ORD3114</t>
  </si>
  <si>
    <t>C148</t>
  </si>
  <si>
    <t>ORD3115</t>
  </si>
  <si>
    <t>ORD3116</t>
  </si>
  <si>
    <t>ORD3118</t>
  </si>
  <si>
    <t>ORD3119</t>
  </si>
  <si>
    <t>ORD3120</t>
  </si>
  <si>
    <t>ORD3121</t>
  </si>
  <si>
    <t>ORD3123</t>
  </si>
  <si>
    <t>ORD3124</t>
  </si>
  <si>
    <t>ORD3125</t>
  </si>
  <si>
    <t>ORD3126</t>
  </si>
  <si>
    <t>ORD3128</t>
  </si>
  <si>
    <t>C891</t>
  </si>
  <si>
    <t>ORD3129</t>
  </si>
  <si>
    <t>ORD3130</t>
  </si>
  <si>
    <t>ORD3131</t>
  </si>
  <si>
    <t>ORD3132</t>
  </si>
  <si>
    <t>ORD3133</t>
  </si>
  <si>
    <t>ORD3134</t>
  </si>
  <si>
    <t>ORD3135</t>
  </si>
  <si>
    <t>ORD3136</t>
  </si>
  <si>
    <t>ORD3137</t>
  </si>
  <si>
    <t>ORD3138</t>
  </si>
  <si>
    <t>ORD3139</t>
  </si>
  <si>
    <t>ORD3141</t>
  </si>
  <si>
    <t>ORD3142</t>
  </si>
  <si>
    <t>ORD3143</t>
  </si>
  <si>
    <t>ORD3145</t>
  </si>
  <si>
    <t>ORD3146</t>
  </si>
  <si>
    <t>ORD3148</t>
  </si>
  <si>
    <t>C594</t>
  </si>
  <si>
    <t>ORD3149</t>
  </si>
  <si>
    <t>ORD3150</t>
  </si>
  <si>
    <t>ORD3151</t>
  </si>
  <si>
    <t>ORD3152</t>
  </si>
  <si>
    <t>ORD3153</t>
  </si>
  <si>
    <t>ORD3155</t>
  </si>
  <si>
    <t>ORD3156</t>
  </si>
  <si>
    <t>ORD3157</t>
  </si>
  <si>
    <t>ORD3158</t>
  </si>
  <si>
    <t>ORD3159</t>
  </si>
  <si>
    <t>ORD3160</t>
  </si>
  <si>
    <t>ORD3161</t>
  </si>
  <si>
    <t>ORD3162</t>
  </si>
  <si>
    <t>ORD3163</t>
  </si>
  <si>
    <t>ORD3164</t>
  </si>
  <si>
    <t>ORD3165</t>
  </si>
  <si>
    <t>C203</t>
  </si>
  <si>
    <t>ORD3167</t>
  </si>
  <si>
    <t>ORD3169</t>
  </si>
  <si>
    <t>ORD3171</t>
  </si>
  <si>
    <t>ORD3172</t>
  </si>
  <si>
    <t>ORD3173</t>
  </si>
  <si>
    <t>ORD3175</t>
  </si>
  <si>
    <t>ORD3176</t>
  </si>
  <si>
    <t>ORD3178</t>
  </si>
  <si>
    <t>ORD3179</t>
  </si>
  <si>
    <t>ORD3180</t>
  </si>
  <si>
    <t>C977</t>
  </si>
  <si>
    <t>ORD3182</t>
  </si>
  <si>
    <t>ORD3183</t>
  </si>
  <si>
    <t>ORD3184</t>
  </si>
  <si>
    <t>ORD3185</t>
  </si>
  <si>
    <t>ORD3186</t>
  </si>
  <si>
    <t>ORD3189</t>
  </si>
  <si>
    <t>ORD3190</t>
  </si>
  <si>
    <t>ORD3191</t>
  </si>
  <si>
    <t>ORD3192</t>
  </si>
  <si>
    <t>ORD3194</t>
  </si>
  <si>
    <t>ORD3195</t>
  </si>
  <si>
    <t>ORD3196</t>
  </si>
  <si>
    <t>ORD3197</t>
  </si>
  <si>
    <t>ORD3198</t>
  </si>
  <si>
    <t>ORD3200</t>
  </si>
  <si>
    <t>ORD3202</t>
  </si>
  <si>
    <t>ORD3203</t>
  </si>
  <si>
    <t>ORD3204</t>
  </si>
  <si>
    <t>ORD3205</t>
  </si>
  <si>
    <t>ORD3206</t>
  </si>
  <si>
    <t>C632</t>
  </si>
  <si>
    <t>ORD3208</t>
  </si>
  <si>
    <t>ORD3209</t>
  </si>
  <si>
    <t>ORD3210</t>
  </si>
  <si>
    <t>ORD3212</t>
  </si>
  <si>
    <t>ORD3213</t>
  </si>
  <si>
    <t>ORD3214</t>
  </si>
  <si>
    <t>C355</t>
  </si>
  <si>
    <t>ORD3215</t>
  </si>
  <si>
    <t>ORD3216</t>
  </si>
  <si>
    <t>ORD3217</t>
  </si>
  <si>
    <t>ORD3218</t>
  </si>
  <si>
    <t>ORD3219</t>
  </si>
  <si>
    <t>ORD3220</t>
  </si>
  <si>
    <t>C192</t>
  </si>
  <si>
    <t>ORD3221</t>
  </si>
  <si>
    <t>ORD3222</t>
  </si>
  <si>
    <t>ORD3223</t>
  </si>
  <si>
    <t>C664</t>
  </si>
  <si>
    <t>ORD3224</t>
  </si>
  <si>
    <t>ORD3226</t>
  </si>
  <si>
    <t>ORD3229</t>
  </si>
  <si>
    <t>ORD3231</t>
  </si>
  <si>
    <t>ORD3232</t>
  </si>
  <si>
    <t>ORD3233</t>
  </si>
  <si>
    <t>ORD3234</t>
  </si>
  <si>
    <t>ORD3235</t>
  </si>
  <si>
    <t>ORD3236</t>
  </si>
  <si>
    <t>ORD3237</t>
  </si>
  <si>
    <t>ORD3238</t>
  </si>
  <si>
    <t>ORD3239</t>
  </si>
  <si>
    <t>ORD3240</t>
  </si>
  <si>
    <t>ORD3241</t>
  </si>
  <si>
    <t>ORD3242</t>
  </si>
  <si>
    <t>ORD3243</t>
  </si>
  <si>
    <t>ORD3245</t>
  </si>
  <si>
    <t>ORD3246</t>
  </si>
  <si>
    <t>ORD3247</t>
  </si>
  <si>
    <t>C743</t>
  </si>
  <si>
    <t>ORD3248</t>
  </si>
  <si>
    <t>ORD3249</t>
  </si>
  <si>
    <t>C999</t>
  </si>
  <si>
    <t>ORD3250</t>
  </si>
  <si>
    <t>C732</t>
  </si>
  <si>
    <t>ORD3251</t>
  </si>
  <si>
    <t>ORD3252</t>
  </si>
  <si>
    <t>ORD3253</t>
  </si>
  <si>
    <t>ORD3254</t>
  </si>
  <si>
    <t>ORD3256</t>
  </si>
  <si>
    <t>ORD3257</t>
  </si>
  <si>
    <t>ORD3258</t>
  </si>
  <si>
    <t>ORD3259</t>
  </si>
  <si>
    <t>ORD3260</t>
  </si>
  <si>
    <t>ORD3261</t>
  </si>
  <si>
    <t>ORD3262</t>
  </si>
  <si>
    <t>ORD3263</t>
  </si>
  <si>
    <t>ORD3264</t>
  </si>
  <si>
    <t>ORD3265</t>
  </si>
  <si>
    <t>ORD3266</t>
  </si>
  <si>
    <t>ORD3268</t>
  </si>
  <si>
    <t>C943</t>
  </si>
  <si>
    <t>ORD3269</t>
  </si>
  <si>
    <t>ORD3270</t>
  </si>
  <si>
    <t>ORD3271</t>
  </si>
  <si>
    <t>ORD3272</t>
  </si>
  <si>
    <t>ORD3273</t>
  </si>
  <si>
    <t>ORD3274</t>
  </si>
  <si>
    <t>ORD3275</t>
  </si>
  <si>
    <t>ORD3276</t>
  </si>
  <si>
    <t>ORD3277</t>
  </si>
  <si>
    <t>ORD3278</t>
  </si>
  <si>
    <t>ORD3279</t>
  </si>
  <si>
    <t>ORD3280</t>
  </si>
  <si>
    <t>ORD3281</t>
  </si>
  <si>
    <t>ORD3282</t>
  </si>
  <si>
    <t>ORD3283</t>
  </si>
  <si>
    <t>ORD3284</t>
  </si>
  <si>
    <t>ORD3286</t>
  </si>
  <si>
    <t>C922</t>
  </si>
  <si>
    <t>ORD3287</t>
  </si>
  <si>
    <t>ORD3288</t>
  </si>
  <si>
    <t>ORD3290</t>
  </si>
  <si>
    <t>ORD3291</t>
  </si>
  <si>
    <t>ORD3292</t>
  </si>
  <si>
    <t>ORD3293</t>
  </si>
  <si>
    <t>ORD3294</t>
  </si>
  <si>
    <t>ORD3295</t>
  </si>
  <si>
    <t>ORD3297</t>
  </si>
  <si>
    <t>ORD3298</t>
  </si>
  <si>
    <t>ORD3299</t>
  </si>
  <si>
    <t>ORD3301</t>
  </si>
  <si>
    <t>ORD3302</t>
  </si>
  <si>
    <t>ORD3303</t>
  </si>
  <si>
    <t>ORD3304</t>
  </si>
  <si>
    <t>ORD3306</t>
  </si>
  <si>
    <t>C764</t>
  </si>
  <si>
    <t>ORD3307</t>
  </si>
  <si>
    <t>ORD3308</t>
  </si>
  <si>
    <t>ORD3309</t>
  </si>
  <si>
    <t>ORD3312</t>
  </si>
  <si>
    <t>ORD3313</t>
  </si>
  <si>
    <t>ORD3314</t>
  </si>
  <si>
    <t>ORD3315</t>
  </si>
  <si>
    <t>ORD3316</t>
  </si>
  <si>
    <t>ORD3317</t>
  </si>
  <si>
    <t>ORD3318</t>
  </si>
  <si>
    <t>ORD3319</t>
  </si>
  <si>
    <t>ORD3321</t>
  </si>
  <si>
    <t>ORD3323</t>
  </si>
  <si>
    <t>ORD3324</t>
  </si>
  <si>
    <t>ORD3325</t>
  </si>
  <si>
    <t>ORD3326</t>
  </si>
  <si>
    <t>ORD3327</t>
  </si>
  <si>
    <t>ORD3328</t>
  </si>
  <si>
    <t>ORD3331</t>
  </si>
  <si>
    <t>ORD3332</t>
  </si>
  <si>
    <t>ORD3333</t>
  </si>
  <si>
    <t>ORD3335</t>
  </si>
  <si>
    <t>ORD3336</t>
  </si>
  <si>
    <t>ORD3337</t>
  </si>
  <si>
    <t>C430</t>
  </si>
  <si>
    <t>ORD3338</t>
  </si>
  <si>
    <t>C254</t>
  </si>
  <si>
    <t>ORD3339</t>
  </si>
  <si>
    <t>ORD3340</t>
  </si>
  <si>
    <t>C837</t>
  </si>
  <si>
    <t>ORD3341</t>
  </si>
  <si>
    <t>ORD3342</t>
  </si>
  <si>
    <t>ORD3343</t>
  </si>
  <si>
    <t>ORD3344</t>
  </si>
  <si>
    <t>ORD3346</t>
  </si>
  <si>
    <t>ORD3347</t>
  </si>
  <si>
    <t>ORD3348</t>
  </si>
  <si>
    <t>ORD3349</t>
  </si>
  <si>
    <t>ORD3350</t>
  </si>
  <si>
    <t>ORD3351</t>
  </si>
  <si>
    <t>ORD3352</t>
  </si>
  <si>
    <t>ORD3353</t>
  </si>
  <si>
    <t>C139</t>
  </si>
  <si>
    <t>ORD3354</t>
  </si>
  <si>
    <t>ORD3355</t>
  </si>
  <si>
    <t>ORD3356</t>
  </si>
  <si>
    <t>ORD3358</t>
  </si>
  <si>
    <t>ORD3361</t>
  </si>
  <si>
    <t>ORD3362</t>
  </si>
  <si>
    <t>ORD3364</t>
  </si>
  <si>
    <t>ORD3365</t>
  </si>
  <si>
    <t>ORD3366</t>
  </si>
  <si>
    <t>C195</t>
  </si>
  <si>
    <t>ORD3367</t>
  </si>
  <si>
    <t>ORD3368</t>
  </si>
  <si>
    <t>ORD3370</t>
  </si>
  <si>
    <t>ORD3371</t>
  </si>
  <si>
    <t>ORD3372</t>
  </si>
  <si>
    <t>ORD3373</t>
  </si>
  <si>
    <t>ORD3374</t>
  </si>
  <si>
    <t>ORD3375</t>
  </si>
  <si>
    <t>ORD3376</t>
  </si>
  <si>
    <t>ORD3377</t>
  </si>
  <si>
    <t>ORD3378</t>
  </si>
  <si>
    <t>ORD3379</t>
  </si>
  <si>
    <t>ORD3381</t>
  </si>
  <si>
    <t>ORD3382</t>
  </si>
  <si>
    <t>ORD3383</t>
  </si>
  <si>
    <t>ORD3384</t>
  </si>
  <si>
    <t>ORD3385</t>
  </si>
  <si>
    <t>ORD3387</t>
  </si>
  <si>
    <t>ORD3388</t>
  </si>
  <si>
    <t>ORD3390</t>
  </si>
  <si>
    <t>ORD3391</t>
  </si>
  <si>
    <t>ORD3392</t>
  </si>
  <si>
    <t>ORD3393</t>
  </si>
  <si>
    <t>ORD3394</t>
  </si>
  <si>
    <t>ORD3396</t>
  </si>
  <si>
    <t>ORD3397</t>
  </si>
  <si>
    <t>ORD3398</t>
  </si>
  <si>
    <t>ORD3399</t>
  </si>
  <si>
    <t>ORD3400</t>
  </si>
  <si>
    <t>ORD3401</t>
  </si>
  <si>
    <t>ORD3402</t>
  </si>
  <si>
    <t>ORD3403</t>
  </si>
  <si>
    <t>ORD3404</t>
  </si>
  <si>
    <t>ORD3405</t>
  </si>
  <si>
    <t>C894</t>
  </si>
  <si>
    <t>ORD3406</t>
  </si>
  <si>
    <t>ORD3407</t>
  </si>
  <si>
    <t>C337</t>
  </si>
  <si>
    <t>ORD3408</t>
  </si>
  <si>
    <t>ORD3409</t>
  </si>
  <si>
    <t>ORD3410</t>
  </si>
  <si>
    <t>ORD3412</t>
  </si>
  <si>
    <t>ORD3413</t>
  </si>
  <si>
    <t>ORD3415</t>
  </si>
  <si>
    <t>ORD3417</t>
  </si>
  <si>
    <t>ORD3418</t>
  </si>
  <si>
    <t>ORD3419</t>
  </si>
  <si>
    <t>ORD3420</t>
  </si>
  <si>
    <t>C543</t>
  </si>
  <si>
    <t>ORD3421</t>
  </si>
  <si>
    <t>ORD3422</t>
  </si>
  <si>
    <t>ORD3425</t>
  </si>
  <si>
    <t>ORD3426</t>
  </si>
  <si>
    <t>ORD3427</t>
  </si>
  <si>
    <t>ORD3428</t>
  </si>
  <si>
    <t>ORD3429</t>
  </si>
  <si>
    <t>ORD3430</t>
  </si>
  <si>
    <t>ORD3431</t>
  </si>
  <si>
    <t>ORD3433</t>
  </si>
  <si>
    <t>ORD3434</t>
  </si>
  <si>
    <t>ORD3435</t>
  </si>
  <si>
    <t>C220</t>
  </si>
  <si>
    <t>ORD3436</t>
  </si>
  <si>
    <t>ORD3437</t>
  </si>
  <si>
    <t>ORD3438</t>
  </si>
  <si>
    <t>ORD3439</t>
  </si>
  <si>
    <t>ORD3440</t>
  </si>
  <si>
    <t>ORD3441</t>
  </si>
  <si>
    <t>ORD3442</t>
  </si>
  <si>
    <t>ORD3444</t>
  </si>
  <si>
    <t>ORD3445</t>
  </si>
  <si>
    <t>ORD3446</t>
  </si>
  <si>
    <t>ORD3447</t>
  </si>
  <si>
    <t>ORD3450</t>
  </si>
  <si>
    <t>ORD3452</t>
  </si>
  <si>
    <t>ORD3453</t>
  </si>
  <si>
    <t>ORD3454</t>
  </si>
  <si>
    <t>ORD3455</t>
  </si>
  <si>
    <t>ORD3456</t>
  </si>
  <si>
    <t>ORD3457</t>
  </si>
  <si>
    <t>C299</t>
  </si>
  <si>
    <t>ORD3458</t>
  </si>
  <si>
    <t>ORD3459</t>
  </si>
  <si>
    <t>ORD3460</t>
  </si>
  <si>
    <t>ORD3462</t>
  </si>
  <si>
    <t>ORD3463</t>
  </si>
  <si>
    <t>C973</t>
  </si>
  <si>
    <t>ORD3464</t>
  </si>
  <si>
    <t>ORD3465</t>
  </si>
  <si>
    <t>ORD3467</t>
  </si>
  <si>
    <t>ORD3468</t>
  </si>
  <si>
    <t>ORD3472</t>
  </si>
  <si>
    <t>ORD3474</t>
  </si>
  <si>
    <t>ORD3475</t>
  </si>
  <si>
    <t>ORD3477</t>
  </si>
  <si>
    <t>ORD3478</t>
  </si>
  <si>
    <t>ORD3479</t>
  </si>
  <si>
    <t>ORD3480</t>
  </si>
  <si>
    <t>ORD3481</t>
  </si>
  <si>
    <t>ORD3483</t>
  </si>
  <si>
    <t>ORD3484</t>
  </si>
  <si>
    <t>ORD3485</t>
  </si>
  <si>
    <t>ORD3486</t>
  </si>
  <si>
    <t>ORD3487</t>
  </si>
  <si>
    <t>ORD3489</t>
  </si>
  <si>
    <t>ORD3490</t>
  </si>
  <si>
    <t>ORD3491</t>
  </si>
  <si>
    <t>ORD3492</t>
  </si>
  <si>
    <t>ORD3493</t>
  </si>
  <si>
    <t>ORD3495</t>
  </si>
  <si>
    <t>ORD3496</t>
  </si>
  <si>
    <t>ORD3497</t>
  </si>
  <si>
    <t>ORD3498</t>
  </si>
  <si>
    <t>ORD3499</t>
  </si>
  <si>
    <t>ORD3500</t>
  </si>
  <si>
    <t>ORD3501</t>
  </si>
  <si>
    <t>ORD3502</t>
  </si>
  <si>
    <t>ORD3507</t>
  </si>
  <si>
    <t>ORD3508</t>
  </si>
  <si>
    <t>ORD3509</t>
  </si>
  <si>
    <t>ORD3510</t>
  </si>
  <si>
    <t>ORD3511</t>
  </si>
  <si>
    <t>ORD3513</t>
  </si>
  <si>
    <t>ORD3514</t>
  </si>
  <si>
    <t>ORD3515</t>
  </si>
  <si>
    <t>ORD3516</t>
  </si>
  <si>
    <t>ORD3517</t>
  </si>
  <si>
    <t>ORD3518</t>
  </si>
  <si>
    <t>ORD3519</t>
  </si>
  <si>
    <t>ORD3520</t>
  </si>
  <si>
    <t>ORD3521</t>
  </si>
  <si>
    <t>ORD3522</t>
  </si>
  <si>
    <t>ORD3523</t>
  </si>
  <si>
    <t>ORD3524</t>
  </si>
  <si>
    <t>ORD3525</t>
  </si>
  <si>
    <t>ORD3526</t>
  </si>
  <si>
    <t>ORD3527</t>
  </si>
  <si>
    <t>ORD3528</t>
  </si>
  <si>
    <t>ORD3529</t>
  </si>
  <si>
    <t>ORD3530</t>
  </si>
  <si>
    <t>ORD3531</t>
  </si>
  <si>
    <t>ORD3532</t>
  </si>
  <si>
    <t>ORD3533</t>
  </si>
  <si>
    <t>ORD3534</t>
  </si>
  <si>
    <t>ORD3535</t>
  </si>
  <si>
    <t>ORD3537</t>
  </si>
  <si>
    <t>ORD3538</t>
  </si>
  <si>
    <t>ORD3539</t>
  </si>
  <si>
    <t>ORD3540</t>
  </si>
  <si>
    <t>ORD3541</t>
  </si>
  <si>
    <t>ORD3542</t>
  </si>
  <si>
    <t>ORD3543</t>
  </si>
  <si>
    <t>ORD3545</t>
  </si>
  <si>
    <t>ORD3546</t>
  </si>
  <si>
    <t>ORD3547</t>
  </si>
  <si>
    <t>ORD3548</t>
  </si>
  <si>
    <t>ORD3549</t>
  </si>
  <si>
    <t>ORD3550</t>
  </si>
  <si>
    <t>ORD3551</t>
  </si>
  <si>
    <t>ORD3552</t>
  </si>
  <si>
    <t>ORD3553</t>
  </si>
  <si>
    <t>ORD3554</t>
  </si>
  <si>
    <t>ORD3555</t>
  </si>
  <si>
    <t>ORD3556</t>
  </si>
  <si>
    <t>ORD3557</t>
  </si>
  <si>
    <t>ORD3558</t>
  </si>
  <si>
    <t>ORD3559</t>
  </si>
  <si>
    <t>ORD3561</t>
  </si>
  <si>
    <t>ORD3562</t>
  </si>
  <si>
    <t>C790</t>
  </si>
  <si>
    <t>ORD3564</t>
  </si>
  <si>
    <t>ORD3565</t>
  </si>
  <si>
    <t>ORD3566</t>
  </si>
  <si>
    <t>ORD3567</t>
  </si>
  <si>
    <t>ORD3568</t>
  </si>
  <si>
    <t>ORD3569</t>
  </si>
  <si>
    <t>ORD3572</t>
  </si>
  <si>
    <t>ORD3573</t>
  </si>
  <si>
    <t>ORD3575</t>
  </si>
  <si>
    <t>ORD3576</t>
  </si>
  <si>
    <t>ORD3577</t>
  </si>
  <si>
    <t>ORD3578</t>
  </si>
  <si>
    <t>ORD3579</t>
  </si>
  <si>
    <t>ORD3581</t>
  </si>
  <si>
    <t>ORD3582</t>
  </si>
  <si>
    <t>ORD3583</t>
  </si>
  <si>
    <t>ORD3584</t>
  </si>
  <si>
    <t>C625</t>
  </si>
  <si>
    <t>ORD3585</t>
  </si>
  <si>
    <t>ORD3590</t>
  </si>
  <si>
    <t>ORD3591</t>
  </si>
  <si>
    <t>C986</t>
  </si>
  <si>
    <t>ORD3592</t>
  </si>
  <si>
    <t>ORD3593</t>
  </si>
  <si>
    <t>ORD3594</t>
  </si>
  <si>
    <t>ORD3595</t>
  </si>
  <si>
    <t>ORD3597</t>
  </si>
  <si>
    <t>ORD3598</t>
  </si>
  <si>
    <t>ORD3600</t>
  </si>
  <si>
    <t>ORD3601</t>
  </si>
  <si>
    <t>ORD3603</t>
  </si>
  <si>
    <t>ORD3604</t>
  </si>
  <si>
    <t>ORD3605</t>
  </si>
  <si>
    <t>ORD3606</t>
  </si>
  <si>
    <t>ORD3607</t>
  </si>
  <si>
    <t>ORD3608</t>
  </si>
  <si>
    <t>ORD3609</t>
  </si>
  <si>
    <t>ORD3610</t>
  </si>
  <si>
    <t>ORD3611</t>
  </si>
  <si>
    <t>ORD3612</t>
  </si>
  <si>
    <t>ORD3614</t>
  </si>
  <si>
    <t>ORD3615</t>
  </si>
  <si>
    <t>ORD3616</t>
  </si>
  <si>
    <t>ORD3617</t>
  </si>
  <si>
    <t>ORD3618</t>
  </si>
  <si>
    <t>ORD3619</t>
  </si>
  <si>
    <t>ORD3620</t>
  </si>
  <si>
    <t>ORD3621</t>
  </si>
  <si>
    <t>ORD3622</t>
  </si>
  <si>
    <t>ORD3623</t>
  </si>
  <si>
    <t>C402</t>
  </si>
  <si>
    <t>ORD3625</t>
  </si>
  <si>
    <t>ORD3626</t>
  </si>
  <si>
    <t>ORD3627</t>
  </si>
  <si>
    <t>ORD3628</t>
  </si>
  <si>
    <t>ORD3629</t>
  </si>
  <si>
    <t>C684</t>
  </si>
  <si>
    <t>ORD3630</t>
  </si>
  <si>
    <t>C662</t>
  </si>
  <si>
    <t>ORD3631</t>
  </si>
  <si>
    <t>ORD3632</t>
  </si>
  <si>
    <t>ORD3633</t>
  </si>
  <si>
    <t>C121</t>
  </si>
  <si>
    <t>ORD3634</t>
  </si>
  <si>
    <t>ORD3635</t>
  </si>
  <si>
    <t>ORD3636</t>
  </si>
  <si>
    <t>ORD3637</t>
  </si>
  <si>
    <t>ORD3638</t>
  </si>
  <si>
    <t>ORD3639</t>
  </si>
  <si>
    <t>ORD3640</t>
  </si>
  <si>
    <t>ORD3641</t>
  </si>
  <si>
    <t>ORD3643</t>
  </si>
  <si>
    <t>ORD3644</t>
  </si>
  <si>
    <t>ORD3647</t>
  </si>
  <si>
    <t>ORD3648</t>
  </si>
  <si>
    <t>ORD3649</t>
  </si>
  <si>
    <t>ORD3650</t>
  </si>
  <si>
    <t>ORD3651</t>
  </si>
  <si>
    <t>ORD3652</t>
  </si>
  <si>
    <t>ORD3653</t>
  </si>
  <si>
    <t>C409</t>
  </si>
  <si>
    <t>ORD3654</t>
  </si>
  <si>
    <t>ORD3655</t>
  </si>
  <si>
    <t>ORD3657</t>
  </si>
  <si>
    <t>ORD3659</t>
  </si>
  <si>
    <t>ORD3660</t>
  </si>
  <si>
    <t>ORD3661</t>
  </si>
  <si>
    <t>ORD3662</t>
  </si>
  <si>
    <t>ORD3663</t>
  </si>
  <si>
    <t>ORD3665</t>
  </si>
  <si>
    <t>ORD3667</t>
  </si>
  <si>
    <t>ORD3668</t>
  </si>
  <si>
    <t>ORD3669</t>
  </si>
  <si>
    <t>ORD3673</t>
  </si>
  <si>
    <t>ORD3674</t>
  </si>
  <si>
    <t>ORD3675</t>
  </si>
  <si>
    <t>ORD3676</t>
  </si>
  <si>
    <t>ORD3677</t>
  </si>
  <si>
    <t>ORD3678</t>
  </si>
  <si>
    <t>ORD3679</t>
  </si>
  <si>
    <t>ORD3680</t>
  </si>
  <si>
    <t>ORD3682</t>
  </si>
  <si>
    <t>ORD3683</t>
  </si>
  <si>
    <t>ORD3684</t>
  </si>
  <si>
    <t>ORD3685</t>
  </si>
  <si>
    <t>ORD3686</t>
  </si>
  <si>
    <t>ORD3688</t>
  </si>
  <si>
    <t>ORD3689</t>
  </si>
  <si>
    <t>ORD3690</t>
  </si>
  <si>
    <t>ORD3692</t>
  </si>
  <si>
    <t>ORD3693</t>
  </si>
  <si>
    <t>ORD3694</t>
  </si>
  <si>
    <t>ORD3695</t>
  </si>
  <si>
    <t>ORD3696</t>
  </si>
  <si>
    <t>ORD3697</t>
  </si>
  <si>
    <t>ORD3698</t>
  </si>
  <si>
    <t>ORD3699</t>
  </si>
  <si>
    <t>ORD3701</t>
  </si>
  <si>
    <t>ORD3702</t>
  </si>
  <si>
    <t>ORD3703</t>
  </si>
  <si>
    <t>ORD3704</t>
  </si>
  <si>
    <t>ORD3705</t>
  </si>
  <si>
    <t>ORD3706</t>
  </si>
  <si>
    <t>C736</t>
  </si>
  <si>
    <t>ORD3707</t>
  </si>
  <si>
    <t>ORD3708</t>
  </si>
  <si>
    <t>ORD3709</t>
  </si>
  <si>
    <t>ORD3710</t>
  </si>
  <si>
    <t>ORD3711</t>
  </si>
  <si>
    <t>ORD3712</t>
  </si>
  <si>
    <t>ORD3713</t>
  </si>
  <si>
    <t>ORD3714</t>
  </si>
  <si>
    <t>ORD3716</t>
  </si>
  <si>
    <t>ORD3717</t>
  </si>
  <si>
    <t>ORD3719</t>
  </si>
  <si>
    <t>ORD3720</t>
  </si>
  <si>
    <t>ORD3721</t>
  </si>
  <si>
    <t>ORD3722</t>
  </si>
  <si>
    <t>ORD3723</t>
  </si>
  <si>
    <t>ORD3724</t>
  </si>
  <si>
    <t>ORD3725</t>
  </si>
  <si>
    <t>ORD3726</t>
  </si>
  <si>
    <t>ORD3727</t>
  </si>
  <si>
    <t>ORD3728</t>
  </si>
  <si>
    <t>ORD3729</t>
  </si>
  <si>
    <t>ORD3730</t>
  </si>
  <si>
    <t>ORD3731</t>
  </si>
  <si>
    <t>ORD3732</t>
  </si>
  <si>
    <t>ORD3733</t>
  </si>
  <si>
    <t>ORD3734</t>
  </si>
  <si>
    <t>ORD3735</t>
  </si>
  <si>
    <t>ORD3736</t>
  </si>
  <si>
    <t>ORD3737</t>
  </si>
  <si>
    <t>ORD3738</t>
  </si>
  <si>
    <t>ORD3739</t>
  </si>
  <si>
    <t>C869</t>
  </si>
  <si>
    <t>ORD3741</t>
  </si>
  <si>
    <t>ORD3742</t>
  </si>
  <si>
    <t>ORD3743</t>
  </si>
  <si>
    <t>ORD3744</t>
  </si>
  <si>
    <t>ORD3745</t>
  </si>
  <si>
    <t>ORD3746</t>
  </si>
  <si>
    <t>ORD3748</t>
  </si>
  <si>
    <t>ORD3749</t>
  </si>
  <si>
    <t>ORD3750</t>
  </si>
  <si>
    <t>ORD3751</t>
  </si>
  <si>
    <t>ORD3752</t>
  </si>
  <si>
    <t>ORD3753</t>
  </si>
  <si>
    <t>ORD3755</t>
  </si>
  <si>
    <t>ORD3757</t>
  </si>
  <si>
    <t>ORD3758</t>
  </si>
  <si>
    <t>ORD3759</t>
  </si>
  <si>
    <t>ORD3760</t>
  </si>
  <si>
    <t>ORD3761</t>
  </si>
  <si>
    <t>ORD3762</t>
  </si>
  <si>
    <t>ORD3763</t>
  </si>
  <si>
    <t>ORD3764</t>
  </si>
  <si>
    <t>ORD3765</t>
  </si>
  <si>
    <t>ORD3766</t>
  </si>
  <si>
    <t>ORD3767</t>
  </si>
  <si>
    <t>ORD3768</t>
  </si>
  <si>
    <t>ORD3769</t>
  </si>
  <si>
    <t>ORD3770</t>
  </si>
  <si>
    <t>ORD3771</t>
  </si>
  <si>
    <t>ORD3772</t>
  </si>
  <si>
    <t>ORD3773</t>
  </si>
  <si>
    <t>ORD3775</t>
  </si>
  <si>
    <t>ORD3777</t>
  </si>
  <si>
    <t>ORD3779</t>
  </si>
  <si>
    <t>ORD3780</t>
  </si>
  <si>
    <t>ORD3781</t>
  </si>
  <si>
    <t>ORD3782</t>
  </si>
  <si>
    <t>ORD3783</t>
  </si>
  <si>
    <t>ORD3784</t>
  </si>
  <si>
    <t>ORD3785</t>
  </si>
  <si>
    <t>ORD3787</t>
  </si>
  <si>
    <t>ORD3788</t>
  </si>
  <si>
    <t>ORD3789</t>
  </si>
  <si>
    <t>ORD3790</t>
  </si>
  <si>
    <t>ORD3791</t>
  </si>
  <si>
    <t>ORD3792</t>
  </si>
  <si>
    <t>ORD3793</t>
  </si>
  <si>
    <t>ORD3794</t>
  </si>
  <si>
    <t>ORD3795</t>
  </si>
  <si>
    <t>ORD3796</t>
  </si>
  <si>
    <t>ORD3797</t>
  </si>
  <si>
    <t>ORD3798</t>
  </si>
  <si>
    <t>ORD3799</t>
  </si>
  <si>
    <t>ORD3800</t>
  </si>
  <si>
    <t>ORD3801</t>
  </si>
  <si>
    <t>ORD3802</t>
  </si>
  <si>
    <t>ORD3803</t>
  </si>
  <si>
    <t>ORD3804</t>
  </si>
  <si>
    <t>ORD3805</t>
  </si>
  <si>
    <t>ORD3806</t>
  </si>
  <si>
    <t>ORD3807</t>
  </si>
  <si>
    <t>ORD3808</t>
  </si>
  <si>
    <t>ORD3809</t>
  </si>
  <si>
    <t>ORD3810</t>
  </si>
  <si>
    <t>ORD3811</t>
  </si>
  <si>
    <t>C208</t>
  </si>
  <si>
    <t>ORD3812</t>
  </si>
  <si>
    <t>ORD3813</t>
  </si>
  <si>
    <t>ORD3814</t>
  </si>
  <si>
    <t>ORD3815</t>
  </si>
  <si>
    <t>ORD3816</t>
  </si>
  <si>
    <t>ORD3817</t>
  </si>
  <si>
    <t>C321</t>
  </si>
  <si>
    <t>ORD3818</t>
  </si>
  <si>
    <t>ORD3819</t>
  </si>
  <si>
    <t>ORD3820</t>
  </si>
  <si>
    <t>ORD3821</t>
  </si>
  <si>
    <t>ORD3822</t>
  </si>
  <si>
    <t>ORD3823</t>
  </si>
  <si>
    <t>ORD3824</t>
  </si>
  <si>
    <t>ORD3825</t>
  </si>
  <si>
    <t>ORD3826</t>
  </si>
  <si>
    <t>ORD3829</t>
  </si>
  <si>
    <t>ORD3830</t>
  </si>
  <si>
    <t>ORD3831</t>
  </si>
  <si>
    <t>ORD3832</t>
  </si>
  <si>
    <t>ORD3833</t>
  </si>
  <si>
    <t>ORD3834</t>
  </si>
  <si>
    <t>ORD3835</t>
  </si>
  <si>
    <t>ORD3836</t>
  </si>
  <si>
    <t>ORD3837</t>
  </si>
  <si>
    <t>ORD3838</t>
  </si>
  <si>
    <t>C312</t>
  </si>
  <si>
    <t>ORD3840</t>
  </si>
  <si>
    <t>ORD3841</t>
  </si>
  <si>
    <t>ORD3842</t>
  </si>
  <si>
    <t>ORD3843</t>
  </si>
  <si>
    <t>ORD3844</t>
  </si>
  <si>
    <t>C682</t>
  </si>
  <si>
    <t>ORD3845</t>
  </si>
  <si>
    <t>ORD3846</t>
  </si>
  <si>
    <t>ORD3847</t>
  </si>
  <si>
    <t>ORD3848</t>
  </si>
  <si>
    <t>ORD3850</t>
  </si>
  <si>
    <t>ORD3851</t>
  </si>
  <si>
    <t>ORD3853</t>
  </si>
  <si>
    <t>ORD3854</t>
  </si>
  <si>
    <t>ORD3855</t>
  </si>
  <si>
    <t>ORD3856</t>
  </si>
  <si>
    <t>ORD3857</t>
  </si>
  <si>
    <t>ORD3858</t>
  </si>
  <si>
    <t>ORD3860</t>
  </si>
  <si>
    <t>ORD3861</t>
  </si>
  <si>
    <t>ORD3862</t>
  </si>
  <si>
    <t>ORD3864</t>
  </si>
  <si>
    <t>ORD3865</t>
  </si>
  <si>
    <t>ORD3866</t>
  </si>
  <si>
    <t>ORD3867</t>
  </si>
  <si>
    <t>ORD3868</t>
  </si>
  <si>
    <t>ORD3869</t>
  </si>
  <si>
    <t>ORD3870</t>
  </si>
  <si>
    <t>ORD3871</t>
  </si>
  <si>
    <t>ORD3872</t>
  </si>
  <si>
    <t>ORD3873</t>
  </si>
  <si>
    <t>ORD3874</t>
  </si>
  <si>
    <t>C550</t>
  </si>
  <si>
    <t>ORD3875</t>
  </si>
  <si>
    <t>ORD3876</t>
  </si>
  <si>
    <t>ORD3877</t>
  </si>
  <si>
    <t>ORD3879</t>
  </si>
  <si>
    <t>ORD3880</t>
  </si>
  <si>
    <t>ORD3881</t>
  </si>
  <si>
    <t>ORD3883</t>
  </si>
  <si>
    <t>ORD3884</t>
  </si>
  <si>
    <t>C866</t>
  </si>
  <si>
    <t>ORD3886</t>
  </si>
  <si>
    <t>ORD3887</t>
  </si>
  <si>
    <t>C552</t>
  </si>
  <si>
    <t>ORD3888</t>
  </si>
  <si>
    <t>ORD3890</t>
  </si>
  <si>
    <t>ORD3891</t>
  </si>
  <si>
    <t>ORD3892</t>
  </si>
  <si>
    <t>ORD3893</t>
  </si>
  <si>
    <t>ORD3894</t>
  </si>
  <si>
    <t>ORD3895</t>
  </si>
  <si>
    <t>ORD3896</t>
  </si>
  <si>
    <t>ORD3898</t>
  </si>
  <si>
    <t>ORD3899</t>
  </si>
  <si>
    <t>ORD3900</t>
  </si>
  <si>
    <t>ORD3901</t>
  </si>
  <si>
    <t>ORD3902</t>
  </si>
  <si>
    <t>ORD3903</t>
  </si>
  <si>
    <t>C707</t>
  </si>
  <si>
    <t>ORD3904</t>
  </si>
  <si>
    <t>ORD3906</t>
  </si>
  <si>
    <t>ORD3907</t>
  </si>
  <si>
    <t>ORD3908</t>
  </si>
  <si>
    <t>ORD3909</t>
  </si>
  <si>
    <t>ORD3910</t>
  </si>
  <si>
    <t>ORD3913</t>
  </si>
  <si>
    <t>ORD3914</t>
  </si>
  <si>
    <t>ORD3915</t>
  </si>
  <si>
    <t>ORD3916</t>
  </si>
  <si>
    <t>ORD3917</t>
  </si>
  <si>
    <t>ORD3918</t>
  </si>
  <si>
    <t>ORD3919</t>
  </si>
  <si>
    <t>ORD3920</t>
  </si>
  <si>
    <t>ORD3921</t>
  </si>
  <si>
    <t>ORD3922</t>
  </si>
  <si>
    <t>ORD3923</t>
  </si>
  <si>
    <t>ORD3924</t>
  </si>
  <si>
    <t>ORD3925</t>
  </si>
  <si>
    <t>ORD3926</t>
  </si>
  <si>
    <t>ORD3927</t>
  </si>
  <si>
    <t>ORD3928</t>
  </si>
  <si>
    <t>ORD3929</t>
  </si>
  <si>
    <t>ORD3930</t>
  </si>
  <si>
    <t>C690</t>
  </si>
  <si>
    <t>ORD3931</t>
  </si>
  <si>
    <t>C393</t>
  </si>
  <si>
    <t>ORD3933</t>
  </si>
  <si>
    <t>ORD3934</t>
  </si>
  <si>
    <t>ORD3935</t>
  </si>
  <si>
    <t>ORD3936</t>
  </si>
  <si>
    <t>ORD3937</t>
  </si>
  <si>
    <t>ORD3938</t>
  </si>
  <si>
    <t>ORD3939</t>
  </si>
  <si>
    <t>ORD3942</t>
  </si>
  <si>
    <t>ORD3943</t>
  </si>
  <si>
    <t>C228</t>
  </si>
  <si>
    <t>ORD3944</t>
  </si>
  <si>
    <t>ORD3945</t>
  </si>
  <si>
    <t>ORD3946</t>
  </si>
  <si>
    <t>C722</t>
  </si>
  <si>
    <t>ORD3947</t>
  </si>
  <si>
    <t>ORD3948</t>
  </si>
  <si>
    <t>ORD3950</t>
  </si>
  <si>
    <t>C229</t>
  </si>
  <si>
    <t>ORD3951</t>
  </si>
  <si>
    <t>ORD3953</t>
  </si>
  <si>
    <t>ORD3954</t>
  </si>
  <si>
    <t>ORD3955</t>
  </si>
  <si>
    <t>ORD3956</t>
  </si>
  <si>
    <t>ORD3957</t>
  </si>
  <si>
    <t>ORD3958</t>
  </si>
  <si>
    <t>ORD3959</t>
  </si>
  <si>
    <t>ORD3960</t>
  </si>
  <si>
    <t>ORD3961</t>
  </si>
  <si>
    <t>ORD3962</t>
  </si>
  <si>
    <t>ORD3963</t>
  </si>
  <si>
    <t>ORD3964</t>
  </si>
  <si>
    <t>ORD3965</t>
  </si>
  <si>
    <t>ORD3966</t>
  </si>
  <si>
    <t>ORD3967</t>
  </si>
  <si>
    <t>ORD3968</t>
  </si>
  <si>
    <t>ORD3969</t>
  </si>
  <si>
    <t>ORD3970</t>
  </si>
  <si>
    <t>ORD3971</t>
  </si>
  <si>
    <t>ORD3972</t>
  </si>
  <si>
    <t>ORD3973</t>
  </si>
  <si>
    <t>ORD3975</t>
  </si>
  <si>
    <t>ORD3976</t>
  </si>
  <si>
    <t>ORD3977</t>
  </si>
  <si>
    <t>ORD3978</t>
  </si>
  <si>
    <t>ORD3979</t>
  </si>
  <si>
    <t>ORD3980</t>
  </si>
  <si>
    <t>ORD3981</t>
  </si>
  <si>
    <t>ORD3982</t>
  </si>
  <si>
    <t>ORD3983</t>
  </si>
  <si>
    <t>ORD3984</t>
  </si>
  <si>
    <t>ORD3985</t>
  </si>
  <si>
    <t>ORD3987</t>
  </si>
  <si>
    <t>ORD3988</t>
  </si>
  <si>
    <t>ORD3990</t>
  </si>
  <si>
    <t>ORD3991</t>
  </si>
  <si>
    <t>ORD3992</t>
  </si>
  <si>
    <t>ORD3993</t>
  </si>
  <si>
    <t>ORD3994</t>
  </si>
  <si>
    <t>ORD3995</t>
  </si>
  <si>
    <t>ORD3996</t>
  </si>
  <si>
    <t>ORD3997</t>
  </si>
  <si>
    <t>ORD3998</t>
  </si>
  <si>
    <t>ORD3999</t>
  </si>
  <si>
    <t>ORD4000</t>
  </si>
  <si>
    <t>ORD4001</t>
  </si>
  <si>
    <t>Total Sales</t>
  </si>
  <si>
    <t>Total Orders</t>
  </si>
  <si>
    <t>Total Quantity Sold</t>
  </si>
  <si>
    <t>Average Order Value</t>
  </si>
  <si>
    <t>Total Cusomers</t>
  </si>
  <si>
    <t>Average Discount%</t>
  </si>
  <si>
    <t>Highest Sale</t>
  </si>
  <si>
    <t>Lowest Sale</t>
  </si>
  <si>
    <t>Grand Total</t>
  </si>
  <si>
    <t>Sum of Sales</t>
  </si>
  <si>
    <t>Regions</t>
  </si>
  <si>
    <t>Product Category</t>
  </si>
  <si>
    <t>2023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</si>
  <si>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</si>
  <si>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</si>
  <si>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</si>
  <si>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</si>
  <si>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</si>
  <si>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</si>
  <si>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</si>
  <si>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</si>
  <si>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</si>
  <si>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</si>
  <si>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</si>
  <si>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</si>
  <si>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2024</t>
  </si>
  <si>
    <t>Count of Order ID</t>
  </si>
  <si>
    <t>Sum of Quantity</t>
  </si>
  <si>
    <t>Salespersons</t>
  </si>
  <si>
    <t>Mode of Payment</t>
  </si>
  <si>
    <t>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</si>
</sst>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₹&quot;\ #,##0.00"/>
    <numFmt numFmtId="167" formatCode="&quot;₹&quot;\ #,##0"/>
    <numFmt numFmtId="173" formatCode="0.0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164" fontId="0" fillId="0" borderId="0" xfId="0" applyNumberFormat="1"/>
    <xf numFmtId="167" fontId="0" fillId="0" borderId="0" xfId="0" applyNumberFormat="1"/>
    <xf numFmtId="173" fontId="0" fillId="0" borderId="0" xfId="0" applyNumberFormat="1"/>
    <xf numFmtId="1" fontId="0" fillId="0" borderId="0" xfId="0" applyNumberForma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2" borderId="4" xfId="0" applyFill="1" applyBorder="1" applyAlignment="1">
      <alignment horizontal="center"/>
    </xf>
    <xf numFmtId="14" fontId="0" fillId="2" borderId="5" xfId="0" applyNumberForma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164" fontId="0" fillId="2" borderId="5" xfId="0" applyNumberFormat="1" applyFill="1" applyBorder="1" applyAlignment="1">
      <alignment horizontal="center"/>
    </xf>
    <xf numFmtId="0" fontId="0" fillId="0" borderId="7" xfId="0" applyBorder="1" applyAlignment="1">
      <alignment horizontal="center"/>
    </xf>
    <xf numFmtId="14" fontId="0" fillId="0" borderId="8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164" fontId="0" fillId="0" borderId="8" xfId="0" applyNumberForma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0" fillId="0" borderId="0" xfId="0" applyNumberFormat="1" applyAlignment="1">
      <alignment horizontal="left" indent="1"/>
    </xf>
  </cellXfs>
  <cellStyles count="1">
    <cellStyle name="Normal" xfId="0" builtinId="0"/>
  </cellStyles>
  <dxfs count="23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ill>
        <patternFill patternType="solid">
          <fgColor indexed="64"/>
          <bgColor theme="8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&quot;₹&quot;\ 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[TechMart_Raw_Sales_Data_v2.xlsm]Pivots!PivotTable1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Sales By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 w="12700">
              <a:solidFill>
                <a:schemeClr val="l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Pivots!$B$1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Pivots!$A$2:$A$7</c:f>
              <c:strCache>
                <c:ptCount val="5"/>
                <c:pt idx="0">
                  <c:v> north </c:v>
                </c:pt>
                <c:pt idx="1">
                  <c:v>East</c:v>
                </c:pt>
                <c:pt idx="2">
                  <c:v>North</c:v>
                </c:pt>
                <c:pt idx="3">
                  <c:v>South</c:v>
                </c:pt>
                <c:pt idx="4">
                  <c:v>West</c:v>
                </c:pt>
              </c:strCache>
            </c:strRef>
          </c:cat>
          <c:val>
            <c:numRef>
              <c:f>Pivots!$B$2:$B$7</c:f>
              <c:numCache>
                <c:formatCode>0</c:formatCode>
                <c:ptCount val="5"/>
                <c:pt idx="0">
                  <c:v>5915188.0299999947</c:v>
                </c:pt>
                <c:pt idx="1">
                  <c:v>5658606.0199999986</c:v>
                </c:pt>
                <c:pt idx="2">
                  <c:v>6341415.9799999967</c:v>
                </c:pt>
                <c:pt idx="3">
                  <c:v>12457538.320000015</c:v>
                </c:pt>
                <c:pt idx="4">
                  <c:v>5751080.6900000004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B9-4E95-8F9C-E5052905803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567973519"/>
        <c:axId val="1567969775"/>
      </c:barChart>
      <c:catAx>
        <c:axId val="1567973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7969775"/>
        <c:crosses val="autoZero"/>
        <c:auto val="1"/>
        <c:lblAlgn val="ctr"/>
        <c:lblOffset val="100"/>
        <c:noMultiLvlLbl val="0"/>
      </c:catAx>
      <c:valAx>
        <c:axId val="1567969775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79735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[TechMart_Raw_Sales_Data_v2.xlsm]Pivots!PivotTable2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spc="2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IN" b="1">
                <a:solidFill>
                  <a:schemeClr val="tx1"/>
                </a:solidFill>
              </a:rPr>
              <a:t>Sales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2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</c:spPr>
        <c:marker>
          <c:symbol val="circle"/>
          <c:size val="4"/>
          <c:spPr>
            <a:gradFill rotWithShape="1">
              <a:gsLst>
                <a:gs pos="0">
                  <a:schemeClr val="accent1">
                    <a:tint val="50000"/>
                    <a:satMod val="300000"/>
                  </a:schemeClr>
                </a:gs>
                <a:gs pos="35000">
                  <a:schemeClr val="accent1">
                    <a:tint val="37000"/>
                    <a:satMod val="300000"/>
                  </a:schemeClr>
                </a:gs>
                <a:gs pos="100000">
                  <a:schemeClr val="accent1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Pivots!$E$1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FF00"/>
            </a:soli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Pivots!$D$2:$D$6</c:f>
              <c:strCache>
                <c:ptCount val="4"/>
                <c:pt idx="0">
                  <c:v>Electronic</c:v>
                </c:pt>
                <c:pt idx="1">
                  <c:v>Electronics</c:v>
                </c:pt>
                <c:pt idx="2">
                  <c:v>Furniture</c:v>
                </c:pt>
                <c:pt idx="3">
                  <c:v>Office Supplies</c:v>
                </c:pt>
              </c:strCache>
            </c:strRef>
          </c:cat>
          <c:val>
            <c:numRef>
              <c:f>Pivots!$E$2:$E$6</c:f>
              <c:numCache>
                <c:formatCode>0</c:formatCode>
                <c:ptCount val="4"/>
                <c:pt idx="0">
                  <c:v>5803073.6399999987</c:v>
                </c:pt>
                <c:pt idx="1">
                  <c:v>11004290.420000004</c:v>
                </c:pt>
                <c:pt idx="2">
                  <c:v>13731450.909999982</c:v>
                </c:pt>
                <c:pt idx="3">
                  <c:v>5585014.069999991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77-4040-95F2-AC0819F1919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438445359"/>
        <c:axId val="1438447855"/>
      </c:barChart>
      <c:catAx>
        <c:axId val="1438445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8447855"/>
        <c:crosses val="autoZero"/>
        <c:auto val="1"/>
        <c:lblAlgn val="ctr"/>
        <c:lblOffset val="100"/>
        <c:noMultiLvlLbl val="0"/>
      </c:catAx>
      <c:valAx>
        <c:axId val="1438447855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8445359"/>
        <c:crosses val="autoZero"/>
        <c:crossBetween val="between"/>
      </c:valAx>
      <c:spPr>
        <a:noFill/>
        <a:ln>
          <a:solidFill>
            <a:schemeClr val="bg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[TechMart_Raw_Sales_Data_v2.xlsm]Pivots!PivotTable6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spc="2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Quantity By Category</a:t>
            </a:r>
          </a:p>
        </c:rich>
      </c:tx>
      <c:overlay val="0"/>
      <c:spPr>
        <a:noFill/>
        <a:ln>
          <a:solidFill>
            <a:schemeClr val="bg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2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</c:spPr>
        <c:marker>
          <c:symbol val="circle"/>
          <c:size val="4"/>
          <c:spPr>
            <a:gradFill rotWithShape="1">
              <a:gsLst>
                <a:gs pos="0">
                  <a:schemeClr val="accent1">
                    <a:tint val="50000"/>
                    <a:satMod val="300000"/>
                  </a:schemeClr>
                </a:gs>
                <a:gs pos="35000">
                  <a:schemeClr val="accent1">
                    <a:tint val="37000"/>
                    <a:satMod val="300000"/>
                  </a:schemeClr>
                </a:gs>
                <a:gs pos="100000">
                  <a:schemeClr val="accent1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Pivots!$E$10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FF00"/>
            </a:soli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Pivots!$D$11:$D$15</c:f>
              <c:strCache>
                <c:ptCount val="4"/>
                <c:pt idx="0">
                  <c:v>Electronic</c:v>
                </c:pt>
                <c:pt idx="1">
                  <c:v>Electronics</c:v>
                </c:pt>
                <c:pt idx="2">
                  <c:v>Furniture</c:v>
                </c:pt>
                <c:pt idx="3">
                  <c:v>Office Supplies</c:v>
                </c:pt>
              </c:strCache>
            </c:strRef>
          </c:cat>
          <c:val>
            <c:numRef>
              <c:f>Pivots!$E$11:$E$15</c:f>
              <c:numCache>
                <c:formatCode>General</c:formatCode>
                <c:ptCount val="4"/>
                <c:pt idx="0">
                  <c:v>2234</c:v>
                </c:pt>
                <c:pt idx="1">
                  <c:v>4267</c:v>
                </c:pt>
                <c:pt idx="2">
                  <c:v>5182</c:v>
                </c:pt>
                <c:pt idx="3">
                  <c:v>2233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2F-4C1F-8F0E-833365AC3DE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33949039"/>
        <c:axId val="1633947791"/>
      </c:barChart>
      <c:catAx>
        <c:axId val="1633949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3947791"/>
        <c:crosses val="autoZero"/>
        <c:auto val="1"/>
        <c:lblAlgn val="ctr"/>
        <c:lblOffset val="100"/>
        <c:noMultiLvlLbl val="0"/>
      </c:catAx>
      <c:valAx>
        <c:axId val="163394779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3949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[TechMart_Raw_Sales_Data_v2.xlsm]Pivots!PivotTable3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Sales By Months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diamond"/>
          <c:size val="6"/>
          <c:spPr>
            <a:solidFill>
              <a:srgbClr val="FFFF00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Pivots!$K$1</c:f>
              <c:strCache>
                <c:ptCount val="1"/>
                <c:pt idx="0">
                  <c:v>Total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00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cat>
            <c:multiLvlStrRef>
              <c:f>Pivots!$J$2:$J$28</c:f>
              <c:multiLvlStrCache>
                <c:ptCount val="24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</c:lvl>
                <c:lvl>
                  <c:pt idx="0">
                    <c:v>2023</c:v>
                  </c:pt>
                  <c:pt idx="12">
                    <c:v>2024</c:v>
                  </c:pt>
                </c:lvl>
              </c:multiLvlStrCache>
            </c:multiLvlStrRef>
          </c:cat>
          <c:val>
            <c:numRef>
              <c:f>Pivots!$K$2:$K$28</c:f>
              <c:numCache>
                <c:formatCode>0</c:formatCode>
                <c:ptCount val="24"/>
                <c:pt idx="0">
                  <c:v>1493959.8199999994</c:v>
                </c:pt>
                <c:pt idx="1">
                  <c:v>1319335.4700000007</c:v>
                </c:pt>
                <c:pt idx="2">
                  <c:v>1455985.3899999994</c:v>
                </c:pt>
                <c:pt idx="3">
                  <c:v>1386527.0100000002</c:v>
                </c:pt>
                <c:pt idx="4">
                  <c:v>1481027.8100000003</c:v>
                </c:pt>
                <c:pt idx="5">
                  <c:v>1566484.8900000004</c:v>
                </c:pt>
                <c:pt idx="6">
                  <c:v>1427390.7200000007</c:v>
                </c:pt>
                <c:pt idx="7">
                  <c:v>1617663.1599999997</c:v>
                </c:pt>
                <c:pt idx="8">
                  <c:v>1757326.709999999</c:v>
                </c:pt>
                <c:pt idx="9">
                  <c:v>1431980.29</c:v>
                </c:pt>
                <c:pt idx="10">
                  <c:v>1363782.8500000003</c:v>
                </c:pt>
                <c:pt idx="11">
                  <c:v>1796369.4600000002</c:v>
                </c:pt>
                <c:pt idx="12">
                  <c:v>1447106.5600000003</c:v>
                </c:pt>
                <c:pt idx="13">
                  <c:v>1687126.5300000005</c:v>
                </c:pt>
                <c:pt idx="14">
                  <c:v>1597041.05</c:v>
                </c:pt>
                <c:pt idx="15">
                  <c:v>1667966.2699999996</c:v>
                </c:pt>
                <c:pt idx="16">
                  <c:v>1352174.7900000003</c:v>
                </c:pt>
                <c:pt idx="17">
                  <c:v>1575589.7899999991</c:v>
                </c:pt>
                <c:pt idx="18">
                  <c:v>1676700.149999999</c:v>
                </c:pt>
                <c:pt idx="19">
                  <c:v>1290056.9999999998</c:v>
                </c:pt>
                <c:pt idx="20">
                  <c:v>1535783.3199999998</c:v>
                </c:pt>
                <c:pt idx="21">
                  <c:v>1500660.6099999999</c:v>
                </c:pt>
                <c:pt idx="22">
                  <c:v>1260170.8800000001</c:v>
                </c:pt>
                <c:pt idx="23">
                  <c:v>1435618.5100000009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6C-4057-A8D1-069C6F550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0599167"/>
        <c:axId val="1567968527"/>
      </c:lineChart>
      <c:catAx>
        <c:axId val="13905991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7968527"/>
        <c:crosses val="autoZero"/>
        <c:auto val="1"/>
        <c:lblAlgn val="ctr"/>
        <c:lblOffset val="100"/>
        <c:noMultiLvlLbl val="0"/>
      </c:catAx>
      <c:valAx>
        <c:axId val="1567968527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0599167"/>
        <c:crosses val="autoZero"/>
        <c:crossBetween val="between"/>
      </c:valAx>
      <c:spPr>
        <a:noFill/>
        <a:ln>
          <a:solidFill>
            <a:schemeClr val="bg1"/>
          </a:solidFill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[TechMart_Raw_Sales_Data_v2.xlsm]Pivots!PivotTable4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Orders By Payment Method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spPr>
          <a:solidFill>
            <a:srgbClr val="FFFF0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solidFill>
                <a:schemeClr val="bg1"/>
              </a:solidFill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C00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</c:pivotFmt>
      <c:pivotFmt>
        <c:idx val="8"/>
        <c:spPr>
          <a:solidFill>
            <a:srgbClr val="FFFF0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</c:pivotFmt>
      <c:pivotFmt>
        <c:idx val="9"/>
        <c:spPr>
          <a:solidFill>
            <a:srgbClr val="FF000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</c:pivotFmt>
      <c:pivotFmt>
        <c:idx val="10"/>
        <c:spPr>
          <a:solidFill>
            <a:schemeClr val="accent6">
              <a:lumMod val="75000"/>
            </a:schemeClr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Pivots!$H$1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FF00"/>
            </a:solidFill>
          </c:spPr>
          <c:dPt>
            <c:idx val="0"/>
            <c:bubble3D val="0"/>
            <c:spPr>
              <a:solidFill>
                <a:srgbClr val="FFC00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BAB-43E6-9D70-9749FE0A9C1F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BAB-43E6-9D70-9749FE0A9C1F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4BAB-43E6-9D70-9749FE0A9C1F}"/>
              </c:ext>
            </c:extLst>
          </c:dPt>
          <c:dPt>
            <c:idx val="3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4BAB-43E6-9D70-9749FE0A9C1F}"/>
              </c:ext>
            </c:extLst>
          </c:dPt>
          <c:dLbls>
            <c:spPr>
              <a:noFill/>
              <a:ln>
                <a:solidFill>
                  <a:schemeClr val="bg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Pivots!$G$2:$G$6</c:f>
              <c:strCache>
                <c:ptCount val="4"/>
                <c:pt idx="0">
                  <c:v>Bank Transfer</c:v>
                </c:pt>
                <c:pt idx="1">
                  <c:v>Card</c:v>
                </c:pt>
                <c:pt idx="2">
                  <c:v>Cash</c:v>
                </c:pt>
                <c:pt idx="3">
                  <c:v>UPI</c:v>
                </c:pt>
              </c:strCache>
            </c:strRef>
          </c:cat>
          <c:val>
            <c:numRef>
              <c:f>Pivots!$H$2:$H$6</c:f>
              <c:numCache>
                <c:formatCode>General</c:formatCode>
                <c:ptCount val="4"/>
                <c:pt idx="0">
                  <c:v>434</c:v>
                </c:pt>
                <c:pt idx="1">
                  <c:v>876</c:v>
                </c:pt>
                <c:pt idx="2">
                  <c:v>419</c:v>
                </c:pt>
                <c:pt idx="3">
                  <c:v>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BAB-43E6-9D70-9749FE0A9C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[TechMart_Raw_Sales_Data_v2.xlsm]Pivots!PivotTable5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spc="2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tx1"/>
                </a:solidFill>
              </a:rPr>
              <a:t>Sales By Salespersons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2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>
            <a:outerShdw blurRad="40000" dist="20000" dir="5400000" rotWithShape="0">
              <a:srgbClr val="000000">
                <a:alpha val="38000"/>
              </a:srgbClr>
            </a:outerShdw>
          </a:effectLst>
        </c:spPr>
        <c:marker>
          <c:symbol val="circle"/>
          <c:size val="4"/>
          <c:spPr>
            <a:gradFill rotWithShape="1">
              <a:gsLst>
                <a:gs pos="0">
                  <a:schemeClr val="accent1">
                    <a:tint val="50000"/>
                    <a:satMod val="300000"/>
                  </a:schemeClr>
                </a:gs>
                <a:gs pos="35000">
                  <a:schemeClr val="accent1">
                    <a:tint val="37000"/>
                    <a:satMod val="300000"/>
                  </a:schemeClr>
                </a:gs>
                <a:gs pos="100000">
                  <a:schemeClr val="accent1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Pivots!$B$10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FF00"/>
            </a:soli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Pivots!$A$11:$A$17</c:f>
              <c:strCache>
                <c:ptCount val="6"/>
                <c:pt idx="0">
                  <c:v>Ali</c:v>
                </c:pt>
                <c:pt idx="1">
                  <c:v>John</c:v>
                </c:pt>
                <c:pt idx="2">
                  <c:v>Kiran</c:v>
                </c:pt>
                <c:pt idx="3">
                  <c:v>Meera</c:v>
                </c:pt>
                <c:pt idx="4">
                  <c:v>Pooja</c:v>
                </c:pt>
                <c:pt idx="5">
                  <c:v>Rohit</c:v>
                </c:pt>
              </c:strCache>
            </c:strRef>
          </c:cat>
          <c:val>
            <c:numRef>
              <c:f>Pivots!$B$11:$B$17</c:f>
              <c:numCache>
                <c:formatCode>0</c:formatCode>
                <c:ptCount val="6"/>
                <c:pt idx="0">
                  <c:v>5142791.5999999996</c:v>
                </c:pt>
                <c:pt idx="1">
                  <c:v>6115267.6999999974</c:v>
                </c:pt>
                <c:pt idx="2">
                  <c:v>6617376.2399999956</c:v>
                </c:pt>
                <c:pt idx="3">
                  <c:v>6043433.2600000016</c:v>
                </c:pt>
                <c:pt idx="4">
                  <c:v>5943616.6499999901</c:v>
                </c:pt>
                <c:pt idx="5">
                  <c:v>6261343.589999998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C3-4E5A-B437-5CC7BB9CBE2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633930735"/>
        <c:axId val="1633931151"/>
      </c:barChart>
      <c:catAx>
        <c:axId val="163393073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3931151"/>
        <c:crosses val="autoZero"/>
        <c:auto val="1"/>
        <c:lblAlgn val="ctr"/>
        <c:lblOffset val="100"/>
        <c:noMultiLvlLbl val="0"/>
      </c:catAx>
      <c:valAx>
        <c:axId val="1633931151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39307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19051</xdr:rowOff>
    </xdr:from>
    <xdr:to>
      <xdr:col>20</xdr:col>
      <xdr:colOff>361950</xdr:colOff>
      <xdr:row>2</xdr:row>
      <xdr:rowOff>152401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7464F4EA-BF7D-4BE9-A3FF-4C4A874874C5}"/>
            </a:ext>
          </a:extLst>
        </xdr:cNvPr>
        <xdr:cNvSpPr/>
      </xdr:nvSpPr>
      <xdr:spPr>
        <a:xfrm>
          <a:off x="28575" y="19051"/>
          <a:ext cx="12525375" cy="514350"/>
        </a:xfrm>
        <a:prstGeom prst="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3200" b="1">
              <a:solidFill>
                <a:schemeClr val="tx1"/>
              </a:solidFill>
            </a:rPr>
            <a:t>TECHMART SALES DATA</a:t>
          </a:r>
        </a:p>
      </xdr:txBody>
    </xdr:sp>
    <xdr:clientData/>
  </xdr:twoCellAnchor>
  <xdr:twoCellAnchor>
    <xdr:from>
      <xdr:col>0</xdr:col>
      <xdr:colOff>28575</xdr:colOff>
      <xdr:row>3</xdr:row>
      <xdr:rowOff>76200</xdr:rowOff>
    </xdr:from>
    <xdr:to>
      <xdr:col>4</xdr:col>
      <xdr:colOff>400050</xdr:colOff>
      <xdr:row>7</xdr:row>
      <xdr:rowOff>114300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97F5529-7B3E-4032-84FC-E652E35D2997}"/>
            </a:ext>
          </a:extLst>
        </xdr:cNvPr>
        <xdr:cNvSpPr/>
      </xdr:nvSpPr>
      <xdr:spPr>
        <a:xfrm>
          <a:off x="28575" y="647700"/>
          <a:ext cx="2809875" cy="8001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2000" b="1">
              <a:solidFill>
                <a:schemeClr val="tx1"/>
              </a:solidFill>
            </a:rPr>
            <a:t>TOTAL SALES</a:t>
          </a:r>
        </a:p>
      </xdr:txBody>
    </xdr:sp>
    <xdr:clientData/>
  </xdr:twoCellAnchor>
  <xdr:twoCellAnchor>
    <xdr:from>
      <xdr:col>5</xdr:col>
      <xdr:colOff>179825</xdr:colOff>
      <xdr:row>3</xdr:row>
      <xdr:rowOff>76200</xdr:rowOff>
    </xdr:from>
    <xdr:to>
      <xdr:col>9</xdr:col>
      <xdr:colOff>553025</xdr:colOff>
      <xdr:row>7</xdr:row>
      <xdr:rowOff>114300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5A31FF6E-0C2F-43A4-BB4B-D11607B2FA38}"/>
            </a:ext>
          </a:extLst>
        </xdr:cNvPr>
        <xdr:cNvSpPr/>
      </xdr:nvSpPr>
      <xdr:spPr>
        <a:xfrm>
          <a:off x="3227825" y="647700"/>
          <a:ext cx="2811600" cy="8001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IN" sz="2000" b="1">
              <a:solidFill>
                <a:schemeClr val="tx1"/>
              </a:solidFill>
              <a:latin typeface="+mn-lt"/>
              <a:ea typeface="+mn-ea"/>
              <a:cs typeface="+mn-cs"/>
            </a:rPr>
            <a:t>TOTAL ORDERS</a:t>
          </a:r>
        </a:p>
      </xdr:txBody>
    </xdr:sp>
    <xdr:clientData/>
  </xdr:twoCellAnchor>
  <xdr:twoCellAnchor>
    <xdr:from>
      <xdr:col>10</xdr:col>
      <xdr:colOff>332800</xdr:colOff>
      <xdr:row>3</xdr:row>
      <xdr:rowOff>76200</xdr:rowOff>
    </xdr:from>
    <xdr:to>
      <xdr:col>15</xdr:col>
      <xdr:colOff>96400</xdr:colOff>
      <xdr:row>7</xdr:row>
      <xdr:rowOff>114300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161A8A0D-7214-4DAD-9964-D7A5A08AF03C}"/>
            </a:ext>
          </a:extLst>
        </xdr:cNvPr>
        <xdr:cNvSpPr/>
      </xdr:nvSpPr>
      <xdr:spPr>
        <a:xfrm>
          <a:off x="6428800" y="647700"/>
          <a:ext cx="2811600" cy="8001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IN" sz="2000" b="1">
              <a:solidFill>
                <a:schemeClr val="tx1"/>
              </a:solidFill>
              <a:latin typeface="+mn-lt"/>
              <a:ea typeface="+mn-ea"/>
              <a:cs typeface="+mn-cs"/>
            </a:rPr>
            <a:t>TOTAL QUANTITY SOLD</a:t>
          </a:r>
        </a:p>
      </xdr:txBody>
    </xdr:sp>
    <xdr:clientData/>
  </xdr:twoCellAnchor>
  <xdr:twoCellAnchor>
    <xdr:from>
      <xdr:col>15</xdr:col>
      <xdr:colOff>485775</xdr:colOff>
      <xdr:row>3</xdr:row>
      <xdr:rowOff>76200</xdr:rowOff>
    </xdr:from>
    <xdr:to>
      <xdr:col>20</xdr:col>
      <xdr:colOff>335099</xdr:colOff>
      <xdr:row>7</xdr:row>
      <xdr:rowOff>114300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7B414B1D-4F1B-443D-993E-2AFD8C0E6032}"/>
            </a:ext>
          </a:extLst>
        </xdr:cNvPr>
        <xdr:cNvSpPr/>
      </xdr:nvSpPr>
      <xdr:spPr>
        <a:xfrm>
          <a:off x="9629775" y="647700"/>
          <a:ext cx="2897324" cy="8001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IN" sz="2000" b="1">
              <a:solidFill>
                <a:schemeClr val="tx1"/>
              </a:solidFill>
              <a:latin typeface="+mn-lt"/>
              <a:ea typeface="+mn-ea"/>
              <a:cs typeface="+mn-cs"/>
            </a:rPr>
            <a:t>AVERAGE ORDER VALUE</a:t>
          </a:r>
        </a:p>
      </xdr:txBody>
    </xdr:sp>
    <xdr:clientData/>
  </xdr:twoCellAnchor>
  <xdr:twoCellAnchor>
    <xdr:from>
      <xdr:col>0</xdr:col>
      <xdr:colOff>47625</xdr:colOff>
      <xdr:row>5</xdr:row>
      <xdr:rowOff>114300</xdr:rowOff>
    </xdr:from>
    <xdr:to>
      <xdr:col>4</xdr:col>
      <xdr:colOff>361950</xdr:colOff>
      <xdr:row>7</xdr:row>
      <xdr:rowOff>66675</xdr:rowOff>
    </xdr:to>
    <xdr:sp macro="" textlink="Metrics!B1">
      <xdr:nvSpPr>
        <xdr:cNvPr id="7" name="Rectangle 6">
          <a:extLst>
            <a:ext uri="{FF2B5EF4-FFF2-40B4-BE49-F238E27FC236}">
              <a16:creationId xmlns:a16="http://schemas.microsoft.com/office/drawing/2014/main" id="{7112DB0F-CA50-418C-A17F-BE6506F99ACC}"/>
            </a:ext>
          </a:extLst>
        </xdr:cNvPr>
        <xdr:cNvSpPr/>
      </xdr:nvSpPr>
      <xdr:spPr>
        <a:xfrm>
          <a:off x="47625" y="1066800"/>
          <a:ext cx="2752725" cy="3333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88209655-BF86-4210-9EED-052963459B9A}" type="TxLink">
            <a:rPr lang="en-US" sz="20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₹ 3,61,23,829</a:t>
          </a:fld>
          <a:endParaRPr lang="en-IN" sz="2000" b="1"/>
        </a:p>
      </xdr:txBody>
    </xdr:sp>
    <xdr:clientData/>
  </xdr:twoCellAnchor>
  <xdr:twoCellAnchor>
    <xdr:from>
      <xdr:col>5</xdr:col>
      <xdr:colOff>190500</xdr:colOff>
      <xdr:row>5</xdr:row>
      <xdr:rowOff>114300</xdr:rowOff>
    </xdr:from>
    <xdr:to>
      <xdr:col>9</xdr:col>
      <xdr:colOff>504825</xdr:colOff>
      <xdr:row>7</xdr:row>
      <xdr:rowOff>66675</xdr:rowOff>
    </xdr:to>
    <xdr:sp macro="" textlink="Metrics!B2">
      <xdr:nvSpPr>
        <xdr:cNvPr id="8" name="Rectangle 7">
          <a:extLst>
            <a:ext uri="{FF2B5EF4-FFF2-40B4-BE49-F238E27FC236}">
              <a16:creationId xmlns:a16="http://schemas.microsoft.com/office/drawing/2014/main" id="{E0D21F26-48D2-4CBB-928F-F99DB739FA2B}"/>
            </a:ext>
          </a:extLst>
        </xdr:cNvPr>
        <xdr:cNvSpPr/>
      </xdr:nvSpPr>
      <xdr:spPr>
        <a:xfrm>
          <a:off x="3238500" y="1066800"/>
          <a:ext cx="2752725" cy="3333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C9814F01-06FE-4631-9DC7-250CC5C756A7}" type="TxLink">
            <a:rPr lang="en-US" sz="20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2553</a:t>
          </a:fld>
          <a:endParaRPr lang="en-IN" sz="2000" b="1"/>
        </a:p>
      </xdr:txBody>
    </xdr:sp>
    <xdr:clientData/>
  </xdr:twoCellAnchor>
  <xdr:twoCellAnchor>
    <xdr:from>
      <xdr:col>10</xdr:col>
      <xdr:colOff>361950</xdr:colOff>
      <xdr:row>5</xdr:row>
      <xdr:rowOff>123825</xdr:rowOff>
    </xdr:from>
    <xdr:to>
      <xdr:col>15</xdr:col>
      <xdr:colOff>66675</xdr:colOff>
      <xdr:row>7</xdr:row>
      <xdr:rowOff>76200</xdr:rowOff>
    </xdr:to>
    <xdr:sp macro="" textlink="Metrics!B3">
      <xdr:nvSpPr>
        <xdr:cNvPr id="9" name="Rectangle 8">
          <a:extLst>
            <a:ext uri="{FF2B5EF4-FFF2-40B4-BE49-F238E27FC236}">
              <a16:creationId xmlns:a16="http://schemas.microsoft.com/office/drawing/2014/main" id="{CD965CC6-CD77-470C-9859-7C42448733CE}"/>
            </a:ext>
          </a:extLst>
        </xdr:cNvPr>
        <xdr:cNvSpPr/>
      </xdr:nvSpPr>
      <xdr:spPr>
        <a:xfrm>
          <a:off x="6457950" y="1076325"/>
          <a:ext cx="2752725" cy="3333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3315DFA8-4920-438C-8717-68A1EFA67D9E}" type="TxLink">
            <a:rPr lang="en-US" sz="20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13916</a:t>
          </a:fld>
          <a:endParaRPr lang="en-IN" sz="2000" b="1"/>
        </a:p>
      </xdr:txBody>
    </xdr:sp>
    <xdr:clientData/>
  </xdr:twoCellAnchor>
  <xdr:twoCellAnchor>
    <xdr:from>
      <xdr:col>15</xdr:col>
      <xdr:colOff>552450</xdr:colOff>
      <xdr:row>5</xdr:row>
      <xdr:rowOff>123825</xdr:rowOff>
    </xdr:from>
    <xdr:to>
      <xdr:col>20</xdr:col>
      <xdr:colOff>257175</xdr:colOff>
      <xdr:row>7</xdr:row>
      <xdr:rowOff>76200</xdr:rowOff>
    </xdr:to>
    <xdr:sp macro="" textlink="Metrics!B4">
      <xdr:nvSpPr>
        <xdr:cNvPr id="10" name="Rectangle 9">
          <a:extLst>
            <a:ext uri="{FF2B5EF4-FFF2-40B4-BE49-F238E27FC236}">
              <a16:creationId xmlns:a16="http://schemas.microsoft.com/office/drawing/2014/main" id="{B4EA19AC-04A8-4602-8B3E-1B1AA98C22F2}"/>
            </a:ext>
          </a:extLst>
        </xdr:cNvPr>
        <xdr:cNvSpPr/>
      </xdr:nvSpPr>
      <xdr:spPr>
        <a:xfrm>
          <a:off x="9696450" y="1076325"/>
          <a:ext cx="2752725" cy="3333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fld id="{3E91561F-51AF-4756-BD62-30036CC4F353}" type="TxLink">
            <a:rPr lang="en-US" sz="20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₹ 14,149.56</a:t>
          </a:fld>
          <a:endParaRPr lang="en-IN" sz="2000" b="1"/>
        </a:p>
      </xdr:txBody>
    </xdr:sp>
    <xdr:clientData/>
  </xdr:twoCellAnchor>
  <xdr:twoCellAnchor>
    <xdr:from>
      <xdr:col>0</xdr:col>
      <xdr:colOff>9525</xdr:colOff>
      <xdr:row>8</xdr:row>
      <xdr:rowOff>85725</xdr:rowOff>
    </xdr:from>
    <xdr:to>
      <xdr:col>5</xdr:col>
      <xdr:colOff>542925</xdr:colOff>
      <xdr:row>20</xdr:row>
      <xdr:rowOff>42863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F251E24A-F59D-46D4-9788-678FA1335E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180975</xdr:colOff>
      <xdr:row>8</xdr:row>
      <xdr:rowOff>85725</xdr:rowOff>
    </xdr:from>
    <xdr:to>
      <xdr:col>13</xdr:col>
      <xdr:colOff>114300</xdr:colOff>
      <xdr:row>20</xdr:row>
      <xdr:rowOff>33338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416E960F-3101-4F7B-8178-CD7329AD50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361950</xdr:colOff>
      <xdr:row>8</xdr:row>
      <xdr:rowOff>85725</xdr:rowOff>
    </xdr:from>
    <xdr:to>
      <xdr:col>20</xdr:col>
      <xdr:colOff>38100</xdr:colOff>
      <xdr:row>20</xdr:row>
      <xdr:rowOff>14288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A5F9AB6-ABD4-4C10-BA99-B575E1CF37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142875</xdr:colOff>
      <xdr:row>21</xdr:row>
      <xdr:rowOff>57150</xdr:rowOff>
    </xdr:from>
    <xdr:to>
      <xdr:col>7</xdr:col>
      <xdr:colOff>76200</xdr:colOff>
      <xdr:row>32</xdr:row>
      <xdr:rowOff>166688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86FE990B-8D95-4EE5-8E4B-911E3ECEF7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219075</xdr:colOff>
      <xdr:row>21</xdr:row>
      <xdr:rowOff>133350</xdr:rowOff>
    </xdr:from>
    <xdr:to>
      <xdr:col>13</xdr:col>
      <xdr:colOff>581025</xdr:colOff>
      <xdr:row>32</xdr:row>
      <xdr:rowOff>128588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A4D670F9-8B12-476E-9E23-B693471308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171450</xdr:colOff>
      <xdr:row>21</xdr:row>
      <xdr:rowOff>161925</xdr:rowOff>
    </xdr:from>
    <xdr:to>
      <xdr:col>19</xdr:col>
      <xdr:colOff>485776</xdr:colOff>
      <xdr:row>33</xdr:row>
      <xdr:rowOff>171450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376DACA1-0A4C-4A33-A3A8-42B28C6A92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ash khichi" refreshedDate="46214.462425810183" createdVersion="7" refreshedVersion="7" minRefreshableVersion="3" recordCount="2553" xr:uid="{A2E9A847-FE54-412D-8844-344D2D0A749E}">
  <cacheSource type="worksheet">
    <worksheetSource name="table1"/>
  </cacheSource>
  <cacheFields count="15">
    <cacheField name="Order ID" numFmtId="0">
      <sharedItems/>
    </cacheField>
    <cacheField name="Order Date" numFmtId="14">
      <sharedItems containsSemiMixedTypes="0" containsNonDate="0" containsDate="1" containsString="0" minDate="2023-01-01T00:00:00" maxDate="2025-01-01T00:00:00" count="701">
        <d v="2023-03-06T00:00:00"/>
        <d v="2024-01-14T00:00:00"/>
        <d v="2024-03-14T00:00:00"/>
        <d v="2024-10-25T00:00:00"/>
        <d v="2023-10-19T00:00:00"/>
        <d v="2023-02-14T00:00:00"/>
        <d v="2023-03-04T00:00:00"/>
        <d v="2023-04-10T00:00:00"/>
        <d v="2024-01-24T00:00:00"/>
        <d v="2023-11-14T00:00:00"/>
        <d v="2023-08-16T00:00:00"/>
        <d v="2023-10-28T00:00:00"/>
        <d v="2023-04-11T00:00:00"/>
        <d v="2024-03-31T00:00:00"/>
        <d v="2024-01-05T00:00:00"/>
        <d v="2023-09-29T00:00:00"/>
        <d v="2024-12-08T00:00:00"/>
        <d v="2023-09-07T00:00:00"/>
        <d v="2023-10-05T00:00:00"/>
        <d v="2024-05-03T00:00:00"/>
        <d v="2023-11-25T00:00:00"/>
        <d v="2023-03-29T00:00:00"/>
        <d v="2023-03-19T00:00:00"/>
        <d v="2024-02-23T00:00:00"/>
        <d v="2024-02-11T00:00:00"/>
        <d v="2023-06-03T00:00:00"/>
        <d v="2024-08-03T00:00:00"/>
        <d v="2023-10-07T00:00:00"/>
        <d v="2023-05-09T00:00:00"/>
        <d v="2024-07-24T00:00:00"/>
        <d v="2023-08-12T00:00:00"/>
        <d v="2024-08-18T00:00:00"/>
        <d v="2024-09-22T00:00:00"/>
        <d v="2023-01-13T00:00:00"/>
        <d v="2023-08-24T00:00:00"/>
        <d v="2024-09-27T00:00:00"/>
        <d v="2023-11-05T00:00:00"/>
        <d v="2024-05-30T00:00:00"/>
        <d v="2023-05-15T00:00:00"/>
        <d v="2023-07-14T00:00:00"/>
        <d v="2023-02-20T00:00:00"/>
        <d v="2024-01-17T00:00:00"/>
        <d v="2023-03-18T00:00:00"/>
        <d v="2024-09-24T00:00:00"/>
        <d v="2024-09-08T00:00:00"/>
        <d v="2024-12-10T00:00:00"/>
        <d v="2024-06-05T00:00:00"/>
        <d v="2024-06-18T00:00:00"/>
        <d v="2023-11-10T00:00:00"/>
        <d v="2023-10-13T00:00:00"/>
        <d v="2024-05-04T00:00:00"/>
        <d v="2024-03-19T00:00:00"/>
        <d v="2023-06-13T00:00:00"/>
        <d v="2023-07-28T00:00:00"/>
        <d v="2023-10-23T00:00:00"/>
        <d v="2024-12-05T00:00:00"/>
        <d v="2024-08-20T00:00:00"/>
        <d v="2023-09-17T00:00:00"/>
        <d v="2024-12-04T00:00:00"/>
        <d v="2024-05-27T00:00:00"/>
        <d v="2024-07-15T00:00:00"/>
        <d v="2023-11-08T00:00:00"/>
        <d v="2023-01-09T00:00:00"/>
        <d v="2024-07-17T00:00:00"/>
        <d v="2023-11-28T00:00:00"/>
        <d v="2023-06-15T00:00:00"/>
        <d v="2024-09-18T00:00:00"/>
        <d v="2023-06-28T00:00:00"/>
        <d v="2024-04-15T00:00:00"/>
        <d v="2023-08-17T00:00:00"/>
        <d v="2023-03-24T00:00:00"/>
        <d v="2023-01-21T00:00:00"/>
        <d v="2023-06-05T00:00:00"/>
        <d v="2023-07-31T00:00:00"/>
        <d v="2023-08-18T00:00:00"/>
        <d v="2023-11-15T00:00:00"/>
        <d v="2023-10-27T00:00:00"/>
        <d v="2024-09-20T00:00:00"/>
        <d v="2023-10-24T00:00:00"/>
        <d v="2023-08-07T00:00:00"/>
        <d v="2024-03-02T00:00:00"/>
        <d v="2023-02-04T00:00:00"/>
        <d v="2023-06-21T00:00:00"/>
        <d v="2024-10-20T00:00:00"/>
        <d v="2023-04-15T00:00:00"/>
        <d v="2023-10-06T00:00:00"/>
        <d v="2023-08-11T00:00:00"/>
        <d v="2023-11-04T00:00:00"/>
        <d v="2024-12-30T00:00:00"/>
        <d v="2024-06-26T00:00:00"/>
        <d v="2024-10-17T00:00:00"/>
        <d v="2023-07-06T00:00:00"/>
        <d v="2024-09-17T00:00:00"/>
        <d v="2023-11-22T00:00:00"/>
        <d v="2023-03-09T00:00:00"/>
        <d v="2023-08-15T00:00:00"/>
        <d v="2023-11-20T00:00:00"/>
        <d v="2024-10-12T00:00:00"/>
        <d v="2023-07-22T00:00:00"/>
        <d v="2023-01-18T00:00:00"/>
        <d v="2023-01-23T00:00:00"/>
        <d v="2024-10-11T00:00:00"/>
        <d v="2024-11-11T00:00:00"/>
        <d v="2024-04-20T00:00:00"/>
        <d v="2023-09-14T00:00:00"/>
        <d v="2023-02-12T00:00:00"/>
        <d v="2023-01-27T00:00:00"/>
        <d v="2023-01-26T00:00:00"/>
        <d v="2024-11-07T00:00:00"/>
        <d v="2024-11-29T00:00:00"/>
        <d v="2024-03-26T00:00:00"/>
        <d v="2024-04-14T00:00:00"/>
        <d v="2023-03-15T00:00:00"/>
        <d v="2023-09-26T00:00:00"/>
        <d v="2024-11-17T00:00:00"/>
        <d v="2023-01-14T00:00:00"/>
        <d v="2024-05-11T00:00:00"/>
        <d v="2024-07-10T00:00:00"/>
        <d v="2023-04-21T00:00:00"/>
        <d v="2023-09-25T00:00:00"/>
        <d v="2024-12-20T00:00:00"/>
        <d v="2023-12-23T00:00:00"/>
        <d v="2024-04-28T00:00:00"/>
        <d v="2024-09-06T00:00:00"/>
        <d v="2024-05-12T00:00:00"/>
        <d v="2023-02-18T00:00:00"/>
        <d v="2023-12-14T00:00:00"/>
        <d v="2024-07-08T00:00:00"/>
        <d v="2023-03-16T00:00:00"/>
        <d v="2024-03-07T00:00:00"/>
        <d v="2024-08-02T00:00:00"/>
        <d v="2023-03-25T00:00:00"/>
        <d v="2024-05-31T00:00:00"/>
        <d v="2024-03-16T00:00:00"/>
        <d v="2024-08-25T00:00:00"/>
        <d v="2024-02-09T00:00:00"/>
        <d v="2023-04-07T00:00:00"/>
        <d v="2024-05-18T00:00:00"/>
        <d v="2023-07-18T00:00:00"/>
        <d v="2024-07-28T00:00:00"/>
        <d v="2023-04-03T00:00:00"/>
        <d v="2024-11-16T00:00:00"/>
        <d v="2023-10-21T00:00:00"/>
        <d v="2023-12-06T00:00:00"/>
        <d v="2024-09-07T00:00:00"/>
        <d v="2024-02-19T00:00:00"/>
        <d v="2024-07-14T00:00:00"/>
        <d v="2023-08-31T00:00:00"/>
        <d v="2024-07-03T00:00:00"/>
        <d v="2023-06-08T00:00:00"/>
        <d v="2024-02-27T00:00:00"/>
        <d v="2023-07-02T00:00:00"/>
        <d v="2023-08-20T00:00:00"/>
        <d v="2023-08-08T00:00:00"/>
        <d v="2023-02-19T00:00:00"/>
        <d v="2023-06-30T00:00:00"/>
        <d v="2023-07-16T00:00:00"/>
        <d v="2024-03-20T00:00:00"/>
        <d v="2023-03-23T00:00:00"/>
        <d v="2024-07-20T00:00:00"/>
        <d v="2023-11-17T00:00:00"/>
        <d v="2023-03-20T00:00:00"/>
        <d v="2023-08-14T00:00:00"/>
        <d v="2024-04-11T00:00:00"/>
        <d v="2024-04-21T00:00:00"/>
        <d v="2024-10-10T00:00:00"/>
        <d v="2023-04-25T00:00:00"/>
        <d v="2024-10-15T00:00:00"/>
        <d v="2023-01-11T00:00:00"/>
        <d v="2024-07-23T00:00:00"/>
        <d v="2024-11-20T00:00:00"/>
        <d v="2024-08-26T00:00:00"/>
        <d v="2023-06-29T00:00:00"/>
        <d v="2024-04-25T00:00:00"/>
        <d v="2023-04-23T00:00:00"/>
        <d v="2024-12-24T00:00:00"/>
        <d v="2024-09-14T00:00:00"/>
        <d v="2023-12-09T00:00:00"/>
        <d v="2024-08-11T00:00:00"/>
        <d v="2024-09-25T00:00:00"/>
        <d v="2023-08-10T00:00:00"/>
        <d v="2024-01-30T00:00:00"/>
        <d v="2024-02-01T00:00:00"/>
        <d v="2024-10-19T00:00:00"/>
        <d v="2024-07-02T00:00:00"/>
        <d v="2024-07-25T00:00:00"/>
        <d v="2024-02-20T00:00:00"/>
        <d v="2024-06-13T00:00:00"/>
        <d v="2024-10-07T00:00:00"/>
        <d v="2024-08-31T00:00:00"/>
        <d v="2024-04-12T00:00:00"/>
        <d v="2023-09-16T00:00:00"/>
        <d v="2024-07-07T00:00:00"/>
        <d v="2023-09-11T00:00:00"/>
        <d v="2024-09-03T00:00:00"/>
        <d v="2023-05-16T00:00:00"/>
        <d v="2023-07-30T00:00:00"/>
        <d v="2023-03-02T00:00:00"/>
        <d v="2024-01-10T00:00:00"/>
        <d v="2024-06-30T00:00:00"/>
        <d v="2023-12-01T00:00:00"/>
        <d v="2024-08-19T00:00:00"/>
        <d v="2024-06-06T00:00:00"/>
        <d v="2024-05-15T00:00:00"/>
        <d v="2023-05-01T00:00:00"/>
        <d v="2023-05-18T00:00:00"/>
        <d v="2024-11-13T00:00:00"/>
        <d v="2024-11-26T00:00:00"/>
        <d v="2023-09-23T00:00:00"/>
        <d v="2024-04-09T00:00:00"/>
        <d v="2023-10-02T00:00:00"/>
        <d v="2023-05-06T00:00:00"/>
        <d v="2024-03-12T00:00:00"/>
        <d v="2024-03-06T00:00:00"/>
        <d v="2023-12-10T00:00:00"/>
        <d v="2024-05-17T00:00:00"/>
        <d v="2024-02-05T00:00:00"/>
        <d v="2023-05-25T00:00:00"/>
        <d v="2023-09-15T00:00:00"/>
        <d v="2024-04-26T00:00:00"/>
        <d v="2023-10-10T00:00:00"/>
        <d v="2024-03-23T00:00:00"/>
        <d v="2024-12-13T00:00:00"/>
        <d v="2023-12-20T00:00:00"/>
        <d v="2024-08-05T00:00:00"/>
        <d v="2023-04-24T00:00:00"/>
        <d v="2024-02-10T00:00:00"/>
        <d v="2023-09-09T00:00:00"/>
        <d v="2023-08-22T00:00:00"/>
        <d v="2023-04-08T00:00:00"/>
        <d v="2023-04-26T00:00:00"/>
        <d v="2024-06-15T00:00:00"/>
        <d v="2023-10-12T00:00:00"/>
        <d v="2023-11-11T00:00:00"/>
        <d v="2023-09-18T00:00:00"/>
        <d v="2023-12-13T00:00:00"/>
        <d v="2023-03-01T00:00:00"/>
        <d v="2023-07-07T00:00:00"/>
        <d v="2023-11-19T00:00:00"/>
        <d v="2024-03-18T00:00:00"/>
        <d v="2024-01-03T00:00:00"/>
        <d v="2023-03-08T00:00:00"/>
        <d v="2024-10-14T00:00:00"/>
        <d v="2024-02-17T00:00:00"/>
        <d v="2023-06-18T00:00:00"/>
        <d v="2023-01-12T00:00:00"/>
        <d v="2024-01-23T00:00:00"/>
        <d v="2023-07-15T00:00:00"/>
        <d v="2024-05-13T00:00:00"/>
        <d v="2024-09-21T00:00:00"/>
        <d v="2023-08-23T00:00:00"/>
        <d v="2024-07-13T00:00:00"/>
        <d v="2023-06-09T00:00:00"/>
        <d v="2024-09-09T00:00:00"/>
        <d v="2023-05-28T00:00:00"/>
        <d v="2024-03-05T00:00:00"/>
        <d v="2023-05-29T00:00:00"/>
        <d v="2023-01-28T00:00:00"/>
        <d v="2023-03-31T00:00:00"/>
        <d v="2023-05-17T00:00:00"/>
        <d v="2024-02-18T00:00:00"/>
        <d v="2024-08-17T00:00:00"/>
        <d v="2024-04-17T00:00:00"/>
        <d v="2024-12-06T00:00:00"/>
        <d v="2024-08-10T00:00:00"/>
        <d v="2024-09-01T00:00:00"/>
        <d v="2024-06-07T00:00:00"/>
        <d v="2024-08-16T00:00:00"/>
        <d v="2024-02-13T00:00:00"/>
        <d v="2023-12-18T00:00:00"/>
        <d v="2023-09-22T00:00:00"/>
        <d v="2023-12-12T00:00:00"/>
        <d v="2023-03-13T00:00:00"/>
        <d v="2023-06-16T00:00:00"/>
        <d v="2023-09-28T00:00:00"/>
        <d v="2024-03-08T00:00:00"/>
        <d v="2023-07-26T00:00:00"/>
        <d v="2024-05-07T00:00:00"/>
        <d v="2023-04-29T00:00:00"/>
        <d v="2023-09-30T00:00:00"/>
        <d v="2024-09-13T00:00:00"/>
        <d v="2024-10-13T00:00:00"/>
        <d v="2023-07-24T00:00:00"/>
        <d v="2024-08-13T00:00:00"/>
        <d v="2023-10-11T00:00:00"/>
        <d v="2023-09-05T00:00:00"/>
        <d v="2024-07-30T00:00:00"/>
        <d v="2024-09-04T00:00:00"/>
        <d v="2023-07-09T00:00:00"/>
        <d v="2023-06-17T00:00:00"/>
        <d v="2023-07-19T00:00:00"/>
        <d v="2024-01-28T00:00:00"/>
        <d v="2023-02-01T00:00:00"/>
        <d v="2023-10-31T00:00:00"/>
        <d v="2024-05-20T00:00:00"/>
        <d v="2024-08-23T00:00:00"/>
        <d v="2024-05-22T00:00:00"/>
        <d v="2023-08-13T00:00:00"/>
        <d v="2024-11-28T00:00:00"/>
        <d v="2024-12-19T00:00:00"/>
        <d v="2023-12-03T00:00:00"/>
        <d v="2023-01-07T00:00:00"/>
        <d v="2024-01-29T00:00:00"/>
        <d v="2023-06-22T00:00:00"/>
        <d v="2023-05-24T00:00:00"/>
        <d v="2023-11-07T00:00:00"/>
        <d v="2024-06-08T00:00:00"/>
        <d v="2024-06-23T00:00:00"/>
        <d v="2024-01-19T00:00:00"/>
        <d v="2023-01-31T00:00:00"/>
        <d v="2023-12-26T00:00:00"/>
        <d v="2024-03-22T00:00:00"/>
        <d v="2024-01-31T00:00:00"/>
        <d v="2024-01-21T00:00:00"/>
        <d v="2023-05-07T00:00:00"/>
        <d v="2024-03-10T00:00:00"/>
        <d v="2023-10-25T00:00:00"/>
        <d v="2023-03-10T00:00:00"/>
        <d v="2023-03-05T00:00:00"/>
        <d v="2024-01-18T00:00:00"/>
        <d v="2023-09-02T00:00:00"/>
        <d v="2024-06-20T00:00:00"/>
        <d v="2023-07-23T00:00:00"/>
        <d v="2024-05-25T00:00:00"/>
        <d v="2023-12-07T00:00:00"/>
        <d v="2024-01-09T00:00:00"/>
        <d v="2024-05-24T00:00:00"/>
        <d v="2024-11-01T00:00:00"/>
        <d v="2023-12-17T00:00:00"/>
        <d v="2023-12-02T00:00:00"/>
        <d v="2023-10-29T00:00:00"/>
        <d v="2024-01-08T00:00:00"/>
        <d v="2024-04-06T00:00:00"/>
        <d v="2024-12-14T00:00:00"/>
        <d v="2023-10-26T00:00:00"/>
        <d v="2024-03-04T00:00:00"/>
        <d v="2024-04-24T00:00:00"/>
        <d v="2023-11-29T00:00:00"/>
        <d v="2023-01-30T00:00:00"/>
        <d v="2024-04-08T00:00:00"/>
        <d v="2024-02-03T00:00:00"/>
        <d v="2024-08-08T00:00:00"/>
        <d v="2023-06-04T00:00:00"/>
        <d v="2023-01-01T00:00:00"/>
        <d v="2023-10-18T00:00:00"/>
        <d v="2024-04-27T00:00:00"/>
        <d v="2023-11-30T00:00:00"/>
        <d v="2023-10-20T00:00:00"/>
        <d v="2023-04-28T00:00:00"/>
        <d v="2023-04-04T00:00:00"/>
        <d v="2024-11-23T00:00:00"/>
        <d v="2024-05-19T00:00:00"/>
        <d v="2023-02-25T00:00:00"/>
        <d v="2024-06-14T00:00:00"/>
        <d v="2024-11-24T00:00:00"/>
        <d v="2024-06-29T00:00:00"/>
        <d v="2024-11-10T00:00:00"/>
        <d v="2024-08-24T00:00:00"/>
        <d v="2024-10-24T00:00:00"/>
        <d v="2024-10-02T00:00:00"/>
        <d v="2023-02-13T00:00:00"/>
        <d v="2023-08-27T00:00:00"/>
        <d v="2024-04-10T00:00:00"/>
        <d v="2024-10-22T00:00:00"/>
        <d v="2023-02-26T00:00:00"/>
        <d v="2023-07-05T00:00:00"/>
        <d v="2023-12-28T00:00:00"/>
        <d v="2024-12-22T00:00:00"/>
        <d v="2024-07-26T00:00:00"/>
        <d v="2023-04-05T00:00:00"/>
        <d v="2023-04-22T00:00:00"/>
        <d v="2024-01-07T00:00:00"/>
        <d v="2023-09-24T00:00:00"/>
        <d v="2023-12-30T00:00:00"/>
        <d v="2024-03-29T00:00:00"/>
        <d v="2023-04-12T00:00:00"/>
        <d v="2024-10-18T00:00:00"/>
        <d v="2024-01-15T00:00:00"/>
        <d v="2023-03-07T00:00:00"/>
        <d v="2024-03-15T00:00:00"/>
        <d v="2024-01-04T00:00:00"/>
        <d v="2024-01-27T00:00:00"/>
        <d v="2024-08-28T00:00:00"/>
        <d v="2023-12-15T00:00:00"/>
        <d v="2024-12-12T00:00:00"/>
        <d v="2023-10-30T00:00:00"/>
        <d v="2023-10-01T00:00:00"/>
        <d v="2024-12-27T00:00:00"/>
        <d v="2023-05-14T00:00:00"/>
        <d v="2023-03-26T00:00:00"/>
        <d v="2024-10-01T00:00:00"/>
        <d v="2023-05-05T00:00:00"/>
        <d v="2023-01-05T00:00:00"/>
        <d v="2023-01-24T00:00:00"/>
        <d v="2024-07-27T00:00:00"/>
        <d v="2024-04-18T00:00:00"/>
        <d v="2024-01-25T00:00:00"/>
        <d v="2024-02-04T00:00:00"/>
        <d v="2023-11-13T00:00:00"/>
        <d v="2024-05-26T00:00:00"/>
        <d v="2023-04-01T00:00:00"/>
        <d v="2024-12-16T00:00:00"/>
        <d v="2023-05-31T00:00:00"/>
        <d v="2023-08-30T00:00:00"/>
        <d v="2024-02-07T00:00:00"/>
        <d v="2023-02-11T00:00:00"/>
        <d v="2024-10-29T00:00:00"/>
        <d v="2023-01-29T00:00:00"/>
        <d v="2023-02-22T00:00:00"/>
        <d v="2023-01-03T00:00:00"/>
        <d v="2024-02-29T00:00:00"/>
        <d v="2023-03-11T00:00:00"/>
        <d v="2024-02-08T00:00:00"/>
        <d v="2023-02-16T00:00:00"/>
        <d v="2023-01-04T00:00:00"/>
        <d v="2024-02-24T00:00:00"/>
        <d v="2024-06-03T00:00:00"/>
        <d v="2024-10-26T00:00:00"/>
        <d v="2024-12-03T00:00:00"/>
        <d v="2024-01-20T00:00:00"/>
        <d v="2024-09-26T00:00:00"/>
        <d v="2023-08-26T00:00:00"/>
        <d v="2023-08-29T00:00:00"/>
        <d v="2024-04-05T00:00:00"/>
        <d v="2023-05-30T00:00:00"/>
        <d v="2024-09-02T00:00:00"/>
        <d v="2024-06-24T00:00:00"/>
        <d v="2023-01-19T00:00:00"/>
        <d v="2023-03-03T00:00:00"/>
        <d v="2024-11-02T00:00:00"/>
        <d v="2023-01-02T00:00:00"/>
        <d v="2024-01-11T00:00:00"/>
        <d v="2024-11-27T00:00:00"/>
        <d v="2024-05-29T00:00:00"/>
        <d v="2023-12-19T00:00:00"/>
        <d v="2023-07-20T00:00:00"/>
        <d v="2024-08-27T00:00:00"/>
        <d v="2023-07-21T00:00:00"/>
        <d v="2024-11-21T00:00:00"/>
        <d v="2024-09-23T00:00:00"/>
        <d v="2023-09-08T00:00:00"/>
        <d v="2024-09-10T00:00:00"/>
        <d v="2024-06-17T00:00:00"/>
        <d v="2023-05-12T00:00:00"/>
        <d v="2024-04-04T00:00:00"/>
        <d v="2023-06-26T00:00:00"/>
        <d v="2024-10-16T00:00:00"/>
        <d v="2023-02-15T00:00:00"/>
        <d v="2024-07-16T00:00:00"/>
        <d v="2024-02-25T00:00:00"/>
        <d v="2024-11-06T00:00:00"/>
        <d v="2024-03-24T00:00:00"/>
        <d v="2024-09-12T00:00:00"/>
        <d v="2024-09-30T00:00:00"/>
        <d v="2024-08-30T00:00:00"/>
        <d v="2024-11-15T00:00:00"/>
        <d v="2023-11-06T00:00:00"/>
        <d v="2023-09-27T00:00:00"/>
        <d v="2024-12-17T00:00:00"/>
        <d v="2024-05-14T00:00:00"/>
        <d v="2024-03-13T00:00:00"/>
        <d v="2023-03-28T00:00:00"/>
        <d v="2023-12-16T00:00:00"/>
        <d v="2024-06-10T00:00:00"/>
        <d v="2024-01-02T00:00:00"/>
        <d v="2023-09-13T00:00:00"/>
        <d v="2024-10-30T00:00:00"/>
        <d v="2024-03-30T00:00:00"/>
        <d v="2023-09-01T00:00:00"/>
        <d v="2024-04-22T00:00:00"/>
        <d v="2023-01-25T00:00:00"/>
        <d v="2023-06-27T00:00:00"/>
        <d v="2023-07-10T00:00:00"/>
        <d v="2023-11-16T00:00:00"/>
        <d v="2024-03-17T00:00:00"/>
        <d v="2024-06-11T00:00:00"/>
        <d v="2023-03-27T00:00:00"/>
        <d v="2024-12-11T00:00:00"/>
        <d v="2023-01-22T00:00:00"/>
        <d v="2023-05-10T00:00:00"/>
        <d v="2023-06-10T00:00:00"/>
        <d v="2023-12-11T00:00:00"/>
        <d v="2024-03-11T00:00:00"/>
        <d v="2023-12-24T00:00:00"/>
        <d v="2024-03-21T00:00:00"/>
        <d v="2023-02-07T00:00:00"/>
        <d v="2023-05-22T00:00:00"/>
        <d v="2024-08-21T00:00:00"/>
        <d v="2024-10-08T00:00:00"/>
        <d v="2023-10-09T00:00:00"/>
        <d v="2024-07-12T00:00:00"/>
        <d v="2024-08-22T00:00:00"/>
        <d v="2024-06-04T00:00:00"/>
        <d v="2024-12-02T00:00:00"/>
        <d v="2024-11-14T00:00:00"/>
        <d v="2023-04-18T00:00:00"/>
        <d v="2023-03-21T00:00:00"/>
        <d v="2024-11-25T00:00:00"/>
        <d v="2023-12-31T00:00:00"/>
        <d v="2024-10-05T00:00:00"/>
        <d v="2023-11-01T00:00:00"/>
        <d v="2023-08-06T00:00:00"/>
        <d v="2023-06-07T00:00:00"/>
        <d v="2023-08-09T00:00:00"/>
        <d v="2024-10-03T00:00:00"/>
        <d v="2024-04-01T00:00:00"/>
        <d v="2023-04-27T00:00:00"/>
        <d v="2023-05-02T00:00:00"/>
        <d v="2023-09-06T00:00:00"/>
        <d v="2023-07-01T00:00:00"/>
        <d v="2024-01-06T00:00:00"/>
        <d v="2024-09-15T00:00:00"/>
        <d v="2023-11-26T00:00:00"/>
        <d v="2024-11-03T00:00:00"/>
        <d v="2023-06-23T00:00:00"/>
        <d v="2023-10-14T00:00:00"/>
        <d v="2023-06-12T00:00:00"/>
        <d v="2024-02-06T00:00:00"/>
        <d v="2024-06-21T00:00:00"/>
        <d v="2023-10-15T00:00:00"/>
        <d v="2023-01-20T00:00:00"/>
        <d v="2023-06-20T00:00:00"/>
        <d v="2024-07-22T00:00:00"/>
        <d v="2024-05-01T00:00:00"/>
        <d v="2024-05-21T00:00:00"/>
        <d v="2024-09-28T00:00:00"/>
        <d v="2023-04-19T00:00:00"/>
        <d v="2024-07-01T00:00:00"/>
        <d v="2023-01-06T00:00:00"/>
        <d v="2024-12-18T00:00:00"/>
        <d v="2023-09-03T00:00:00"/>
        <d v="2024-01-26T00:00:00"/>
        <d v="2024-12-28T00:00:00"/>
        <d v="2023-02-05T00:00:00"/>
        <d v="2023-04-20T00:00:00"/>
        <d v="2024-02-12T00:00:00"/>
        <d v="2023-12-29T00:00:00"/>
        <d v="2024-02-15T00:00:00"/>
        <d v="2024-08-04T00:00:00"/>
        <d v="2023-02-28T00:00:00"/>
        <d v="2023-04-02T00:00:00"/>
        <d v="2023-04-16T00:00:00"/>
        <d v="2023-05-11T00:00:00"/>
        <d v="2023-12-21T00:00:00"/>
        <d v="2024-10-04T00:00:00"/>
        <d v="2023-05-20T00:00:00"/>
        <d v="2024-07-29T00:00:00"/>
        <d v="2024-11-12T00:00:00"/>
        <d v="2023-10-17T00:00:00"/>
        <d v="2023-06-24T00:00:00"/>
        <d v="2023-07-12T00:00:00"/>
        <d v="2023-01-16T00:00:00"/>
        <d v="2023-02-21T00:00:00"/>
        <d v="2024-05-08T00:00:00"/>
        <d v="2024-11-04T00:00:00"/>
        <d v="2024-11-30T00:00:00"/>
        <d v="2023-09-10T00:00:00"/>
        <d v="2023-03-14T00:00:00"/>
        <d v="2023-07-27T00:00:00"/>
        <d v="2023-11-21T00:00:00"/>
        <d v="2024-07-09T00:00:00"/>
        <d v="2024-07-05T00:00:00"/>
        <d v="2024-05-09T00:00:00"/>
        <d v="2023-12-22T00:00:00"/>
        <d v="2024-06-22T00:00:00"/>
        <d v="2024-10-06T00:00:00"/>
        <d v="2024-12-23T00:00:00"/>
        <d v="2023-12-25T00:00:00"/>
        <d v="2024-11-19T00:00:00"/>
        <d v="2024-10-28T00:00:00"/>
        <d v="2023-10-16T00:00:00"/>
        <d v="2023-10-22T00:00:00"/>
        <d v="2024-07-19T00:00:00"/>
        <d v="2023-08-04T00:00:00"/>
        <d v="2023-03-30T00:00:00"/>
        <d v="2023-02-03T00:00:00"/>
        <d v="2024-02-02T00:00:00"/>
        <d v="2024-06-16T00:00:00"/>
        <d v="2024-09-11T00:00:00"/>
        <d v="2024-07-11T00:00:00"/>
        <d v="2023-06-19T00:00:00"/>
        <d v="2024-03-03T00:00:00"/>
        <d v="2023-05-26T00:00:00"/>
        <d v="2024-01-22T00:00:00"/>
        <d v="2023-08-19T00:00:00"/>
        <d v="2024-04-16T00:00:00"/>
        <d v="2024-10-23T00:00:00"/>
        <d v="2023-08-02T00:00:00"/>
        <d v="2024-12-01T00:00:00"/>
        <d v="2024-07-06T00:00:00"/>
        <d v="2024-04-29T00:00:00"/>
        <d v="2024-11-08T00:00:00"/>
        <d v="2024-05-28T00:00:00"/>
        <d v="2023-06-02T00:00:00"/>
        <d v="2024-06-27T00:00:00"/>
        <d v="2023-06-01T00:00:00"/>
        <d v="2024-08-29T00:00:00"/>
        <d v="2023-08-25T00:00:00"/>
        <d v="2024-08-01T00:00:00"/>
        <d v="2024-02-26T00:00:00"/>
        <d v="2023-02-06T00:00:00"/>
        <d v="2023-08-28T00:00:00"/>
        <d v="2024-11-22T00:00:00"/>
        <d v="2024-01-13T00:00:00"/>
        <d v="2024-06-09T00:00:00"/>
        <d v="2023-06-25T00:00:00"/>
        <d v="2024-01-16T00:00:00"/>
        <d v="2024-07-04T00:00:00"/>
        <d v="2023-11-12T00:00:00"/>
        <d v="2024-09-16T00:00:00"/>
        <d v="2023-09-21T00:00:00"/>
        <d v="2024-08-06T00:00:00"/>
        <d v="2024-06-01T00:00:00"/>
        <d v="2023-11-27T00:00:00"/>
        <d v="2024-10-09T00:00:00"/>
        <d v="2023-07-08T00:00:00"/>
        <d v="2024-03-27T00:00:00"/>
        <d v="2023-01-15T00:00:00"/>
        <d v="2024-04-07T00:00:00"/>
        <d v="2024-08-15T00:00:00"/>
        <d v="2024-02-22T00:00:00"/>
        <d v="2024-05-10T00:00:00"/>
        <d v="2023-08-03T00:00:00"/>
        <d v="2023-11-02T00:00:00"/>
        <d v="2023-07-29T00:00:00"/>
        <d v="2023-03-12T00:00:00"/>
        <d v="2023-04-06T00:00:00"/>
        <d v="2024-02-21T00:00:00"/>
        <d v="2024-12-15T00:00:00"/>
        <d v="2023-08-21T00:00:00"/>
        <d v="2023-11-03T00:00:00"/>
        <d v="2024-05-06T00:00:00"/>
        <d v="2024-07-31T00:00:00"/>
        <d v="2023-12-05T00:00:00"/>
        <d v="2023-02-27T00:00:00"/>
        <d v="2024-04-03T00:00:00"/>
        <d v="2023-08-05T00:00:00"/>
        <d v="2023-05-13T00:00:00"/>
        <d v="2023-04-17T00:00:00"/>
        <d v="2024-06-12T00:00:00"/>
        <d v="2023-09-20T00:00:00"/>
        <d v="2023-04-09T00:00:00"/>
        <d v="2024-01-01T00:00:00"/>
        <d v="2024-02-16T00:00:00"/>
        <d v="2023-11-23T00:00:00"/>
        <d v="2023-05-03T00:00:00"/>
        <d v="2024-07-21T00:00:00"/>
        <d v="2023-03-22T00:00:00"/>
        <d v="2024-03-01T00:00:00"/>
        <d v="2024-04-19T00:00:00"/>
        <d v="2024-12-25T00:00:00"/>
        <d v="2023-08-01T00:00:00"/>
        <d v="2023-09-12T00:00:00"/>
        <d v="2024-12-29T00:00:00"/>
        <d v="2023-02-23T00:00:00"/>
        <d v="2024-10-21T00:00:00"/>
        <d v="2024-03-28T00:00:00"/>
        <d v="2023-10-08T00:00:00"/>
        <d v="2024-06-25T00:00:00"/>
        <d v="2024-09-29T00:00:00"/>
        <d v="2023-05-04T00:00:00"/>
        <d v="2023-04-30T00:00:00"/>
        <d v="2024-08-09T00:00:00"/>
        <d v="2023-07-25T00:00:00"/>
        <d v="2024-09-05T00:00:00"/>
        <d v="2023-07-13T00:00:00"/>
        <d v="2024-10-31T00:00:00"/>
        <d v="2024-12-07T00:00:00"/>
        <d v="2024-05-16T00:00:00"/>
        <d v="2024-11-05T00:00:00"/>
        <d v="2023-12-04T00:00:00"/>
        <d v="2023-07-04T00:00:00"/>
        <d v="2023-06-06T00:00:00"/>
        <d v="2023-07-17T00:00:00"/>
        <d v="2023-06-14T00:00:00"/>
        <d v="2023-02-08T00:00:00"/>
        <d v="2024-02-14T00:00:00"/>
        <d v="2024-04-02T00:00:00"/>
        <d v="2024-01-12T00:00:00"/>
        <d v="2024-05-23T00:00:00"/>
        <d v="2023-10-04T00:00:00"/>
        <d v="2023-02-17T00:00:00"/>
        <d v="2024-04-13T00:00:00"/>
        <d v="2024-03-09T00:00:00"/>
        <d v="2023-05-23T00:00:00"/>
        <d v="2024-09-19T00:00:00"/>
        <d v="2023-10-03T00:00:00"/>
        <d v="2024-11-09T00:00:00"/>
        <d v="2023-07-11T00:00:00"/>
        <d v="2024-05-02T00:00:00"/>
        <d v="2024-06-28T00:00:00"/>
        <d v="2023-02-10T00:00:00"/>
        <d v="2023-07-03T00:00:00"/>
        <d v="2023-04-13T00:00:00"/>
        <d v="2023-05-08T00:00:00"/>
        <d v="2024-03-25T00:00:00"/>
        <d v="2023-05-21T00:00:00"/>
        <d v="2024-02-28T00:00:00"/>
        <d v="2024-12-31T00:00:00"/>
        <d v="2024-04-30T00:00:00"/>
        <d v="2024-12-09T00:00:00"/>
      </sharedItems>
      <fieldGroup par="14" base="1">
        <rangePr groupBy="months" startDate="2023-01-01T00:00:00" endDate="2025-01-01T00:00:00"/>
        <groupItems count="14">
          <s v="&lt;01-01-2023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1-01-2025"/>
        </groupItems>
      </fieldGroup>
    </cacheField>
    <cacheField name="Customer ID" numFmtId="0">
      <sharedItems count="851">
        <s v="C802"/>
        <s v="C456"/>
        <s v="C677"/>
        <s v="C987"/>
        <s v="C655"/>
        <s v="C332"/>
        <s v="C141"/>
        <s v="C224"/>
        <s v="C912"/>
        <s v="C860"/>
        <s v="C852"/>
        <s v="C104"/>
        <s v="C893"/>
        <s v="C292"/>
        <s v="C859"/>
        <s v="C804"/>
        <s v="C286"/>
        <s v="C522"/>
        <s v="C980"/>
        <s v="C505"/>
        <s v="C619"/>
        <s v="C844"/>
        <s v="C934"/>
        <s v="C247"/>
        <s v="C867"/>
        <s v="C385"/>
        <s v="C765"/>
        <s v="C511"/>
        <s v="C596"/>
        <s v="C555"/>
        <s v="C296"/>
        <s v="C967"/>
        <s v="C638"/>
        <s v="C283"/>
        <s v="C579"/>
        <s v="C731"/>
        <s v="C582"/>
        <s v="C471"/>
        <s v="C527"/>
        <s v="C394"/>
        <s v="C553"/>
        <s v="C465"/>
        <s v="C658"/>
        <s v="C577"/>
        <s v="C877"/>
        <s v="C665"/>
        <s v="C232"/>
        <s v="C915"/>
        <s v="C928"/>
        <s v="C608"/>
        <s v="C196"/>
        <s v="C605"/>
        <s v="C633"/>
        <s v="C155"/>
        <s v="C657"/>
        <s v="C651"/>
        <s v="C493"/>
        <s v="C591"/>
        <s v="C841"/>
        <s v="C348"/>
        <s v="C654"/>
        <s v="C302"/>
        <s v="C366"/>
        <s v="C449"/>
        <s v="C920"/>
        <s v="C549"/>
        <s v="C490"/>
        <s v="C136"/>
        <s v="C132"/>
        <s v="C976"/>
        <s v="C147"/>
        <s v="C597"/>
        <s v="C177"/>
        <s v="C193"/>
        <s v="C585"/>
        <s v="C391"/>
        <s v="C492"/>
        <s v="C787"/>
        <s v="C676"/>
        <s v="C401"/>
        <s v="C350"/>
        <s v="C529"/>
        <s v="C475"/>
        <s v="C513"/>
        <s v="C998"/>
        <s v="C788"/>
        <s v="C573"/>
        <s v="C417"/>
        <s v="C315"/>
        <s v="C472"/>
        <s v="C679"/>
        <s v="C599"/>
        <s v="C383"/>
        <s v="C574"/>
        <s v="C560"/>
        <s v="C865"/>
        <s v="C621"/>
        <s v="C738"/>
        <s v="C438"/>
        <s v="C398"/>
        <s v="C606"/>
        <s v="C467"/>
        <s v="C873"/>
        <s v="C301"/>
        <s v="C485"/>
        <s v="C440"/>
        <s v="C602"/>
        <s v="C163"/>
        <s v="C683"/>
        <s v="C799"/>
        <s v="C314"/>
        <s v="C661"/>
        <s v="C719"/>
        <s v="C111"/>
        <s v="C425"/>
        <s v="C377"/>
        <s v="C331"/>
        <s v="C517"/>
        <s v="C181"/>
        <s v="C101"/>
        <s v="C239"/>
        <s v="C387"/>
        <s v="C883"/>
        <s v="C171"/>
        <s v="C260"/>
        <s v="C424"/>
        <s v="C635"/>
        <s v="C116"/>
        <s v="C626"/>
        <s v="C831"/>
        <s v="C436"/>
        <s v="C805"/>
        <s v="C180"/>
        <s v="C966"/>
        <s v="C325"/>
        <s v="C557"/>
        <s v="C534"/>
        <s v="C278"/>
        <s v="C272"/>
        <s v="C905"/>
        <s v="C826"/>
        <s v="C982"/>
        <s v="C566"/>
        <s v="C849"/>
        <s v="C756"/>
        <s v="C428"/>
        <s v="C411"/>
        <s v="C434"/>
        <s v="C170"/>
        <s v="C567"/>
        <s v="C669"/>
        <s v="C780"/>
        <s v="C965"/>
        <s v="C880"/>
        <s v="C122"/>
        <s v="C827"/>
        <s v="C810"/>
        <s v="C236"/>
        <s v="C586"/>
        <s v="C558"/>
        <s v="C265"/>
        <s v="C777"/>
        <s v="C276"/>
        <s v="C874"/>
        <s v="C258"/>
        <s v="C388"/>
        <s v="C956"/>
        <s v="C127"/>
        <s v="C262"/>
        <s v="C250"/>
        <s v="C118"/>
        <s v="C639"/>
        <s v="C158"/>
        <s v="C500"/>
        <s v="C612"/>
        <s v="C194"/>
        <s v="C435"/>
        <s v="C779"/>
        <s v="C528"/>
        <s v="C494"/>
        <s v="C251"/>
        <s v="C135"/>
        <s v="C367"/>
        <s v="C143"/>
        <s v="C372"/>
        <s v="C620"/>
        <s v="C184"/>
        <s v="C964"/>
        <s v="C745"/>
        <s v="C952"/>
        <s v="C462"/>
        <s v="C714"/>
        <s v="C395"/>
        <s v="C218"/>
        <s v="C100"/>
        <s v="C222"/>
        <s v="C961"/>
        <s v="C174"/>
        <s v="C686"/>
        <s v="C878"/>
        <s v="C289"/>
        <s v="C771"/>
        <s v="C499"/>
        <s v="C671"/>
        <s v="C571"/>
        <s v="C281"/>
        <s v="C611"/>
        <s v="C343"/>
        <s v="C712"/>
        <s v="C352"/>
        <s v="C413"/>
        <s v="C359"/>
        <s v="C322"/>
        <s v="C293"/>
        <s v="C663"/>
        <s v="C997"/>
        <s v="C740"/>
        <s v="C547"/>
        <s v="C515"/>
        <s v="C496"/>
        <s v="C742"/>
        <s v="C733"/>
        <s v="C389"/>
        <s v="C694"/>
        <s v="C209"/>
        <s v="C279"/>
        <s v="C373"/>
        <s v="C469"/>
        <s v="C340"/>
        <s v="C538"/>
        <s v="C197"/>
        <s v="C310"/>
        <s v="C502"/>
        <s v="C992"/>
        <s v="C610"/>
        <s v="C223"/>
        <s v="C399"/>
        <s v="C526"/>
        <s v="C525"/>
        <s v="C439"/>
        <s v="C410"/>
        <s v="C486"/>
        <s v="C838"/>
        <s v="C495"/>
        <s v="C461"/>
        <s v="C744"/>
        <s v="C640"/>
        <s v="C786"/>
        <s v="C161"/>
        <s v="C255"/>
        <s v="C853"/>
        <s v="C792"/>
        <s v="C406"/>
        <s v="C698"/>
        <s v="C271"/>
        <s v="C530"/>
        <s v="C881"/>
        <s v="C157"/>
        <s v="C378"/>
        <s v="C357"/>
        <s v="C508"/>
        <s v="C857"/>
        <s v="C863"/>
        <s v="C318"/>
        <s v="C768"/>
        <s v="C680"/>
        <s v="C313"/>
        <s v="C726"/>
        <s v="C812"/>
        <s v="C488"/>
        <s v="C397"/>
        <s v="C993"/>
        <s v="C561"/>
        <s v="C178"/>
        <s v="C217"/>
        <s v="C631"/>
        <s v="C371"/>
        <s v="C185"/>
        <s v="C978"/>
        <s v="C989"/>
        <s v="C130"/>
        <s v="C836"/>
        <s v="C656"/>
        <s v="C871"/>
        <s v="C429"/>
        <s v="C288"/>
        <s v="C447"/>
        <s v="C311"/>
        <s v="C235"/>
        <s v="C629"/>
        <s v="C845"/>
        <s v="C659"/>
        <s v="C448"/>
        <s v="C186"/>
        <s v="C868"/>
        <s v="C330"/>
        <s v="C806"/>
        <s v="C172"/>
        <s v="C306"/>
        <s v="C951"/>
        <s v="C519"/>
        <s v="C464"/>
        <s v="C233"/>
        <s v="C206"/>
        <s v="C284"/>
        <s v="C949"/>
        <s v="C862"/>
        <s v="C153"/>
        <s v="C162"/>
        <s v="C643"/>
        <s v="C243"/>
        <s v="C234"/>
        <s v="C384"/>
        <s v="C578"/>
        <s v="C131"/>
        <s v="C644"/>
        <s v="C421"/>
        <s v="C614"/>
        <s v="C382"/>
        <s v="C752"/>
        <s v="C563"/>
        <s v="C333"/>
        <s v="C498"/>
        <s v="C807"/>
        <s v="C825"/>
        <s v="C687"/>
        <s v="C248"/>
        <s v="C757"/>
        <s v="C647"/>
        <s v="C412"/>
        <s v="C419"/>
        <s v="C291"/>
        <s v="C616"/>
        <s v="C895"/>
        <s v="C339"/>
        <s v="C896"/>
        <s v="C317"/>
        <s v="C728"/>
        <s v="C793"/>
        <s v="C908"/>
        <s v="C487"/>
        <s v="C876"/>
        <s v="C546"/>
        <s v="C832"/>
        <s v="C323"/>
        <s v="C420"/>
        <s v="C897"/>
        <s v="C937"/>
        <s v="C711"/>
        <s v="C347"/>
        <s v="C668"/>
        <s v="C850"/>
        <s v="C829"/>
        <s v="C151"/>
        <s v="C237"/>
        <s v="C240"/>
        <s v="C506"/>
        <s v="C362"/>
        <s v="C533"/>
        <s v="C227"/>
        <s v="C123"/>
        <s v="C753"/>
        <s v="C797"/>
        <s v="C642"/>
        <s v="C835"/>
        <s v="C375"/>
        <s v="C403"/>
        <s v="C305"/>
        <s v="C290"/>
        <s v="C932"/>
        <s v="C900"/>
        <s v="C523"/>
        <s v="C688"/>
        <s v="C879"/>
        <s v="C328"/>
        <s v="C554"/>
        <s v="C363"/>
        <s v="C730"/>
        <s v="C548"/>
        <s v="C615"/>
        <s v="C214"/>
        <s v="C645"/>
        <s v="C678"/>
        <s v="C796"/>
        <s v="C590"/>
        <s v="C433"/>
        <s v="C931"/>
        <s v="C618"/>
        <s v="C817"/>
        <s v="C358"/>
        <s v="C983"/>
        <s v="C938"/>
        <s v="C497"/>
        <s v="C210"/>
        <s v="C183"/>
        <s v="C257"/>
        <s v="C888"/>
        <s v="C568"/>
        <s v="C376"/>
        <s v="C803"/>
        <s v="C628"/>
        <s v="C904"/>
        <s v="C446"/>
        <s v="C903"/>
        <s v="C160"/>
        <s v="C298"/>
        <s v="C580"/>
        <s v="C169"/>
        <s v="C906"/>
        <s v="C150"/>
        <s v="C824"/>
        <s v="C798"/>
        <s v="C182"/>
        <s v="C791"/>
        <s v="C971"/>
        <s v="C408"/>
        <s v="C478"/>
        <s v="C535"/>
        <s v="C264"/>
        <s v="C308"/>
        <s v="C936"/>
        <s v="C565"/>
        <s v="C634"/>
        <s v="C988"/>
        <s v="C637"/>
        <s v="C473"/>
        <s v="C491"/>
        <s v="C674"/>
        <s v="C564"/>
        <s v="C207"/>
        <s v="C784"/>
        <s v="C338"/>
        <s v="C119"/>
        <s v="C950"/>
        <s v="C138"/>
        <s v="C587"/>
        <s v="C205"/>
        <s v="C996"/>
        <s v="C105"/>
        <s v="C886"/>
        <s v="C245"/>
        <s v="C516"/>
        <s v="C115"/>
        <s v="C773"/>
        <s v="C300"/>
        <s v="C269"/>
        <s v="C275"/>
        <s v="C532"/>
        <s v="C159"/>
        <s v="C261"/>
        <s v="C501"/>
        <s v="C843"/>
        <s v="C168"/>
        <s v="C140"/>
        <s v="C545"/>
        <s v="C503"/>
        <s v="C379"/>
        <s v="C815"/>
        <s v="C124"/>
        <s v="C968"/>
        <s v="C617"/>
        <s v="C848"/>
        <s v="C277"/>
        <s v="C216"/>
        <s v="C482"/>
        <s v="C691"/>
        <s v="C885"/>
        <s v="C705"/>
        <s v="C958"/>
        <s v="C463"/>
        <s v="C948"/>
        <s v="C551"/>
        <s v="C542"/>
        <s v="C189"/>
        <s v="C572"/>
        <s v="C414"/>
        <s v="C129"/>
        <s v="C259"/>
        <s v="C918"/>
        <s v="C477"/>
        <s v="C822"/>
        <s v="C613"/>
        <s v="C149"/>
        <s v="C415"/>
        <s v="C524"/>
        <s v="C984"/>
        <s v="C431"/>
        <s v="C758"/>
        <s v="C329"/>
        <s v="C249"/>
        <s v="C334"/>
        <s v="C303"/>
        <s v="C481"/>
        <s v="C769"/>
        <s v="C507"/>
        <s v="C454"/>
        <s v="C716"/>
        <s v="C754"/>
        <s v="C734"/>
        <s v="C266"/>
        <s v="C834"/>
        <s v="C953"/>
        <s v="C556"/>
        <s v="C875"/>
        <s v="C267"/>
        <s v="C165"/>
        <s v="C772"/>
        <s v="C598"/>
        <s v="C280"/>
        <s v="C750"/>
        <s v="C749"/>
        <s v="C833"/>
        <s v="C341"/>
        <s v="C766"/>
        <s v="C700"/>
        <s v="C146"/>
        <s v="C416"/>
        <s v="C713"/>
        <s v="C458"/>
        <s v="C907"/>
        <s v="C778"/>
        <s v="C813"/>
        <s v="C342"/>
        <s v="C809"/>
        <s v="C444"/>
        <s v="C133"/>
        <s v="C126"/>
        <s v="C902"/>
        <s v="C212"/>
        <s v="C811"/>
        <s v="C724"/>
        <s v="C660"/>
        <s v="C102"/>
        <s v="C717"/>
        <s v="C970"/>
        <s v="C924"/>
        <s v="C319"/>
        <s v="C345"/>
        <s v="C715"/>
        <s v="C939"/>
        <s v="C108"/>
        <s v="C380"/>
        <s v="C770"/>
        <s v="C963"/>
        <s v="C755"/>
        <s v="C909"/>
        <s v="C531"/>
        <s v="C708"/>
        <s v="C693"/>
        <s v="C307"/>
        <s v="C919"/>
        <s v="C369"/>
        <s v="C346"/>
        <s v="C199"/>
        <s v="C253"/>
        <s v="C581"/>
        <s v="C559"/>
        <s v="C213"/>
        <s v="C351"/>
        <s v="C113"/>
        <s v="C110"/>
        <s v="C354"/>
        <s v="C839"/>
        <s v="C539"/>
        <s v="C675"/>
        <s v="C723"/>
        <s v="C320"/>
        <s v="C721"/>
        <s v="C200"/>
        <s v="C427"/>
        <s v="C570"/>
        <s v="C858"/>
        <s v="C748"/>
        <s v="C520"/>
        <s v="C916"/>
        <s v="C479"/>
        <s v="C324"/>
        <s v="C959"/>
        <s v="C268"/>
        <s v="C360"/>
        <s v="C107"/>
        <s v="C336"/>
        <s v="C201"/>
        <s v="C667"/>
        <s v="C685"/>
        <s v="C746"/>
        <s v="C287"/>
        <s v="C603"/>
        <s v="C800"/>
        <s v="C607"/>
        <s v="C304"/>
        <s v="C504"/>
        <s v="C356"/>
        <s v="C390"/>
        <s v="C593"/>
        <s v="C957"/>
        <s v="C238"/>
        <s v="C741"/>
        <s v="C821"/>
        <s v="C349"/>
        <s v="C801"/>
        <s v="C929"/>
        <s v="C923"/>
        <s v="C173"/>
        <s v="C176"/>
        <s v="C820"/>
        <s v="C819"/>
        <s v="C783"/>
        <s v="C215"/>
        <s v="C244"/>
        <s v="C109"/>
        <s v="C720"/>
        <s v="C512"/>
        <s v="C636"/>
        <s v="C933"/>
        <s v="C774"/>
        <s v="C828"/>
        <s v="C653"/>
        <s v="C562"/>
        <s v="C273"/>
        <s v="C144"/>
        <s v="C762"/>
        <s v="C166"/>
        <s v="C890"/>
        <s v="C125"/>
        <s v="C400"/>
        <s v="C114"/>
        <s v="C211"/>
        <s v="C381"/>
        <s v="C404"/>
        <s v="C901"/>
        <s v="C751"/>
        <s v="C808"/>
        <s v="C575"/>
        <s v="C910"/>
        <s v="C541"/>
        <s v="C696"/>
        <s v="C396"/>
        <s v="C536"/>
        <s v="C112"/>
        <s v="C316"/>
        <s v="C453"/>
        <s v="C789"/>
        <s v="C855"/>
        <s v="C702"/>
        <s v="C666"/>
        <s v="C954"/>
        <s v="C851"/>
        <s v="C544"/>
        <s v="C972"/>
        <s v="C795"/>
        <s v="C432"/>
        <s v="C443"/>
        <s v="C945"/>
        <s v="C737"/>
        <s v="C595"/>
        <s v="C969"/>
        <s v="C623"/>
        <s v="C782"/>
        <s v="C285"/>
        <s v="C725"/>
        <s v="C167"/>
        <s v="C510"/>
        <s v="C600"/>
        <s v="C781"/>
        <s v="C823"/>
        <s v="C884"/>
        <s v="C646"/>
        <s v="C940"/>
        <s v="C256"/>
        <s v="C263"/>
        <s v="C898"/>
        <s v="C699"/>
        <s v="C739"/>
        <s v="C960"/>
        <s v="C583"/>
        <s v="C344"/>
        <s v="C995"/>
        <s v="C335"/>
        <s v="C142"/>
        <s v="C870"/>
        <s v="C630"/>
        <s v="C935"/>
        <s v="C442"/>
        <s v="C830"/>
        <s v="C426"/>
        <s v="C588"/>
        <s v="C231"/>
        <s v="C225"/>
        <s v="C407"/>
        <s v="C134"/>
        <s v="C437"/>
        <s v="C601"/>
        <s v="C889"/>
        <s v="C761"/>
        <s v="C187"/>
        <s v="C710"/>
        <s v="C518"/>
        <s v="C128"/>
        <s v="C794"/>
        <s v="C569"/>
        <s v="C925"/>
        <s v="C589"/>
        <s v="C840"/>
        <s v="C689"/>
        <s v="C955"/>
        <s v="C370"/>
        <s v="C460"/>
        <s v="C695"/>
        <s v="C106"/>
        <s v="C763"/>
        <s v="C204"/>
        <s v="C729"/>
        <s v="C991"/>
        <s v="C641"/>
        <s v="C190"/>
        <s v="C962"/>
        <s v="C221"/>
        <s v="C818"/>
        <s v="C282"/>
        <s v="C137"/>
        <s v="C451"/>
        <s v="C785"/>
        <s v="C727"/>
        <s v="C156"/>
        <s v="C470"/>
        <s v="C405"/>
        <s v="C103"/>
        <s v="C117"/>
        <s v="C706"/>
        <s v="C899"/>
        <s v="C246"/>
        <s v="C392"/>
        <s v="C979"/>
        <s v="C521"/>
        <s v="C990"/>
        <s v="C981"/>
        <s v="C198"/>
        <s v="C861"/>
        <s v="C697"/>
        <s v="C483"/>
        <s v="C476"/>
        <s v="C650"/>
        <s v="C592"/>
        <s v="C624"/>
        <s v="C767"/>
        <s v="C846"/>
        <s v="C514"/>
        <s v="C468"/>
        <s v="C226"/>
        <s v="C361"/>
        <s v="C202"/>
        <s v="C652"/>
        <s v="C864"/>
        <s v="C441"/>
        <s v="C241"/>
        <s v="C709"/>
        <s v="C911"/>
        <s v="C540"/>
        <s v="C423"/>
        <s v="C294"/>
        <s v="C672"/>
        <s v="C154"/>
        <s v="C975"/>
        <s v="C649"/>
        <s v="C584"/>
        <s v="C930"/>
        <s v="C622"/>
        <s v="C152"/>
        <s v="C455"/>
        <s v="C604"/>
        <s v="C985"/>
        <s v="C921"/>
        <s v="C681"/>
        <s v="C856"/>
        <s v="C847"/>
        <s v="C450"/>
        <s v="C509"/>
        <s v="C648"/>
        <s v="C164"/>
        <s v="C484"/>
        <s v="C230"/>
        <s v="C422"/>
        <s v="C148"/>
        <s v="C891"/>
        <s v="C594"/>
        <s v="C203"/>
        <s v="C977"/>
        <s v="C609"/>
        <s v="C704"/>
        <s v="C632"/>
        <s v="C355"/>
        <s v="C192"/>
        <s v="C664"/>
        <s v="C743"/>
        <s v="C999"/>
        <s v="C732"/>
        <s v="C718"/>
        <s v="C309"/>
        <s v="C943"/>
        <s v="C913"/>
        <s v="C922"/>
        <s v="C764"/>
        <s v="C353"/>
        <s v="C430"/>
        <s v="C254"/>
        <s v="C837"/>
        <s v="C735"/>
        <s v="C139"/>
        <s v="C195"/>
        <s v="C418"/>
        <s v="C894"/>
        <s v="C337"/>
        <s v="C543"/>
        <s v="C220"/>
        <s v="C299"/>
        <s v="C973"/>
        <s v="C941"/>
        <s v="C179"/>
        <s v="C474"/>
        <s v="C790"/>
        <s v="C625"/>
        <s v="C986"/>
        <s v="C942"/>
        <s v="C946"/>
        <s v="C297"/>
        <s v="C270"/>
        <s v="C402"/>
        <s v="C684"/>
        <s v="C662"/>
        <s v="C121"/>
        <s v="C409"/>
        <s v="C120"/>
        <s v="C459"/>
        <s v="C736"/>
        <s v="C869"/>
        <s v="C208"/>
        <s v="C321"/>
        <s v="C670"/>
        <s v="C926"/>
        <s v="C682"/>
        <s v="C550"/>
        <s v="C866"/>
        <s v="C552"/>
        <s v="C707"/>
        <s v="C690"/>
        <s v="C393"/>
        <s v="C228"/>
        <s v="C722"/>
        <s v="C229"/>
        <s v="C312"/>
      </sharedItems>
    </cacheField>
    <cacheField name="Customer Name" numFmtId="0">
      <sharedItems/>
    </cacheField>
    <cacheField name="Region" numFmtId="0">
      <sharedItems count="5">
        <s v="South"/>
        <s v="North"/>
        <s v="West"/>
        <s v="East"/>
        <s v=" north "/>
      </sharedItems>
    </cacheField>
    <cacheField name="City" numFmtId="0">
      <sharedItems/>
    </cacheField>
    <cacheField name="Category" numFmtId="0">
      <sharedItems count="4">
        <s v="Furniture"/>
        <s v="Electronics"/>
        <s v="Electronic"/>
        <s v="Office Supplies"/>
      </sharedItems>
    </cacheField>
    <cacheField name="Sub Category" numFmtId="0">
      <sharedItems/>
    </cacheField>
    <cacheField name="Product" numFmtId="0">
      <sharedItems/>
    </cacheField>
    <cacheField name="Quantity" numFmtId="0">
      <sharedItems containsSemiMixedTypes="0" containsString="0" containsNumber="1" containsInteger="1" minValue="-10" maxValue="10"/>
    </cacheField>
    <cacheField name="Sales" numFmtId="164">
      <sharedItems containsSemiMixedTypes="0" containsString="0" containsNumber="1" minValue="145.29" maxValue="49831.62"/>
    </cacheField>
    <cacheField name="Discount %" numFmtId="0">
      <sharedItems containsMixedTypes="1" containsNumber="1" minValue="0" maxValue="20"/>
    </cacheField>
    <cacheField name="Salesperson" numFmtId="0">
      <sharedItems count="6">
        <s v="Kiran"/>
        <s v="Rohit"/>
        <s v="Ali"/>
        <s v="John"/>
        <s v="Meera"/>
        <s v="Pooja"/>
      </sharedItems>
    </cacheField>
    <cacheField name="Payment Mode" numFmtId="0">
      <sharedItems count="4">
        <s v="UPI"/>
        <s v="Cash"/>
        <s v="Bank Transfer"/>
        <s v="Card"/>
      </sharedItems>
    </cacheField>
    <cacheField name="Years" numFmtId="0" databaseField="0">
      <fieldGroup base="1">
        <rangePr groupBy="years" startDate="2023-01-01T00:00:00" endDate="2025-01-01T00:00:00"/>
        <groupItems count="5">
          <s v="&lt;01-01-2023"/>
          <s v="2023"/>
          <s v="2024"/>
          <s v="2025"/>
          <s v="&gt;01-01-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53">
  <r>
    <s v="ORD1002"/>
    <x v="0"/>
    <x v="0"/>
    <s v="Arjun"/>
    <x v="0"/>
    <s v="Delhi"/>
    <x v="0"/>
    <s v="Chair"/>
    <s v="Chair 23"/>
    <n v="8"/>
    <n v="22677.08"/>
    <n v="5"/>
    <x v="0"/>
    <x v="0"/>
  </r>
  <r>
    <s v="ORD1003"/>
    <x v="1"/>
    <x v="1"/>
    <s v="Sneha"/>
    <x v="1"/>
    <s v="Pune"/>
    <x v="0"/>
    <s v="Table"/>
    <s v="Table 30"/>
    <n v="6"/>
    <n v="5190.6499999999996"/>
    <n v="0"/>
    <x v="0"/>
    <x v="1"/>
  </r>
  <r>
    <s v="ORD1005"/>
    <x v="2"/>
    <x v="2"/>
    <s v="Anjali"/>
    <x v="2"/>
    <s v="Pune"/>
    <x v="1"/>
    <s v="Phone"/>
    <s v="Phone 7"/>
    <n v="5"/>
    <n v="9479.9599999999991"/>
    <n v="0"/>
    <x v="1"/>
    <x v="2"/>
  </r>
  <r>
    <s v="ORD1006"/>
    <x v="3"/>
    <x v="3"/>
    <s v="Karan "/>
    <x v="3"/>
    <s v="delhi "/>
    <x v="1"/>
    <s v="Phone"/>
    <s v="Phone 27"/>
    <n v="2"/>
    <n v="643.58000000000004"/>
    <n v="5"/>
    <x v="0"/>
    <x v="3"/>
  </r>
  <r>
    <s v="ORD1008"/>
    <x v="4"/>
    <x v="4"/>
    <s v="Anjali"/>
    <x v="4"/>
    <s v="Jaipur"/>
    <x v="1"/>
    <s v="Laptop"/>
    <s v="Laptop 28"/>
    <n v="3"/>
    <n v="8995.7000000000007"/>
    <n v="20"/>
    <x v="2"/>
    <x v="0"/>
  </r>
  <r>
    <s v="ORD1009"/>
    <x v="5"/>
    <x v="5"/>
    <s v="Vikas"/>
    <x v="2"/>
    <s v="delhi "/>
    <x v="1"/>
    <s v="Laptop"/>
    <s v="Laptop 27"/>
    <n v="8"/>
    <n v="6109.5"/>
    <n v="10"/>
    <x v="3"/>
    <x v="0"/>
  </r>
  <r>
    <s v="ORD1011"/>
    <x v="6"/>
    <x v="6"/>
    <s v="Arjun "/>
    <x v="0"/>
    <s v="Jaipur"/>
    <x v="0"/>
    <s v="Chair"/>
    <s v="Chair 6"/>
    <n v="8"/>
    <n v="26907.35"/>
    <n v="0"/>
    <x v="0"/>
    <x v="3"/>
  </r>
  <r>
    <s v="ORD1012"/>
    <x v="7"/>
    <x v="7"/>
    <s v="Amit"/>
    <x v="0"/>
    <s v="Mumbai"/>
    <x v="2"/>
    <s v="Phone"/>
    <s v="Phone 2"/>
    <n v="6"/>
    <n v="2140.83"/>
    <n v="15"/>
    <x v="0"/>
    <x v="3"/>
  </r>
  <r>
    <s v="ORD1013"/>
    <x v="8"/>
    <x v="8"/>
    <s v="Neha"/>
    <x v="2"/>
    <s v="Kolkata"/>
    <x v="1"/>
    <s v="Phone"/>
    <s v="Phone 4"/>
    <n v="10"/>
    <n v="23121.279999999999"/>
    <n v="10"/>
    <x v="3"/>
    <x v="0"/>
  </r>
  <r>
    <s v="ORD1014"/>
    <x v="9"/>
    <x v="9"/>
    <s v="Sneha"/>
    <x v="2"/>
    <s v="Jaipur"/>
    <x v="3"/>
    <s v="Paper"/>
    <s v="Paper 15"/>
    <n v="9"/>
    <n v="8003.19"/>
    <n v="5"/>
    <x v="4"/>
    <x v="0"/>
  </r>
  <r>
    <s v="ORD1015"/>
    <x v="10"/>
    <x v="10"/>
    <s v="Sneha"/>
    <x v="2"/>
    <s v="Kolkata"/>
    <x v="0"/>
    <s v="Table"/>
    <s v="Table 27"/>
    <n v="5"/>
    <n v="3993.7"/>
    <n v="5"/>
    <x v="1"/>
    <x v="3"/>
  </r>
  <r>
    <s v="ORD1016"/>
    <x v="11"/>
    <x v="11"/>
    <s v="Riya"/>
    <x v="3"/>
    <s v="Bengaluru"/>
    <x v="1"/>
    <s v="Phone"/>
    <s v="Phone 23"/>
    <n v="9"/>
    <n v="44363.28"/>
    <n v="5"/>
    <x v="0"/>
    <x v="1"/>
  </r>
  <r>
    <s v="ORD1017"/>
    <x v="12"/>
    <x v="12"/>
    <s v="Priya"/>
    <x v="3"/>
    <s v="Jaipur"/>
    <x v="3"/>
    <s v="Paper"/>
    <s v="Paper 17"/>
    <n v="10"/>
    <n v="12802.17"/>
    <n v="5"/>
    <x v="5"/>
    <x v="0"/>
  </r>
  <r>
    <s v="ORD1018"/>
    <x v="13"/>
    <x v="13"/>
    <s v="Riya"/>
    <x v="1"/>
    <s v="delhi "/>
    <x v="1"/>
    <s v="Laptop"/>
    <s v="Laptop 7"/>
    <n v="1"/>
    <n v="2007.82"/>
    <n v="10"/>
    <x v="5"/>
    <x v="1"/>
  </r>
  <r>
    <s v="ORD1019"/>
    <x v="0"/>
    <x v="14"/>
    <s v="Rahul"/>
    <x v="1"/>
    <s v="Delhi"/>
    <x v="3"/>
    <s v="Paper"/>
    <s v="Paper 27"/>
    <n v="7"/>
    <n v="23577.13"/>
    <n v="0.1"/>
    <x v="0"/>
    <x v="1"/>
  </r>
  <r>
    <s v="ORD1020"/>
    <x v="14"/>
    <x v="15"/>
    <s v="Amit"/>
    <x v="4"/>
    <s v="Bengaluru"/>
    <x v="0"/>
    <s v="Table"/>
    <s v="Table 21"/>
    <n v="6"/>
    <n v="27782.78"/>
    <n v="0"/>
    <x v="4"/>
    <x v="0"/>
  </r>
  <r>
    <s v="ORD1021"/>
    <x v="15"/>
    <x v="10"/>
    <s v="Riya"/>
    <x v="3"/>
    <s v="Mumbai"/>
    <x v="1"/>
    <s v="Laptop"/>
    <s v="Laptop 24"/>
    <n v="5"/>
    <n v="15804.62"/>
    <n v="10"/>
    <x v="5"/>
    <x v="2"/>
  </r>
  <r>
    <s v="ORD1022"/>
    <x v="16"/>
    <x v="16"/>
    <s v="Neha "/>
    <x v="1"/>
    <s v="Jaipur"/>
    <x v="2"/>
    <s v="Phone"/>
    <s v="Phone 27"/>
    <n v="4"/>
    <n v="8467.4"/>
    <n v="20"/>
    <x v="2"/>
    <x v="2"/>
  </r>
  <r>
    <s v="ORD1023"/>
    <x v="17"/>
    <x v="17"/>
    <s v="Neha"/>
    <x v="3"/>
    <s v="delhi "/>
    <x v="3"/>
    <s v="Paper"/>
    <s v="Paper 26"/>
    <n v="2"/>
    <n v="8121.94"/>
    <n v="0.1"/>
    <x v="0"/>
    <x v="3"/>
  </r>
  <r>
    <s v="ORD1024"/>
    <x v="18"/>
    <x v="18"/>
    <s v="Sneha"/>
    <x v="1"/>
    <s v="Pune"/>
    <x v="0"/>
    <s v="Table"/>
    <s v="Table 10"/>
    <n v="2"/>
    <n v="6708.09"/>
    <n v="15"/>
    <x v="4"/>
    <x v="3"/>
  </r>
  <r>
    <s v="ORD1025"/>
    <x v="19"/>
    <x v="19"/>
    <s v="Sneha"/>
    <x v="3"/>
    <s v="delhi "/>
    <x v="0"/>
    <s v="Chair"/>
    <s v="Chair 11"/>
    <n v="9"/>
    <n v="15032.93"/>
    <n v="0"/>
    <x v="4"/>
    <x v="2"/>
  </r>
  <r>
    <s v="ORD1026"/>
    <x v="20"/>
    <x v="20"/>
    <s v="Riya"/>
    <x v="1"/>
    <s v="Jaipur"/>
    <x v="0"/>
    <s v="Chair"/>
    <s v="Chair 26"/>
    <n v="9"/>
    <n v="34099"/>
    <n v="5"/>
    <x v="1"/>
    <x v="3"/>
  </r>
  <r>
    <s v="ORD1294"/>
    <x v="21"/>
    <x v="21"/>
    <s v="Riya"/>
    <x v="4"/>
    <s v="Bengaluru"/>
    <x v="0"/>
    <s v="Table"/>
    <s v="Table 13"/>
    <n v="6"/>
    <n v="11192.57"/>
    <s v="10 %"/>
    <x v="0"/>
    <x v="0"/>
  </r>
  <r>
    <s v="ORD1029"/>
    <x v="22"/>
    <x v="22"/>
    <s v="Arjun"/>
    <x v="3"/>
    <s v="Delhi"/>
    <x v="0"/>
    <s v="Chair"/>
    <s v="Chair 20"/>
    <n v="7"/>
    <n v="2568.56"/>
    <n v="5"/>
    <x v="0"/>
    <x v="3"/>
  </r>
  <r>
    <s v="ORD1030"/>
    <x v="23"/>
    <x v="23"/>
    <s v="Anjali"/>
    <x v="0"/>
    <s v="Delhi"/>
    <x v="0"/>
    <s v="Table"/>
    <s v="Table 20"/>
    <n v="2"/>
    <n v="2024.21"/>
    <s v="10 %"/>
    <x v="0"/>
    <x v="2"/>
  </r>
  <r>
    <s v="ORD1031"/>
    <x v="24"/>
    <x v="24"/>
    <s v="Priya"/>
    <x v="4"/>
    <s v="Bengaluru"/>
    <x v="2"/>
    <s v="Phone"/>
    <s v="Phone 25"/>
    <n v="7"/>
    <n v="22559.5"/>
    <n v="15"/>
    <x v="3"/>
    <x v="1"/>
  </r>
  <r>
    <s v="ORD1032"/>
    <x v="25"/>
    <x v="25"/>
    <s v="Karan"/>
    <x v="0"/>
    <s v="Pune"/>
    <x v="0"/>
    <s v="Table"/>
    <s v="Table 19"/>
    <n v="8"/>
    <n v="3777.67"/>
    <n v="10"/>
    <x v="2"/>
    <x v="0"/>
  </r>
  <r>
    <s v="ORD1033"/>
    <x v="26"/>
    <x v="26"/>
    <s v="Arjun"/>
    <x v="2"/>
    <s v="Delhi"/>
    <x v="1"/>
    <s v="Laptop"/>
    <s v="Laptop 15"/>
    <n v="8"/>
    <n v="8476.4"/>
    <n v="5"/>
    <x v="1"/>
    <x v="0"/>
  </r>
  <r>
    <s v="ORD1034"/>
    <x v="27"/>
    <x v="27"/>
    <s v="Riya"/>
    <x v="2"/>
    <s v="Mumbai"/>
    <x v="2"/>
    <s v="Phone"/>
    <s v="Phone 14"/>
    <n v="8"/>
    <n v="19596.82"/>
    <n v="15"/>
    <x v="4"/>
    <x v="0"/>
  </r>
  <r>
    <s v="ORD1035"/>
    <x v="28"/>
    <x v="28"/>
    <s v="Vikas"/>
    <x v="3"/>
    <s v="Mumbai"/>
    <x v="2"/>
    <s v="Phone"/>
    <s v="Phone 11"/>
    <n v="5"/>
    <n v="15415.32"/>
    <n v="5"/>
    <x v="3"/>
    <x v="0"/>
  </r>
  <r>
    <s v="ORD1036"/>
    <x v="29"/>
    <x v="29"/>
    <s v="Arjun"/>
    <x v="4"/>
    <s v="Mumbai"/>
    <x v="2"/>
    <s v="Phone"/>
    <s v="Phone 14"/>
    <n v="1"/>
    <n v="3274.98"/>
    <n v="15"/>
    <x v="2"/>
    <x v="1"/>
  </r>
  <r>
    <s v="ORD1039"/>
    <x v="30"/>
    <x v="30"/>
    <s v="Neha"/>
    <x v="4"/>
    <s v="Jaipur"/>
    <x v="0"/>
    <s v="Table"/>
    <s v="Table 30"/>
    <n v="1"/>
    <n v="2226.37"/>
    <n v="20"/>
    <x v="4"/>
    <x v="1"/>
  </r>
  <r>
    <s v="ORD1040"/>
    <x v="4"/>
    <x v="31"/>
    <s v="Amit "/>
    <x v="4"/>
    <s v="Pune"/>
    <x v="3"/>
    <s v="Paper"/>
    <s v="Paper 10"/>
    <n v="10"/>
    <n v="13909.52"/>
    <n v="5"/>
    <x v="4"/>
    <x v="0"/>
  </r>
  <r>
    <s v="ORD1041"/>
    <x v="31"/>
    <x v="32"/>
    <s v="Sneha"/>
    <x v="0"/>
    <s v="Bengaluru"/>
    <x v="3"/>
    <s v="Paper"/>
    <s v="Paper 25"/>
    <n v="1"/>
    <n v="4808.7299999999996"/>
    <n v="10"/>
    <x v="3"/>
    <x v="2"/>
  </r>
  <r>
    <s v="ORD1042"/>
    <x v="32"/>
    <x v="33"/>
    <s v="Arjun"/>
    <x v="1"/>
    <s v="delhi "/>
    <x v="0"/>
    <s v="Chair"/>
    <s v="Chair 19"/>
    <n v="8"/>
    <n v="4032.59"/>
    <n v="0"/>
    <x v="1"/>
    <x v="3"/>
  </r>
  <r>
    <s v="ORD1043"/>
    <x v="33"/>
    <x v="34"/>
    <s v="Anjali"/>
    <x v="0"/>
    <s v="Pune"/>
    <x v="0"/>
    <s v="Chair"/>
    <s v="Chair 30"/>
    <n v="9"/>
    <n v="43597.09"/>
    <n v="5"/>
    <x v="2"/>
    <x v="3"/>
  </r>
  <r>
    <s v="ORD1044"/>
    <x v="34"/>
    <x v="35"/>
    <s v="Priya"/>
    <x v="0"/>
    <s v="Jaipur"/>
    <x v="2"/>
    <s v="Phone"/>
    <s v="Phone 16"/>
    <n v="7"/>
    <n v="791.92"/>
    <n v="15"/>
    <x v="0"/>
    <x v="2"/>
  </r>
  <r>
    <s v="ORD1045"/>
    <x v="1"/>
    <x v="36"/>
    <s v="Neha"/>
    <x v="2"/>
    <s v="Kolkata"/>
    <x v="1"/>
    <s v="Laptop"/>
    <s v="Laptop 3"/>
    <n v="5"/>
    <n v="14583.64"/>
    <s v="10 %"/>
    <x v="0"/>
    <x v="3"/>
  </r>
  <r>
    <s v="ORD1047"/>
    <x v="30"/>
    <x v="13"/>
    <s v="Neha"/>
    <x v="4"/>
    <s v="Delhi"/>
    <x v="0"/>
    <s v="Table"/>
    <s v="Table 1"/>
    <n v="10"/>
    <n v="24336.2"/>
    <n v="10"/>
    <x v="1"/>
    <x v="3"/>
  </r>
  <r>
    <s v="ORD1048"/>
    <x v="35"/>
    <x v="37"/>
    <s v="Sneha"/>
    <x v="0"/>
    <s v="Mumbai"/>
    <x v="1"/>
    <s v="Laptop"/>
    <s v="Laptop 3"/>
    <n v="3"/>
    <n v="5368.27"/>
    <n v="10"/>
    <x v="5"/>
    <x v="0"/>
  </r>
  <r>
    <s v="ORD1050"/>
    <x v="36"/>
    <x v="38"/>
    <s v="Karan"/>
    <x v="0"/>
    <s v="Delhi"/>
    <x v="1"/>
    <s v="Laptop"/>
    <s v="Laptop 30"/>
    <n v="10"/>
    <n v="44533.45"/>
    <n v="20"/>
    <x v="4"/>
    <x v="3"/>
  </r>
  <r>
    <s v="ORD1051"/>
    <x v="37"/>
    <x v="39"/>
    <s v="Priya"/>
    <x v="2"/>
    <s v="Bengaluru"/>
    <x v="0"/>
    <s v="Table"/>
    <s v="Table 27"/>
    <n v="-9"/>
    <n v="16779.46"/>
    <n v="20"/>
    <x v="3"/>
    <x v="0"/>
  </r>
  <r>
    <s v="ORD1052"/>
    <x v="38"/>
    <x v="40"/>
    <s v="Vikas"/>
    <x v="3"/>
    <s v="Kolkata"/>
    <x v="1"/>
    <s v="Laptop"/>
    <s v="Laptop 3"/>
    <n v="7"/>
    <n v="5796.23"/>
    <n v="15"/>
    <x v="3"/>
    <x v="2"/>
  </r>
  <r>
    <s v="ORD1053"/>
    <x v="39"/>
    <x v="7"/>
    <s v="Arjun"/>
    <x v="3"/>
    <s v="Mumbai"/>
    <x v="0"/>
    <s v="Table"/>
    <s v="Table 1"/>
    <n v="4"/>
    <n v="5558.37"/>
    <n v="20"/>
    <x v="5"/>
    <x v="3"/>
  </r>
  <r>
    <s v="ORD1054"/>
    <x v="40"/>
    <x v="41"/>
    <s v="Priya"/>
    <x v="0"/>
    <s v="Jaipur"/>
    <x v="1"/>
    <s v="Laptop"/>
    <s v="Laptop 14"/>
    <n v="6"/>
    <n v="21718.53"/>
    <s v="10 %"/>
    <x v="5"/>
    <x v="3"/>
  </r>
  <r>
    <s v="ORD1055"/>
    <x v="41"/>
    <x v="42"/>
    <s v="Riya"/>
    <x v="4"/>
    <s v="Mumbai"/>
    <x v="3"/>
    <s v="Paper"/>
    <s v="Paper 23"/>
    <n v="6"/>
    <n v="7513.39"/>
    <n v="5"/>
    <x v="4"/>
    <x v="3"/>
  </r>
  <r>
    <s v="ORD1057"/>
    <x v="42"/>
    <x v="43"/>
    <s v="Anjali"/>
    <x v="0"/>
    <s v="Mumbai"/>
    <x v="0"/>
    <s v="Table"/>
    <s v="Table 1"/>
    <n v="6"/>
    <n v="22781.01"/>
    <n v="15"/>
    <x v="5"/>
    <x v="2"/>
  </r>
  <r>
    <s v="ORD1058"/>
    <x v="43"/>
    <x v="44"/>
    <s v="Vikas"/>
    <x v="1"/>
    <s v="delhi "/>
    <x v="0"/>
    <s v="Chair"/>
    <s v="Chair 4"/>
    <n v="10"/>
    <n v="2773.36"/>
    <n v="5"/>
    <x v="0"/>
    <x v="3"/>
  </r>
  <r>
    <s v="ORD1060"/>
    <x v="44"/>
    <x v="45"/>
    <s v="Anjali"/>
    <x v="3"/>
    <s v="delhi "/>
    <x v="1"/>
    <s v="Laptop"/>
    <s v="Laptop 22"/>
    <n v="4"/>
    <n v="15322.22"/>
    <n v="10"/>
    <x v="3"/>
    <x v="2"/>
  </r>
  <r>
    <s v="ORD1061"/>
    <x v="45"/>
    <x v="46"/>
    <s v="Arjun"/>
    <x v="1"/>
    <s v="Delhi"/>
    <x v="0"/>
    <s v="Table"/>
    <s v="Table 7"/>
    <n v="10"/>
    <n v="25784.92"/>
    <n v="15"/>
    <x v="1"/>
    <x v="3"/>
  </r>
  <r>
    <s v="ORD1062"/>
    <x v="46"/>
    <x v="47"/>
    <s v="Priya"/>
    <x v="0"/>
    <s v="Delhi"/>
    <x v="0"/>
    <s v="Table"/>
    <s v="Table 29"/>
    <n v="4"/>
    <n v="1241.2"/>
    <n v="15"/>
    <x v="3"/>
    <x v="3"/>
  </r>
  <r>
    <s v="ORD1063"/>
    <x v="47"/>
    <x v="48"/>
    <s v="Karan"/>
    <x v="0"/>
    <s v="Pune"/>
    <x v="0"/>
    <s v="Chair"/>
    <s v="Chair 25"/>
    <n v="2"/>
    <n v="4601.55"/>
    <n v="5"/>
    <x v="0"/>
    <x v="1"/>
  </r>
  <r>
    <s v="ORD1064"/>
    <x v="48"/>
    <x v="49"/>
    <s v="Riya"/>
    <x v="0"/>
    <s v="Kolkata"/>
    <x v="0"/>
    <s v="Chair"/>
    <s v="Chair 4"/>
    <n v="2"/>
    <n v="6614.18"/>
    <n v="20"/>
    <x v="4"/>
    <x v="3"/>
  </r>
  <r>
    <s v="ORD1066"/>
    <x v="49"/>
    <x v="20"/>
    <s v="Arjun"/>
    <x v="0"/>
    <s v="Pune"/>
    <x v="2"/>
    <s v="Phone"/>
    <s v="Phone 27"/>
    <n v="7"/>
    <n v="24744.35"/>
    <n v="15"/>
    <x v="3"/>
    <x v="0"/>
  </r>
  <r>
    <s v="ORD1067"/>
    <x v="50"/>
    <x v="50"/>
    <s v="Vikas"/>
    <x v="0"/>
    <s v="Jaipur"/>
    <x v="1"/>
    <s v="Laptop"/>
    <s v="Laptop 8"/>
    <n v="5"/>
    <n v="11914.73"/>
    <n v="10"/>
    <x v="3"/>
    <x v="0"/>
  </r>
  <r>
    <s v="ORD1069"/>
    <x v="51"/>
    <x v="51"/>
    <s v="Amit"/>
    <x v="3"/>
    <s v="Delhi"/>
    <x v="0"/>
    <s v="Chair"/>
    <s v="Chair 28"/>
    <n v="4"/>
    <n v="9060.7000000000007"/>
    <n v="20"/>
    <x v="4"/>
    <x v="0"/>
  </r>
  <r>
    <s v="ORD1070"/>
    <x v="52"/>
    <x v="52"/>
    <s v="Karan"/>
    <x v="2"/>
    <s v="Mumbai"/>
    <x v="1"/>
    <s v="Laptop"/>
    <s v="Laptop 27"/>
    <n v="6"/>
    <n v="14131.34"/>
    <n v="0"/>
    <x v="4"/>
    <x v="1"/>
  </r>
  <r>
    <s v="ORD1071"/>
    <x v="53"/>
    <x v="53"/>
    <s v="Amit"/>
    <x v="4"/>
    <s v="Mumbai"/>
    <x v="1"/>
    <s v="Phone"/>
    <s v="Phone 10"/>
    <n v="2"/>
    <n v="4930.3900000000003"/>
    <n v="20"/>
    <x v="4"/>
    <x v="2"/>
  </r>
  <r>
    <s v="ORD1072"/>
    <x v="54"/>
    <x v="54"/>
    <s v="Amit "/>
    <x v="1"/>
    <s v="Delhi"/>
    <x v="1"/>
    <s v="Laptop"/>
    <s v="Laptop 20"/>
    <n v="6"/>
    <n v="19227.38"/>
    <s v="10 %"/>
    <x v="0"/>
    <x v="0"/>
  </r>
  <r>
    <s v="ORD1073"/>
    <x v="55"/>
    <x v="55"/>
    <s v="Sneha"/>
    <x v="4"/>
    <s v="Bengaluru"/>
    <x v="1"/>
    <s v="Laptop"/>
    <s v="Laptop 17"/>
    <n v="3"/>
    <n v="3856.11"/>
    <n v="20"/>
    <x v="4"/>
    <x v="0"/>
  </r>
  <r>
    <s v="ORD1074"/>
    <x v="56"/>
    <x v="56"/>
    <s v="Arjun"/>
    <x v="4"/>
    <s v="Delhi"/>
    <x v="3"/>
    <s v="Paper"/>
    <s v="Paper 4"/>
    <n v="1"/>
    <n v="4490.13"/>
    <n v="20"/>
    <x v="4"/>
    <x v="0"/>
  </r>
  <r>
    <s v="ORD1077"/>
    <x v="57"/>
    <x v="57"/>
    <s v="Neha"/>
    <x v="3"/>
    <s v="delhi "/>
    <x v="2"/>
    <s v="Phone"/>
    <s v="Phone 5"/>
    <n v="9"/>
    <n v="11726.09"/>
    <n v="0"/>
    <x v="0"/>
    <x v="0"/>
  </r>
  <r>
    <s v="ORD1078"/>
    <x v="58"/>
    <x v="58"/>
    <s v="Amit"/>
    <x v="2"/>
    <s v="Pune"/>
    <x v="0"/>
    <s v="Chair"/>
    <s v="Chair 16"/>
    <n v="5"/>
    <n v="19743.150000000001"/>
    <n v="0"/>
    <x v="1"/>
    <x v="2"/>
  </r>
  <r>
    <s v="ORD1080"/>
    <x v="27"/>
    <x v="12"/>
    <s v="Vikas"/>
    <x v="0"/>
    <s v="delhi "/>
    <x v="0"/>
    <s v="Table"/>
    <s v="Table 1"/>
    <n v="4"/>
    <n v="14963.19"/>
    <n v="0"/>
    <x v="5"/>
    <x v="3"/>
  </r>
  <r>
    <s v="ORD1081"/>
    <x v="59"/>
    <x v="59"/>
    <s v="Priya"/>
    <x v="4"/>
    <s v="Kolkata"/>
    <x v="0"/>
    <s v="Table"/>
    <s v="Table 14"/>
    <n v="5"/>
    <n v="2230.77"/>
    <s v="10 %"/>
    <x v="4"/>
    <x v="0"/>
  </r>
  <r>
    <s v="ORD1082"/>
    <x v="60"/>
    <x v="60"/>
    <s v="Amit"/>
    <x v="4"/>
    <s v="Bengaluru"/>
    <x v="1"/>
    <s v="Phone"/>
    <s v="Phone 11"/>
    <n v="9"/>
    <n v="17352.28"/>
    <n v="5"/>
    <x v="5"/>
    <x v="0"/>
  </r>
  <r>
    <s v="ORD1084"/>
    <x v="19"/>
    <x v="61"/>
    <s v="Riya"/>
    <x v="2"/>
    <s v="Kolkata"/>
    <x v="3"/>
    <s v="Paper"/>
    <s v="Paper 5"/>
    <n v="8"/>
    <n v="12558.9"/>
    <n v="5"/>
    <x v="3"/>
    <x v="0"/>
  </r>
  <r>
    <s v="ORD1086"/>
    <x v="61"/>
    <x v="62"/>
    <s v="Amit"/>
    <x v="0"/>
    <s v="Mumbai"/>
    <x v="0"/>
    <s v="Table"/>
    <s v="Table 21"/>
    <n v="4"/>
    <n v="4504.8900000000003"/>
    <n v="0"/>
    <x v="0"/>
    <x v="3"/>
  </r>
  <r>
    <s v="ORD1087"/>
    <x v="62"/>
    <x v="63"/>
    <s v="Anjali"/>
    <x v="2"/>
    <s v="Delhi"/>
    <x v="0"/>
    <s v="Chair"/>
    <s v="Chair 6"/>
    <n v="7"/>
    <n v="6276.11"/>
    <n v="0"/>
    <x v="3"/>
    <x v="1"/>
  </r>
  <r>
    <s v="ORD1088"/>
    <x v="63"/>
    <x v="61"/>
    <s v="Sneha"/>
    <x v="3"/>
    <s v="Jaipur"/>
    <x v="0"/>
    <s v="Chair"/>
    <s v="Chair 27"/>
    <n v="9"/>
    <n v="14061.11"/>
    <n v="0"/>
    <x v="3"/>
    <x v="3"/>
  </r>
  <r>
    <s v="ORD1089"/>
    <x v="64"/>
    <x v="64"/>
    <s v="Riya"/>
    <x v="0"/>
    <s v="Delhi"/>
    <x v="0"/>
    <s v="Chair"/>
    <s v="Chair 6"/>
    <n v="9"/>
    <n v="28624.58"/>
    <n v="0"/>
    <x v="1"/>
    <x v="3"/>
  </r>
  <r>
    <s v="ORD1090"/>
    <x v="65"/>
    <x v="65"/>
    <s v="Riya"/>
    <x v="0"/>
    <s v="Jaipur"/>
    <x v="1"/>
    <s v="Phone"/>
    <s v="Phone 22"/>
    <n v="7"/>
    <n v="2287.0700000000002"/>
    <n v="5"/>
    <x v="5"/>
    <x v="1"/>
  </r>
  <r>
    <s v="ORD1091"/>
    <x v="66"/>
    <x v="66"/>
    <s v="Sneha"/>
    <x v="1"/>
    <s v="delhi "/>
    <x v="1"/>
    <s v="Phone"/>
    <s v="Phone 8"/>
    <n v="1"/>
    <n v="1099.3699999999999"/>
    <s v="10 %"/>
    <x v="5"/>
    <x v="0"/>
  </r>
  <r>
    <s v="ORD1092"/>
    <x v="67"/>
    <x v="67"/>
    <s v="Rahul"/>
    <x v="2"/>
    <s v="Mumbai"/>
    <x v="0"/>
    <s v="Chair"/>
    <s v="Chair 27"/>
    <n v="4"/>
    <n v="19793.580000000002"/>
    <n v="10"/>
    <x v="1"/>
    <x v="1"/>
  </r>
  <r>
    <s v="ORD1093"/>
    <x v="68"/>
    <x v="68"/>
    <s v="Karan"/>
    <x v="3"/>
    <s v="delhi "/>
    <x v="0"/>
    <s v="Table"/>
    <s v="Table 17"/>
    <n v="8"/>
    <n v="30439.91"/>
    <s v="10 %"/>
    <x v="2"/>
    <x v="1"/>
  </r>
  <r>
    <s v="ORD1094"/>
    <x v="69"/>
    <x v="62"/>
    <s v="Arjun"/>
    <x v="0"/>
    <s v="Delhi"/>
    <x v="1"/>
    <s v="Phone"/>
    <s v="Phone 20"/>
    <n v="6"/>
    <n v="13699.62"/>
    <n v="0"/>
    <x v="2"/>
    <x v="0"/>
  </r>
  <r>
    <s v="ORD1096"/>
    <x v="70"/>
    <x v="69"/>
    <s v="Sneha"/>
    <x v="1"/>
    <s v="Delhi"/>
    <x v="2"/>
    <s v="Phone"/>
    <s v="Phone 10"/>
    <n v="4"/>
    <n v="19716.87"/>
    <n v="0"/>
    <x v="4"/>
    <x v="2"/>
  </r>
  <r>
    <s v="ORD1097"/>
    <x v="71"/>
    <x v="70"/>
    <s v="Vikas"/>
    <x v="0"/>
    <s v="Pune"/>
    <x v="0"/>
    <s v="Chair"/>
    <s v="Chair 20"/>
    <n v="10"/>
    <n v="13661.73"/>
    <s v="10 %"/>
    <x v="1"/>
    <x v="1"/>
  </r>
  <r>
    <s v="ORD1098"/>
    <x v="72"/>
    <x v="24"/>
    <s v="Amit"/>
    <x v="1"/>
    <s v="delhi "/>
    <x v="1"/>
    <s v="Phone"/>
    <s v="Phone 22"/>
    <n v="6"/>
    <n v="4017.48"/>
    <n v="15"/>
    <x v="3"/>
    <x v="0"/>
  </r>
  <r>
    <s v="ORD1099"/>
    <x v="73"/>
    <x v="71"/>
    <s v="Amit"/>
    <x v="1"/>
    <s v="Bengaluru"/>
    <x v="1"/>
    <s v="Laptop"/>
    <s v="Laptop 4"/>
    <n v="6"/>
    <n v="10122.549999999999"/>
    <n v="10"/>
    <x v="5"/>
    <x v="0"/>
  </r>
  <r>
    <s v="ORD1100"/>
    <x v="74"/>
    <x v="72"/>
    <s v="Anjali"/>
    <x v="0"/>
    <s v="Bengaluru"/>
    <x v="1"/>
    <s v="Laptop"/>
    <s v="Laptop 9"/>
    <n v="1"/>
    <n v="4787.4799999999996"/>
    <n v="20"/>
    <x v="1"/>
    <x v="2"/>
  </r>
  <r>
    <s v="ORD1101"/>
    <x v="75"/>
    <x v="73"/>
    <s v="Priya"/>
    <x v="4"/>
    <s v="Delhi"/>
    <x v="3"/>
    <s v="Paper"/>
    <s v="Paper 16"/>
    <n v="9"/>
    <n v="42871.1"/>
    <n v="20"/>
    <x v="5"/>
    <x v="2"/>
  </r>
  <r>
    <s v="ORD1102"/>
    <x v="76"/>
    <x v="24"/>
    <s v="Amit"/>
    <x v="3"/>
    <s v="delhi "/>
    <x v="1"/>
    <s v="Laptop"/>
    <s v="Laptop 24"/>
    <n v="2"/>
    <n v="3464.52"/>
    <n v="15"/>
    <x v="0"/>
    <x v="3"/>
  </r>
  <r>
    <s v="ORD1103"/>
    <x v="66"/>
    <x v="74"/>
    <s v="Rahul"/>
    <x v="0"/>
    <s v="Kolkata"/>
    <x v="0"/>
    <s v="Chair"/>
    <s v="Chair 12"/>
    <n v="10"/>
    <n v="47717.19"/>
    <n v="10"/>
    <x v="2"/>
    <x v="3"/>
  </r>
  <r>
    <s v="ORD1104"/>
    <x v="77"/>
    <x v="75"/>
    <s v="Arjun"/>
    <x v="3"/>
    <s v="Jaipur"/>
    <x v="0"/>
    <s v="Chair"/>
    <s v="Chair 7"/>
    <n v="7"/>
    <n v="27924.04"/>
    <s v="10 %"/>
    <x v="4"/>
    <x v="3"/>
  </r>
  <r>
    <s v="ORD1105"/>
    <x v="78"/>
    <x v="26"/>
    <s v="Amit"/>
    <x v="4"/>
    <s v="Bengaluru"/>
    <x v="0"/>
    <s v="Table"/>
    <s v="Table 29"/>
    <n v="7"/>
    <n v="17519.080000000002"/>
    <n v="5"/>
    <x v="0"/>
    <x v="0"/>
  </r>
  <r>
    <s v="ORD1107"/>
    <x v="79"/>
    <x v="76"/>
    <s v="Riya"/>
    <x v="0"/>
    <s v="Kolkata"/>
    <x v="0"/>
    <s v="Table"/>
    <s v="Table 16"/>
    <n v="4"/>
    <n v="16224.21"/>
    <s v="10 %"/>
    <x v="1"/>
    <x v="0"/>
  </r>
  <r>
    <s v="ORD1108"/>
    <x v="80"/>
    <x v="77"/>
    <s v="Anjali"/>
    <x v="2"/>
    <s v="Jaipur"/>
    <x v="1"/>
    <s v="Phone"/>
    <s v="Phone 3"/>
    <n v="2"/>
    <n v="8917.5400000000009"/>
    <n v="20"/>
    <x v="4"/>
    <x v="2"/>
  </r>
  <r>
    <s v="ORD1109"/>
    <x v="81"/>
    <x v="78"/>
    <s v="Karan"/>
    <x v="3"/>
    <s v="Jaipur"/>
    <x v="0"/>
    <s v="Chair"/>
    <s v="Chair 2"/>
    <n v="1"/>
    <n v="4465.1000000000004"/>
    <n v="0"/>
    <x v="0"/>
    <x v="0"/>
  </r>
  <r>
    <s v="ORD1110"/>
    <x v="82"/>
    <x v="79"/>
    <s v="Priya"/>
    <x v="0"/>
    <s v="Jaipur"/>
    <x v="1"/>
    <s v="Phone"/>
    <s v="Phone 9"/>
    <n v="4"/>
    <n v="1206.6400000000001"/>
    <n v="10"/>
    <x v="1"/>
    <x v="3"/>
  </r>
  <r>
    <s v="ORD1111"/>
    <x v="83"/>
    <x v="80"/>
    <s v="Riya"/>
    <x v="0"/>
    <s v="Bengaluru"/>
    <x v="0"/>
    <s v="Table"/>
    <s v="Table 13"/>
    <n v="3"/>
    <n v="12155.76"/>
    <n v="20"/>
    <x v="4"/>
    <x v="3"/>
  </r>
  <r>
    <s v="ORD1113"/>
    <x v="84"/>
    <x v="81"/>
    <s v="Amit"/>
    <x v="4"/>
    <s v="Delhi"/>
    <x v="2"/>
    <s v="Phone"/>
    <s v="Phone 26"/>
    <n v="10"/>
    <n v="28196.880000000001"/>
    <n v="15"/>
    <x v="2"/>
    <x v="3"/>
  </r>
  <r>
    <s v="ORD1114"/>
    <x v="85"/>
    <x v="82"/>
    <s v="Riya"/>
    <x v="4"/>
    <s v="Delhi"/>
    <x v="1"/>
    <s v="Phone"/>
    <s v="Phone 21"/>
    <n v="5"/>
    <n v="4850.09"/>
    <n v="0"/>
    <x v="3"/>
    <x v="3"/>
  </r>
  <r>
    <s v="ORD1115"/>
    <x v="86"/>
    <x v="83"/>
    <s v="Vikas"/>
    <x v="0"/>
    <s v="Mumbai"/>
    <x v="1"/>
    <s v="Phone"/>
    <s v="Phone 25"/>
    <n v="9"/>
    <n v="18714.05"/>
    <n v="15"/>
    <x v="2"/>
    <x v="0"/>
  </r>
  <r>
    <s v="ORD1116"/>
    <x v="87"/>
    <x v="84"/>
    <s v="Priya"/>
    <x v="0"/>
    <s v="Kolkata"/>
    <x v="3"/>
    <s v="Paper"/>
    <s v="Paper 4"/>
    <n v="3"/>
    <n v="12024.46"/>
    <s v="10 %"/>
    <x v="2"/>
    <x v="1"/>
  </r>
  <r>
    <s v="ORD1117"/>
    <x v="88"/>
    <x v="85"/>
    <s v="Rahul"/>
    <x v="2"/>
    <s v="Pune"/>
    <x v="2"/>
    <s v="Phone"/>
    <s v="Phone 16"/>
    <n v="8"/>
    <n v="18336.939999999999"/>
    <n v="5"/>
    <x v="3"/>
    <x v="3"/>
  </r>
  <r>
    <s v="ORD1118"/>
    <x v="89"/>
    <x v="86"/>
    <s v="Sneha"/>
    <x v="0"/>
    <s v="Kolkata"/>
    <x v="1"/>
    <s v="Phone"/>
    <s v="Phone 30"/>
    <n v="10"/>
    <n v="14254.6"/>
    <n v="0"/>
    <x v="1"/>
    <x v="3"/>
  </r>
  <r>
    <s v="ORD1119"/>
    <x v="90"/>
    <x v="17"/>
    <s v="Sneha"/>
    <x v="0"/>
    <s v="Bengaluru"/>
    <x v="0"/>
    <s v="Chair"/>
    <s v="Chair 6"/>
    <n v="10"/>
    <n v="35604.15"/>
    <s v="10 %"/>
    <x v="0"/>
    <x v="0"/>
  </r>
  <r>
    <s v="ORD1120"/>
    <x v="91"/>
    <x v="16"/>
    <s v="Anjali "/>
    <x v="2"/>
    <s v="Mumbai"/>
    <x v="3"/>
    <s v="Paper"/>
    <s v="Paper 1"/>
    <n v="3"/>
    <n v="5534.5"/>
    <n v="15"/>
    <x v="4"/>
    <x v="2"/>
  </r>
  <r>
    <s v="ORD1121"/>
    <x v="92"/>
    <x v="87"/>
    <s v="Riya"/>
    <x v="2"/>
    <s v="Mumbai"/>
    <x v="1"/>
    <s v="Laptop"/>
    <s v="Laptop 8"/>
    <n v="9"/>
    <n v="2046.71"/>
    <s v="10 %"/>
    <x v="3"/>
    <x v="1"/>
  </r>
  <r>
    <s v="ORD1122"/>
    <x v="93"/>
    <x v="88"/>
    <s v="Amit"/>
    <x v="0"/>
    <s v="Pune"/>
    <x v="0"/>
    <s v="Chair"/>
    <s v="Chair 23"/>
    <n v="3"/>
    <n v="13619.19"/>
    <n v="0"/>
    <x v="4"/>
    <x v="3"/>
  </r>
  <r>
    <s v="ORD1123"/>
    <x v="94"/>
    <x v="89"/>
    <s v="Riya"/>
    <x v="0"/>
    <s v="Pune"/>
    <x v="1"/>
    <s v="Laptop"/>
    <s v="Laptop 18"/>
    <n v="5"/>
    <n v="18662.099999999999"/>
    <n v="0"/>
    <x v="0"/>
    <x v="0"/>
  </r>
  <r>
    <s v="ORD1124"/>
    <x v="10"/>
    <x v="90"/>
    <s v="Priya "/>
    <x v="0"/>
    <s v="Bengaluru"/>
    <x v="2"/>
    <s v="Phone"/>
    <s v="Phone 26"/>
    <n v="3"/>
    <n v="7546.96"/>
    <n v="20"/>
    <x v="0"/>
    <x v="1"/>
  </r>
  <r>
    <s v="ORD1125"/>
    <x v="95"/>
    <x v="91"/>
    <s v="Karan"/>
    <x v="1"/>
    <s v="Pune"/>
    <x v="0"/>
    <s v="Table"/>
    <s v="Table 17"/>
    <n v="8"/>
    <n v="10295.620000000001"/>
    <n v="0"/>
    <x v="4"/>
    <x v="3"/>
  </r>
  <r>
    <s v="ORD1126"/>
    <x v="96"/>
    <x v="92"/>
    <s v="Rahul"/>
    <x v="2"/>
    <s v="delhi "/>
    <x v="2"/>
    <s v="Phone"/>
    <s v="Phone 29"/>
    <n v="10"/>
    <n v="20979.040000000001"/>
    <n v="20"/>
    <x v="5"/>
    <x v="2"/>
  </r>
  <r>
    <s v="ORD1127"/>
    <x v="97"/>
    <x v="93"/>
    <s v="Rahul"/>
    <x v="0"/>
    <s v="Delhi"/>
    <x v="2"/>
    <s v="Phone"/>
    <s v="Phone 8"/>
    <n v="5"/>
    <n v="3498.27"/>
    <n v="15"/>
    <x v="3"/>
    <x v="3"/>
  </r>
  <r>
    <s v="ORD1128"/>
    <x v="98"/>
    <x v="94"/>
    <s v="Arjun "/>
    <x v="1"/>
    <s v="Delhi"/>
    <x v="0"/>
    <s v="Table"/>
    <s v="Table 5"/>
    <n v="4"/>
    <n v="2871.47"/>
    <s v="10 %"/>
    <x v="1"/>
    <x v="3"/>
  </r>
  <r>
    <s v="ORD1129"/>
    <x v="99"/>
    <x v="95"/>
    <s v="Karan"/>
    <x v="2"/>
    <s v="Pune"/>
    <x v="0"/>
    <s v="Chair"/>
    <s v="Chair 4"/>
    <n v="6"/>
    <n v="16890.55"/>
    <s v="10 %"/>
    <x v="5"/>
    <x v="3"/>
  </r>
  <r>
    <s v="ORD1130"/>
    <x v="100"/>
    <x v="95"/>
    <s v="Amit"/>
    <x v="2"/>
    <s v="delhi "/>
    <x v="0"/>
    <s v="Table"/>
    <s v="Table 2"/>
    <n v="6"/>
    <n v="4919.07"/>
    <n v="10"/>
    <x v="0"/>
    <x v="3"/>
  </r>
  <r>
    <s v="ORD1132"/>
    <x v="101"/>
    <x v="96"/>
    <s v="Vikas "/>
    <x v="0"/>
    <s v="Jaipur"/>
    <x v="0"/>
    <s v="Chair"/>
    <s v="Chair 16"/>
    <n v="7"/>
    <n v="9082.49"/>
    <n v="15"/>
    <x v="3"/>
    <x v="2"/>
  </r>
  <r>
    <s v="ORD1134"/>
    <x v="24"/>
    <x v="97"/>
    <s v="Riya"/>
    <x v="3"/>
    <s v="Bengaluru"/>
    <x v="2"/>
    <s v="Phone"/>
    <s v="Phone 20"/>
    <n v="8"/>
    <n v="13249.51"/>
    <n v="15"/>
    <x v="4"/>
    <x v="3"/>
  </r>
  <r>
    <s v="ORD1135"/>
    <x v="102"/>
    <x v="98"/>
    <s v="Riya"/>
    <x v="4"/>
    <s v="Delhi"/>
    <x v="0"/>
    <s v="Table"/>
    <s v="Table 9"/>
    <n v="3"/>
    <n v="14630.86"/>
    <n v="20"/>
    <x v="5"/>
    <x v="2"/>
  </r>
  <r>
    <s v="ORD1136"/>
    <x v="103"/>
    <x v="99"/>
    <s v="Neha "/>
    <x v="0"/>
    <s v="Pune"/>
    <x v="1"/>
    <s v="Laptop"/>
    <s v="Laptop 13"/>
    <n v="2"/>
    <n v="3144.92"/>
    <s v="10 %"/>
    <x v="1"/>
    <x v="1"/>
  </r>
  <r>
    <s v="ORD1137"/>
    <x v="104"/>
    <x v="100"/>
    <s v="Rahul"/>
    <x v="3"/>
    <s v="Mumbai"/>
    <x v="0"/>
    <s v="Chair"/>
    <s v="Chair 10"/>
    <n v="5"/>
    <n v="21282"/>
    <n v="10"/>
    <x v="1"/>
    <x v="0"/>
  </r>
  <r>
    <s v="ORD1138"/>
    <x v="105"/>
    <x v="101"/>
    <s v="Priya"/>
    <x v="3"/>
    <s v="Jaipur"/>
    <x v="1"/>
    <s v="Phone"/>
    <s v="Phone 24"/>
    <n v="1"/>
    <n v="1415.98"/>
    <n v="20"/>
    <x v="5"/>
    <x v="2"/>
  </r>
  <r>
    <s v="ORD1139"/>
    <x v="28"/>
    <x v="102"/>
    <s v="Arjun"/>
    <x v="0"/>
    <s v="Bengaluru"/>
    <x v="3"/>
    <s v="Paper"/>
    <s v="Paper 1"/>
    <n v="5"/>
    <n v="12678.2"/>
    <n v="5"/>
    <x v="5"/>
    <x v="3"/>
  </r>
  <r>
    <s v="ORD1140"/>
    <x v="39"/>
    <x v="103"/>
    <s v="Sneha "/>
    <x v="1"/>
    <s v="Bengaluru"/>
    <x v="1"/>
    <s v="Phone"/>
    <s v="Phone 9"/>
    <n v="10"/>
    <n v="45372.63"/>
    <n v="5"/>
    <x v="1"/>
    <x v="1"/>
  </r>
  <r>
    <s v="ORD1141"/>
    <x v="106"/>
    <x v="104"/>
    <s v="Priya"/>
    <x v="4"/>
    <s v="Jaipur"/>
    <x v="1"/>
    <s v="Laptop"/>
    <s v="Laptop 25"/>
    <n v="1"/>
    <n v="3299.71"/>
    <n v="20"/>
    <x v="5"/>
    <x v="1"/>
  </r>
  <r>
    <s v="ORD1143"/>
    <x v="107"/>
    <x v="105"/>
    <s v="Riya"/>
    <x v="2"/>
    <s v="Kolkata"/>
    <x v="0"/>
    <s v="Chair"/>
    <s v="Chair 25"/>
    <n v="7"/>
    <n v="13148.79"/>
    <n v="0"/>
    <x v="2"/>
    <x v="0"/>
  </r>
  <r>
    <s v="ORD1144"/>
    <x v="108"/>
    <x v="106"/>
    <s v="Anjali"/>
    <x v="2"/>
    <s v="delhi "/>
    <x v="1"/>
    <s v="Phone"/>
    <s v="Phone 26"/>
    <n v="5"/>
    <n v="19391.14"/>
    <n v="15"/>
    <x v="4"/>
    <x v="2"/>
  </r>
  <r>
    <s v="ORD1145"/>
    <x v="109"/>
    <x v="82"/>
    <s v="Riya"/>
    <x v="4"/>
    <s v="Pune"/>
    <x v="1"/>
    <s v="Phone"/>
    <s v="Phone 14"/>
    <n v="1"/>
    <n v="476.67"/>
    <n v="0"/>
    <x v="2"/>
    <x v="3"/>
  </r>
  <r>
    <s v="ORD1146"/>
    <x v="110"/>
    <x v="107"/>
    <s v="Amit"/>
    <x v="4"/>
    <s v="Kolkata"/>
    <x v="3"/>
    <s v="Paper"/>
    <s v="Paper 25"/>
    <n v="7"/>
    <n v="20862.63"/>
    <n v="0"/>
    <x v="5"/>
    <x v="0"/>
  </r>
  <r>
    <s v="ORD1147"/>
    <x v="111"/>
    <x v="108"/>
    <s v="Amit"/>
    <x v="3"/>
    <s v="delhi "/>
    <x v="3"/>
    <s v="Paper"/>
    <s v="Paper 2"/>
    <n v="2"/>
    <n v="8633.5300000000007"/>
    <n v="0"/>
    <x v="1"/>
    <x v="0"/>
  </r>
  <r>
    <s v="ORD1148"/>
    <x v="112"/>
    <x v="109"/>
    <s v="Rahul"/>
    <x v="0"/>
    <s v="Bengaluru"/>
    <x v="0"/>
    <s v="Chair"/>
    <s v="Chair 8"/>
    <n v="10"/>
    <n v="17510.830000000002"/>
    <n v="5"/>
    <x v="1"/>
    <x v="0"/>
  </r>
  <r>
    <s v="ORD1149"/>
    <x v="113"/>
    <x v="110"/>
    <s v="Vikas"/>
    <x v="3"/>
    <s v="Bengaluru"/>
    <x v="0"/>
    <s v="Chair"/>
    <s v="Chair 21"/>
    <n v="8"/>
    <n v="28840.080000000002"/>
    <n v="10"/>
    <x v="4"/>
    <x v="0"/>
  </r>
  <r>
    <s v="ORD1150"/>
    <x v="114"/>
    <x v="9"/>
    <s v="Vikas"/>
    <x v="0"/>
    <s v="Mumbai"/>
    <x v="1"/>
    <s v="Phone"/>
    <s v="Phone 22"/>
    <n v="3"/>
    <n v="12604.54"/>
    <n v="20"/>
    <x v="5"/>
    <x v="3"/>
  </r>
  <r>
    <s v="ORD1151"/>
    <x v="54"/>
    <x v="111"/>
    <s v="Amit"/>
    <x v="0"/>
    <s v="Bengaluru"/>
    <x v="0"/>
    <s v="Chair"/>
    <s v="Chair 3"/>
    <n v="4"/>
    <n v="15463.77"/>
    <n v="15"/>
    <x v="1"/>
    <x v="3"/>
  </r>
  <r>
    <s v="ORD1152"/>
    <x v="115"/>
    <x v="112"/>
    <s v="Sneha"/>
    <x v="4"/>
    <s v="delhi "/>
    <x v="0"/>
    <s v="Table"/>
    <s v="Table 8"/>
    <n v="4"/>
    <n v="1384.35"/>
    <n v="0"/>
    <x v="4"/>
    <x v="1"/>
  </r>
  <r>
    <s v="ORD1153"/>
    <x v="90"/>
    <x v="113"/>
    <s v="Rahul"/>
    <x v="0"/>
    <s v="Pune"/>
    <x v="3"/>
    <s v="Paper"/>
    <s v="Paper 3"/>
    <n v="6"/>
    <n v="19910.310000000001"/>
    <n v="0"/>
    <x v="4"/>
    <x v="0"/>
  </r>
  <r>
    <s v="ORD1154"/>
    <x v="116"/>
    <x v="114"/>
    <s v="Priya"/>
    <x v="4"/>
    <s v="Pune"/>
    <x v="1"/>
    <s v="Laptop"/>
    <s v="Laptop 8"/>
    <n v="10"/>
    <n v="19624.310000000001"/>
    <n v="20"/>
    <x v="5"/>
    <x v="1"/>
  </r>
  <r>
    <s v="ORD1155"/>
    <x v="117"/>
    <x v="115"/>
    <s v="Priya"/>
    <x v="4"/>
    <s v="Jaipur"/>
    <x v="2"/>
    <s v="Phone"/>
    <s v="Phone 14"/>
    <n v="1"/>
    <n v="3369.54"/>
    <n v="10"/>
    <x v="5"/>
    <x v="3"/>
  </r>
  <r>
    <s v="ORD1156"/>
    <x v="33"/>
    <x v="116"/>
    <s v="Vikas"/>
    <x v="1"/>
    <s v="Kolkata"/>
    <x v="1"/>
    <s v="Laptop"/>
    <s v="Laptop 9"/>
    <n v="6"/>
    <n v="17281.37"/>
    <n v="15"/>
    <x v="5"/>
    <x v="3"/>
  </r>
  <r>
    <s v="ORD1157"/>
    <x v="118"/>
    <x v="117"/>
    <s v="Rahul "/>
    <x v="4"/>
    <s v="Bengaluru"/>
    <x v="1"/>
    <s v="Phone"/>
    <s v="Phone 22"/>
    <n v="5"/>
    <n v="9693.8799999999992"/>
    <n v="0"/>
    <x v="5"/>
    <x v="3"/>
  </r>
  <r>
    <s v="ORD1159"/>
    <x v="119"/>
    <x v="118"/>
    <s v="Arjun"/>
    <x v="0"/>
    <s v="Pune"/>
    <x v="1"/>
    <s v="Laptop"/>
    <s v="Laptop 6"/>
    <n v="8"/>
    <n v="38033.68"/>
    <n v="15"/>
    <x v="5"/>
    <x v="2"/>
  </r>
  <r>
    <s v="ORD1160"/>
    <x v="120"/>
    <x v="119"/>
    <s v="Amit "/>
    <x v="0"/>
    <s v="Pune"/>
    <x v="0"/>
    <s v="Table"/>
    <s v="Table 1"/>
    <n v="8"/>
    <n v="22873.49"/>
    <n v="15"/>
    <x v="0"/>
    <x v="2"/>
  </r>
  <r>
    <s v="ORD1161"/>
    <x v="49"/>
    <x v="120"/>
    <s v="Rahul"/>
    <x v="1"/>
    <s v="Kolkata"/>
    <x v="0"/>
    <s v="Table"/>
    <s v="Table 25"/>
    <n v="8"/>
    <n v="27937.94"/>
    <n v="20"/>
    <x v="1"/>
    <x v="1"/>
  </r>
  <r>
    <s v="ORD1162"/>
    <x v="121"/>
    <x v="121"/>
    <s v="Amit"/>
    <x v="4"/>
    <s v="Kolkata"/>
    <x v="1"/>
    <s v="Laptop"/>
    <s v="Laptop 6"/>
    <n v="2"/>
    <n v="3853.82"/>
    <n v="0"/>
    <x v="0"/>
    <x v="2"/>
  </r>
  <r>
    <s v="ORD1163"/>
    <x v="122"/>
    <x v="122"/>
    <s v="Karan"/>
    <x v="1"/>
    <s v="Jaipur"/>
    <x v="2"/>
    <s v="Phone"/>
    <s v="Phone 24"/>
    <n v="2"/>
    <n v="6651.75"/>
    <s v="10 %"/>
    <x v="0"/>
    <x v="0"/>
  </r>
  <r>
    <s v="ORD1164"/>
    <x v="123"/>
    <x v="123"/>
    <s v="Karan"/>
    <x v="1"/>
    <s v="Delhi"/>
    <x v="0"/>
    <s v="Table"/>
    <s v="Table 15"/>
    <n v="6"/>
    <n v="10904.1"/>
    <n v="20"/>
    <x v="3"/>
    <x v="0"/>
  </r>
  <r>
    <s v="ORD1165"/>
    <x v="124"/>
    <x v="124"/>
    <s v="Neha"/>
    <x v="4"/>
    <s v="Kolkata"/>
    <x v="1"/>
    <s v="Phone"/>
    <s v="Phone 2"/>
    <n v="8"/>
    <n v="22708.11"/>
    <n v="0"/>
    <x v="5"/>
    <x v="3"/>
  </r>
  <r>
    <s v="ORD1166"/>
    <x v="38"/>
    <x v="125"/>
    <s v="Anjali "/>
    <x v="0"/>
    <s v="Mumbai"/>
    <x v="0"/>
    <s v="Table"/>
    <s v="Table 5"/>
    <n v="7"/>
    <n v="24443.8"/>
    <s v="10 %"/>
    <x v="0"/>
    <x v="2"/>
  </r>
  <r>
    <s v="ORD1167"/>
    <x v="125"/>
    <x v="126"/>
    <s v="Riya"/>
    <x v="4"/>
    <s v="Kolkata"/>
    <x v="2"/>
    <s v="Phone"/>
    <s v="Phone 8"/>
    <n v="2"/>
    <n v="5734.21"/>
    <n v="5"/>
    <x v="5"/>
    <x v="0"/>
  </r>
  <r>
    <s v="ORD1168"/>
    <x v="121"/>
    <x v="127"/>
    <s v="Sneha"/>
    <x v="1"/>
    <s v="Pune"/>
    <x v="1"/>
    <s v="Laptop"/>
    <s v="Laptop 12"/>
    <n v="1"/>
    <n v="171.33"/>
    <n v="15"/>
    <x v="4"/>
    <x v="0"/>
  </r>
  <r>
    <s v="ORD1169"/>
    <x v="83"/>
    <x v="128"/>
    <s v="Sneha"/>
    <x v="4"/>
    <s v="delhi "/>
    <x v="0"/>
    <s v="Chair"/>
    <s v="Chair 3"/>
    <n v="8"/>
    <n v="38713.78"/>
    <n v="5"/>
    <x v="2"/>
    <x v="0"/>
  </r>
  <r>
    <s v="ORD1170"/>
    <x v="100"/>
    <x v="129"/>
    <s v="Sneha"/>
    <x v="0"/>
    <s v="Pune"/>
    <x v="2"/>
    <s v="Phone"/>
    <s v="Phone 11"/>
    <n v="4"/>
    <n v="9104.1200000000008"/>
    <n v="15"/>
    <x v="1"/>
    <x v="3"/>
  </r>
  <r>
    <s v="ORD1171"/>
    <x v="126"/>
    <x v="130"/>
    <s v="Priya"/>
    <x v="4"/>
    <s v="Pune"/>
    <x v="1"/>
    <s v="Laptop"/>
    <s v="Laptop 18"/>
    <n v="9"/>
    <n v="24476.63"/>
    <n v="0"/>
    <x v="4"/>
    <x v="1"/>
  </r>
  <r>
    <s v="ORD1173"/>
    <x v="127"/>
    <x v="131"/>
    <s v="Neha"/>
    <x v="3"/>
    <s v="Bengaluru"/>
    <x v="1"/>
    <s v="Phone"/>
    <s v="Phone 3"/>
    <n v="10"/>
    <n v="42253.91"/>
    <s v="10 %"/>
    <x v="0"/>
    <x v="0"/>
  </r>
  <r>
    <s v="ORD1174"/>
    <x v="128"/>
    <x v="31"/>
    <s v="Arjun"/>
    <x v="4"/>
    <s v="Kolkata"/>
    <x v="1"/>
    <s v="Laptop"/>
    <s v="Laptop 13"/>
    <n v="7"/>
    <n v="4501.7700000000004"/>
    <n v="15"/>
    <x v="1"/>
    <x v="0"/>
  </r>
  <r>
    <s v="ORD1175"/>
    <x v="129"/>
    <x v="132"/>
    <s v="Arjun"/>
    <x v="2"/>
    <s v="Jaipur"/>
    <x v="0"/>
    <s v="Table"/>
    <s v="Table 12"/>
    <n v="6"/>
    <n v="11661"/>
    <n v="0"/>
    <x v="0"/>
    <x v="2"/>
  </r>
  <r>
    <s v="ORD1176"/>
    <x v="130"/>
    <x v="133"/>
    <s v="Neha"/>
    <x v="0"/>
    <s v="Pune"/>
    <x v="0"/>
    <s v="Table"/>
    <s v="Table 6"/>
    <n v="9"/>
    <n v="26541.31"/>
    <n v="0"/>
    <x v="0"/>
    <x v="0"/>
  </r>
  <r>
    <s v="ORD1177"/>
    <x v="131"/>
    <x v="41"/>
    <s v="Rahul"/>
    <x v="1"/>
    <s v="Kolkata"/>
    <x v="1"/>
    <s v="Phone"/>
    <s v="Phone 25"/>
    <n v="9"/>
    <n v="6092.29"/>
    <s v="10 %"/>
    <x v="3"/>
    <x v="3"/>
  </r>
  <r>
    <s v="ORD1178"/>
    <x v="132"/>
    <x v="134"/>
    <s v="Rahul"/>
    <x v="0"/>
    <s v="Mumbai"/>
    <x v="3"/>
    <s v="Paper"/>
    <s v="Paper 20"/>
    <n v="4"/>
    <n v="11797.56"/>
    <n v="15"/>
    <x v="4"/>
    <x v="1"/>
  </r>
  <r>
    <s v="ORD1179"/>
    <x v="133"/>
    <x v="135"/>
    <s v="Priya"/>
    <x v="0"/>
    <s v="Pune"/>
    <x v="1"/>
    <s v="Phone"/>
    <s v="Phone 30"/>
    <n v="2"/>
    <n v="2873.04"/>
    <n v="0"/>
    <x v="5"/>
    <x v="2"/>
  </r>
  <r>
    <s v="ORD1180"/>
    <x v="134"/>
    <x v="136"/>
    <s v="Priya"/>
    <x v="1"/>
    <s v="Pune"/>
    <x v="1"/>
    <s v="Laptop"/>
    <s v="Laptop 20"/>
    <n v="3"/>
    <n v="7908.66"/>
    <s v="10 %"/>
    <x v="5"/>
    <x v="0"/>
  </r>
  <r>
    <s v="ORD1182"/>
    <x v="135"/>
    <x v="85"/>
    <s v="Vikas"/>
    <x v="1"/>
    <s v="Jaipur"/>
    <x v="3"/>
    <s v="Paper"/>
    <s v="Paper 23"/>
    <n v="10"/>
    <n v="34838.74"/>
    <s v="10 %"/>
    <x v="0"/>
    <x v="2"/>
  </r>
  <r>
    <s v="ORD1183"/>
    <x v="136"/>
    <x v="137"/>
    <s v="Karan "/>
    <x v="0"/>
    <s v="Jaipur"/>
    <x v="1"/>
    <s v="Phone"/>
    <s v="Phone 28"/>
    <n v="6"/>
    <n v="28651.91"/>
    <s v="10 %"/>
    <x v="4"/>
    <x v="2"/>
  </r>
  <r>
    <s v="ORD1184"/>
    <x v="137"/>
    <x v="138"/>
    <s v="Sneha"/>
    <x v="2"/>
    <s v="Mumbai"/>
    <x v="2"/>
    <s v="Phone"/>
    <s v="Phone 19"/>
    <n v="8"/>
    <n v="24552.98"/>
    <n v="20"/>
    <x v="2"/>
    <x v="3"/>
  </r>
  <r>
    <s v="ORD1185"/>
    <x v="138"/>
    <x v="139"/>
    <s v="Arjun"/>
    <x v="0"/>
    <s v="Pune"/>
    <x v="2"/>
    <s v="Phone"/>
    <s v="Phone 17"/>
    <n v="5"/>
    <n v="7753.77"/>
    <n v="5"/>
    <x v="2"/>
    <x v="0"/>
  </r>
  <r>
    <s v="ORD1187"/>
    <x v="124"/>
    <x v="140"/>
    <s v="Riya"/>
    <x v="4"/>
    <s v="delhi "/>
    <x v="1"/>
    <s v="Laptop"/>
    <s v="Laptop 12"/>
    <n v="8"/>
    <n v="7042.4"/>
    <n v="10"/>
    <x v="5"/>
    <x v="0"/>
  </r>
  <r>
    <s v="ORD1188"/>
    <x v="97"/>
    <x v="141"/>
    <s v="Sneha"/>
    <x v="3"/>
    <s v="delhi "/>
    <x v="1"/>
    <s v="Phone"/>
    <s v="Phone 2"/>
    <n v="4"/>
    <n v="3430.29"/>
    <n v="0"/>
    <x v="5"/>
    <x v="2"/>
  </r>
  <r>
    <s v="ORD1189"/>
    <x v="7"/>
    <x v="142"/>
    <s v="Karan"/>
    <x v="4"/>
    <s v="Jaipur"/>
    <x v="2"/>
    <s v="Phone"/>
    <s v="Phone 11"/>
    <n v="3"/>
    <n v="13436.16"/>
    <n v="0"/>
    <x v="4"/>
    <x v="0"/>
  </r>
  <r>
    <s v="ORD1190"/>
    <x v="88"/>
    <x v="143"/>
    <s v="Vikas"/>
    <x v="4"/>
    <s v="Delhi"/>
    <x v="0"/>
    <s v="Chair"/>
    <s v="Chair 27"/>
    <n v="1"/>
    <n v="2314.56"/>
    <n v="0"/>
    <x v="2"/>
    <x v="0"/>
  </r>
  <r>
    <s v="ORD1192"/>
    <x v="139"/>
    <x v="59"/>
    <s v="Vikas"/>
    <x v="0"/>
    <s v="Delhi"/>
    <x v="0"/>
    <s v="Table"/>
    <s v="Table 12"/>
    <n v="1"/>
    <n v="1703.91"/>
    <n v="0"/>
    <x v="2"/>
    <x v="2"/>
  </r>
  <r>
    <s v="ORD1193"/>
    <x v="140"/>
    <x v="144"/>
    <s v="Amit"/>
    <x v="3"/>
    <s v="delhi "/>
    <x v="3"/>
    <s v="Paper"/>
    <s v="Paper 17"/>
    <n v="9"/>
    <n v="2425.9899999999998"/>
    <n v="10"/>
    <x v="5"/>
    <x v="1"/>
  </r>
  <r>
    <s v="ORD1194"/>
    <x v="62"/>
    <x v="145"/>
    <s v="Amit"/>
    <x v="2"/>
    <s v="Pune"/>
    <x v="2"/>
    <s v="Phone"/>
    <s v="Phone 27"/>
    <n v="8"/>
    <n v="18242.93"/>
    <n v="10"/>
    <x v="1"/>
    <x v="2"/>
  </r>
  <r>
    <s v="ORD1195"/>
    <x v="137"/>
    <x v="146"/>
    <s v="Karan"/>
    <x v="0"/>
    <s v="Kolkata"/>
    <x v="3"/>
    <s v="Paper"/>
    <s v="Paper 26"/>
    <n v="2"/>
    <n v="578.08000000000004"/>
    <n v="0"/>
    <x v="2"/>
    <x v="0"/>
  </r>
  <r>
    <s v="ORD1196"/>
    <x v="141"/>
    <x v="98"/>
    <s v="Amit "/>
    <x v="0"/>
    <s v="Delhi"/>
    <x v="1"/>
    <s v="Laptop"/>
    <s v="Laptop 4"/>
    <n v="5"/>
    <n v="21318.959999999999"/>
    <n v="15"/>
    <x v="0"/>
    <x v="3"/>
  </r>
  <r>
    <s v="ORD1197"/>
    <x v="142"/>
    <x v="63"/>
    <s v="Sneha"/>
    <x v="1"/>
    <s v="Bengaluru"/>
    <x v="2"/>
    <s v="Phone"/>
    <s v="Phone 25"/>
    <n v="2"/>
    <n v="2458.81"/>
    <n v="20"/>
    <x v="3"/>
    <x v="3"/>
  </r>
  <r>
    <s v="ORD1199"/>
    <x v="143"/>
    <x v="147"/>
    <s v="Riya"/>
    <x v="0"/>
    <s v="Pune"/>
    <x v="3"/>
    <s v="Paper"/>
    <s v="Paper 7"/>
    <n v="10"/>
    <n v="33297.69"/>
    <n v="20"/>
    <x v="1"/>
    <x v="0"/>
  </r>
  <r>
    <s v="ORD1200"/>
    <x v="144"/>
    <x v="148"/>
    <s v="Rahul "/>
    <x v="0"/>
    <s v="Delhi"/>
    <x v="1"/>
    <s v="Phone"/>
    <s v="Phone 29"/>
    <n v="9"/>
    <n v="31928.04"/>
    <n v="0"/>
    <x v="2"/>
    <x v="0"/>
  </r>
  <r>
    <s v="ORD1201"/>
    <x v="145"/>
    <x v="149"/>
    <s v="Rahul"/>
    <x v="0"/>
    <s v="Kolkata"/>
    <x v="1"/>
    <s v="Laptop"/>
    <s v="Laptop 27"/>
    <n v="4"/>
    <n v="2307.09"/>
    <n v="0"/>
    <x v="5"/>
    <x v="3"/>
  </r>
  <r>
    <s v="ORD1202"/>
    <x v="146"/>
    <x v="150"/>
    <s v="Vikas"/>
    <x v="0"/>
    <s v="Bengaluru"/>
    <x v="0"/>
    <s v="Chair"/>
    <s v="Chair 11"/>
    <n v="1"/>
    <n v="1000.91"/>
    <s v="10 %"/>
    <x v="1"/>
    <x v="3"/>
  </r>
  <r>
    <s v="ORD1203"/>
    <x v="147"/>
    <x v="151"/>
    <s v="Amit"/>
    <x v="0"/>
    <s v="Bengaluru"/>
    <x v="1"/>
    <s v="Phone"/>
    <s v="Phone 2"/>
    <n v="7"/>
    <n v="17420.490000000002"/>
    <n v="20"/>
    <x v="1"/>
    <x v="3"/>
  </r>
  <r>
    <s v="ORD1204"/>
    <x v="47"/>
    <x v="152"/>
    <s v="Riya"/>
    <x v="3"/>
    <s v="Pune"/>
    <x v="1"/>
    <s v="Laptop"/>
    <s v="Laptop 16"/>
    <n v="7"/>
    <n v="15877.79"/>
    <n v="5"/>
    <x v="1"/>
    <x v="2"/>
  </r>
  <r>
    <s v="ORD1205"/>
    <x v="100"/>
    <x v="153"/>
    <s v="Sneha"/>
    <x v="0"/>
    <s v="Delhi"/>
    <x v="1"/>
    <s v="Phone"/>
    <s v="Phone 30"/>
    <n v="2"/>
    <n v="8989.7999999999993"/>
    <n v="5"/>
    <x v="0"/>
    <x v="2"/>
  </r>
  <r>
    <s v="ORD1206"/>
    <x v="148"/>
    <x v="154"/>
    <s v="Rahul"/>
    <x v="3"/>
    <s v="Bengaluru"/>
    <x v="1"/>
    <s v="Laptop"/>
    <s v="Laptop 27"/>
    <n v="6"/>
    <n v="8661.14"/>
    <s v="10 %"/>
    <x v="0"/>
    <x v="3"/>
  </r>
  <r>
    <s v="ORD1208"/>
    <x v="149"/>
    <x v="46"/>
    <s v="Riya"/>
    <x v="0"/>
    <s v="Pune"/>
    <x v="0"/>
    <s v="Chair"/>
    <s v="Chair 16"/>
    <n v="1"/>
    <n v="4473.3999999999996"/>
    <n v="15"/>
    <x v="0"/>
    <x v="2"/>
  </r>
  <r>
    <s v="ORD1209"/>
    <x v="150"/>
    <x v="155"/>
    <s v="Anjali"/>
    <x v="2"/>
    <s v="Jaipur"/>
    <x v="0"/>
    <s v="Chair"/>
    <s v="Chair 1"/>
    <n v="10"/>
    <n v="25765.87"/>
    <s v="10 %"/>
    <x v="5"/>
    <x v="3"/>
  </r>
  <r>
    <s v="ORD1210"/>
    <x v="151"/>
    <x v="156"/>
    <s v="Rahul"/>
    <x v="0"/>
    <s v="Jaipur"/>
    <x v="1"/>
    <s v="Phone"/>
    <s v="Phone 17"/>
    <n v="8"/>
    <n v="5306.88"/>
    <s v="10 %"/>
    <x v="3"/>
    <x v="3"/>
  </r>
  <r>
    <s v="ORD1211"/>
    <x v="152"/>
    <x v="157"/>
    <s v="Neha"/>
    <x v="0"/>
    <s v="Jaipur"/>
    <x v="1"/>
    <s v="Laptop"/>
    <s v="Laptop 4"/>
    <n v="5"/>
    <n v="8275.61"/>
    <n v="5"/>
    <x v="0"/>
    <x v="3"/>
  </r>
  <r>
    <s v="ORD1212"/>
    <x v="153"/>
    <x v="158"/>
    <s v="Neha"/>
    <x v="3"/>
    <s v="Jaipur"/>
    <x v="0"/>
    <s v="Table"/>
    <s v="Table 17"/>
    <n v="1"/>
    <n v="2754.6"/>
    <n v="15"/>
    <x v="0"/>
    <x v="0"/>
  </r>
  <r>
    <s v="ORD1213"/>
    <x v="154"/>
    <x v="159"/>
    <s v="Amit"/>
    <x v="4"/>
    <s v="Kolkata"/>
    <x v="0"/>
    <s v="Table"/>
    <s v="Table 11"/>
    <n v="6"/>
    <n v="20453.36"/>
    <n v="5"/>
    <x v="4"/>
    <x v="1"/>
  </r>
  <r>
    <s v="ORD1214"/>
    <x v="155"/>
    <x v="160"/>
    <s v="Anjali "/>
    <x v="0"/>
    <s v="Pune"/>
    <x v="0"/>
    <s v="Table"/>
    <s v="Table 27"/>
    <n v="10"/>
    <n v="40078.910000000003"/>
    <s v="10 %"/>
    <x v="4"/>
    <x v="3"/>
  </r>
  <r>
    <s v="ORD1215"/>
    <x v="63"/>
    <x v="31"/>
    <s v="Neha"/>
    <x v="2"/>
    <s v="Bengaluru"/>
    <x v="3"/>
    <s v="Paper"/>
    <s v="Paper 8"/>
    <n v="9"/>
    <n v="6225.74"/>
    <n v="10"/>
    <x v="3"/>
    <x v="3"/>
  </r>
  <r>
    <s v="ORD1216"/>
    <x v="156"/>
    <x v="161"/>
    <s v="Rahul"/>
    <x v="4"/>
    <s v="Bengaluru"/>
    <x v="2"/>
    <s v="Phone"/>
    <s v="Phone 5"/>
    <n v="7"/>
    <n v="30492.48"/>
    <n v="20"/>
    <x v="4"/>
    <x v="1"/>
  </r>
  <r>
    <s v="ORD1217"/>
    <x v="6"/>
    <x v="123"/>
    <s v="Vikas "/>
    <x v="3"/>
    <s v="Pune"/>
    <x v="1"/>
    <s v="Laptop"/>
    <s v="Laptop 14"/>
    <n v="6"/>
    <n v="17478.29"/>
    <n v="15"/>
    <x v="3"/>
    <x v="3"/>
  </r>
  <r>
    <s v="ORD1218"/>
    <x v="157"/>
    <x v="162"/>
    <s v="Karan"/>
    <x v="0"/>
    <s v="Jaipur"/>
    <x v="2"/>
    <s v="Phone"/>
    <s v="Phone 5"/>
    <n v="5"/>
    <n v="24180.22"/>
    <n v="0"/>
    <x v="3"/>
    <x v="2"/>
  </r>
  <r>
    <s v="ORD1220"/>
    <x v="158"/>
    <x v="86"/>
    <s v="Neha"/>
    <x v="3"/>
    <s v="Bengaluru"/>
    <x v="0"/>
    <s v="Table"/>
    <s v="Table 26"/>
    <n v="1"/>
    <n v="727.39"/>
    <n v="0"/>
    <x v="2"/>
    <x v="1"/>
  </r>
  <r>
    <s v="ORD1222"/>
    <x v="159"/>
    <x v="163"/>
    <s v="Riya "/>
    <x v="2"/>
    <s v="delhi "/>
    <x v="1"/>
    <s v="Phone"/>
    <s v="Phone 5"/>
    <n v="7"/>
    <n v="5150.5600000000004"/>
    <n v="15"/>
    <x v="0"/>
    <x v="0"/>
  </r>
  <r>
    <s v="ORD1223"/>
    <x v="139"/>
    <x v="64"/>
    <s v="Anjali"/>
    <x v="3"/>
    <s v="Delhi"/>
    <x v="0"/>
    <s v="Chair"/>
    <s v="Chair 10"/>
    <n v="9"/>
    <n v="10331.120000000001"/>
    <n v="0"/>
    <x v="5"/>
    <x v="0"/>
  </r>
  <r>
    <s v="ORD1225"/>
    <x v="160"/>
    <x v="164"/>
    <s v="Sneha"/>
    <x v="0"/>
    <s v="Bengaluru"/>
    <x v="1"/>
    <s v="Phone"/>
    <s v="Phone 13"/>
    <n v="6"/>
    <n v="24044.79"/>
    <n v="5"/>
    <x v="2"/>
    <x v="3"/>
  </r>
  <r>
    <s v="ORD1226"/>
    <x v="161"/>
    <x v="165"/>
    <s v="Vikas"/>
    <x v="0"/>
    <s v="Delhi"/>
    <x v="0"/>
    <s v="Chair"/>
    <s v="Chair 28"/>
    <n v="7"/>
    <n v="28768.39"/>
    <n v="20"/>
    <x v="3"/>
    <x v="3"/>
  </r>
  <r>
    <s v="ORD1227"/>
    <x v="162"/>
    <x v="166"/>
    <s v="Neha"/>
    <x v="4"/>
    <s v="Kolkata"/>
    <x v="1"/>
    <s v="Phone"/>
    <s v="Phone 4"/>
    <n v="6"/>
    <n v="22251.32"/>
    <s v="10 %"/>
    <x v="3"/>
    <x v="0"/>
  </r>
  <r>
    <s v="ORD1228"/>
    <x v="163"/>
    <x v="23"/>
    <s v="Amit"/>
    <x v="0"/>
    <s v="Delhi"/>
    <x v="2"/>
    <s v="Phone"/>
    <s v="Phone 6"/>
    <n v="7"/>
    <n v="17881.28"/>
    <n v="15"/>
    <x v="3"/>
    <x v="3"/>
  </r>
  <r>
    <s v="ORD1229"/>
    <x v="27"/>
    <x v="167"/>
    <s v="Priya"/>
    <x v="4"/>
    <s v="Mumbai"/>
    <x v="3"/>
    <s v="Paper"/>
    <s v="Paper 27"/>
    <n v="7"/>
    <n v="8906.2999999999993"/>
    <s v="10 %"/>
    <x v="4"/>
    <x v="1"/>
  </r>
  <r>
    <s v="ORD1230"/>
    <x v="31"/>
    <x v="168"/>
    <s v="Arjun"/>
    <x v="4"/>
    <s v="Bengaluru"/>
    <x v="1"/>
    <s v="Phone"/>
    <s v="Phone 18"/>
    <n v="8"/>
    <n v="39848.06"/>
    <n v="20"/>
    <x v="3"/>
    <x v="0"/>
  </r>
  <r>
    <s v="ORD1231"/>
    <x v="164"/>
    <x v="169"/>
    <s v="Sneha "/>
    <x v="3"/>
    <s v="Pune"/>
    <x v="1"/>
    <s v="Phone"/>
    <s v="Phone 25"/>
    <n v="10"/>
    <n v="16704.02"/>
    <n v="10"/>
    <x v="2"/>
    <x v="0"/>
  </r>
  <r>
    <s v="ORD1232"/>
    <x v="165"/>
    <x v="170"/>
    <s v="Riya"/>
    <x v="1"/>
    <s v="Mumbai"/>
    <x v="0"/>
    <s v="Table"/>
    <s v="Table 21"/>
    <n v="4"/>
    <n v="19088.16"/>
    <n v="15"/>
    <x v="1"/>
    <x v="0"/>
  </r>
  <r>
    <s v="ORD1233"/>
    <x v="60"/>
    <x v="171"/>
    <s v="Rahul"/>
    <x v="0"/>
    <s v="Mumbai"/>
    <x v="0"/>
    <s v="Chair"/>
    <s v="Chair 17"/>
    <n v="10"/>
    <n v="43225.05"/>
    <n v="15"/>
    <x v="5"/>
    <x v="0"/>
  </r>
  <r>
    <s v="ORD1234"/>
    <x v="166"/>
    <x v="172"/>
    <s v="Neha"/>
    <x v="3"/>
    <s v="Delhi"/>
    <x v="0"/>
    <s v="Chair"/>
    <s v="Chair 25"/>
    <n v="7"/>
    <n v="7943.15"/>
    <n v="5"/>
    <x v="2"/>
    <x v="1"/>
  </r>
  <r>
    <s v="ORD1236"/>
    <x v="167"/>
    <x v="173"/>
    <s v="Riya"/>
    <x v="3"/>
    <s v="Pune"/>
    <x v="1"/>
    <s v="Laptop"/>
    <s v="Laptop 9"/>
    <n v="1"/>
    <n v="4128.0600000000004"/>
    <n v="0"/>
    <x v="2"/>
    <x v="2"/>
  </r>
  <r>
    <s v="ORD1237"/>
    <x v="168"/>
    <x v="174"/>
    <s v="Rahul"/>
    <x v="1"/>
    <s v="Bengaluru"/>
    <x v="0"/>
    <s v="Chair"/>
    <s v="Chair 1"/>
    <n v="4"/>
    <n v="13991.03"/>
    <n v="20"/>
    <x v="0"/>
    <x v="0"/>
  </r>
  <r>
    <s v="ORD1238"/>
    <x v="169"/>
    <x v="175"/>
    <s v="Priya"/>
    <x v="0"/>
    <s v="delhi "/>
    <x v="2"/>
    <s v="Phone"/>
    <s v="Phone 30"/>
    <n v="6"/>
    <n v="21252.14"/>
    <n v="5"/>
    <x v="4"/>
    <x v="2"/>
  </r>
  <r>
    <s v="ORD1239"/>
    <x v="87"/>
    <x v="176"/>
    <s v="Anjali "/>
    <x v="1"/>
    <s v="Jaipur"/>
    <x v="3"/>
    <s v="Paper"/>
    <s v="Paper 8"/>
    <n v="6"/>
    <n v="15212.25"/>
    <n v="0"/>
    <x v="5"/>
    <x v="3"/>
  </r>
  <r>
    <s v="ORD1240"/>
    <x v="92"/>
    <x v="177"/>
    <s v="Neha"/>
    <x v="2"/>
    <s v="Pune"/>
    <x v="3"/>
    <s v="Paper"/>
    <s v="Paper 8"/>
    <n v="3"/>
    <n v="7021.11"/>
    <s v="10 %"/>
    <x v="0"/>
    <x v="1"/>
  </r>
  <r>
    <s v="ORD1241"/>
    <x v="170"/>
    <x v="178"/>
    <s v="Vikas"/>
    <x v="2"/>
    <s v="Kolkata"/>
    <x v="0"/>
    <s v="Table"/>
    <s v="Table 25"/>
    <n v="6"/>
    <n v="2068.0100000000002"/>
    <s v="10 %"/>
    <x v="4"/>
    <x v="0"/>
  </r>
  <r>
    <s v="ORD1242"/>
    <x v="1"/>
    <x v="179"/>
    <s v="Priya"/>
    <x v="4"/>
    <s v="Bengaluru"/>
    <x v="1"/>
    <s v="Laptop"/>
    <s v="Laptop 12"/>
    <n v="10"/>
    <n v="21221.91"/>
    <n v="5"/>
    <x v="1"/>
    <x v="0"/>
  </r>
  <r>
    <s v="ORD1243"/>
    <x v="171"/>
    <x v="128"/>
    <s v="Vikas"/>
    <x v="3"/>
    <s v="Kolkata"/>
    <x v="3"/>
    <s v="Paper"/>
    <s v="Paper 6"/>
    <n v="4"/>
    <n v="1038.82"/>
    <n v="15"/>
    <x v="0"/>
    <x v="1"/>
  </r>
  <r>
    <s v="ORD1244"/>
    <x v="172"/>
    <x v="66"/>
    <s v="Sneha"/>
    <x v="3"/>
    <s v="Jaipur"/>
    <x v="0"/>
    <s v="Table"/>
    <s v="Table 11"/>
    <n v="5"/>
    <n v="5206.82"/>
    <n v="10"/>
    <x v="4"/>
    <x v="1"/>
  </r>
  <r>
    <s v="ORD1245"/>
    <x v="173"/>
    <x v="9"/>
    <s v="Riya"/>
    <x v="3"/>
    <s v="Kolkata"/>
    <x v="2"/>
    <s v="Phone"/>
    <s v="Phone 23"/>
    <n v="6"/>
    <n v="23071.42"/>
    <n v="15"/>
    <x v="2"/>
    <x v="3"/>
  </r>
  <r>
    <s v="ORD1246"/>
    <x v="174"/>
    <x v="180"/>
    <s v="Anjali"/>
    <x v="4"/>
    <s v="Kolkata"/>
    <x v="1"/>
    <s v="Laptop"/>
    <s v="Laptop 12"/>
    <n v="10"/>
    <n v="3995.22"/>
    <n v="15"/>
    <x v="4"/>
    <x v="0"/>
  </r>
  <r>
    <s v="ORD1247"/>
    <x v="175"/>
    <x v="181"/>
    <s v="Sneha"/>
    <x v="0"/>
    <s v="Bengaluru"/>
    <x v="3"/>
    <s v="Paper"/>
    <s v="Paper 13"/>
    <n v="-4"/>
    <n v="2529.79"/>
    <n v="0"/>
    <x v="2"/>
    <x v="0"/>
  </r>
  <r>
    <s v="ORD1249"/>
    <x v="176"/>
    <x v="155"/>
    <s v="Vikas"/>
    <x v="3"/>
    <s v="Bengaluru"/>
    <x v="1"/>
    <s v="Phone"/>
    <s v="Phone 4"/>
    <n v="9"/>
    <n v="44976.47"/>
    <n v="0"/>
    <x v="1"/>
    <x v="0"/>
  </r>
  <r>
    <s v="ORD1251"/>
    <x v="177"/>
    <x v="182"/>
    <s v="Priya "/>
    <x v="0"/>
    <s v="Kolkata"/>
    <x v="2"/>
    <s v="Phone"/>
    <s v="Phone 29"/>
    <n v="8"/>
    <n v="26295.06"/>
    <n v="20"/>
    <x v="5"/>
    <x v="0"/>
  </r>
  <r>
    <s v="ORD1253"/>
    <x v="39"/>
    <x v="183"/>
    <s v="Anjali"/>
    <x v="2"/>
    <s v="Mumbai"/>
    <x v="3"/>
    <s v="Paper"/>
    <s v="Paper 1"/>
    <n v="8"/>
    <n v="20895.09"/>
    <n v="10"/>
    <x v="2"/>
    <x v="0"/>
  </r>
  <r>
    <s v="ORD1254"/>
    <x v="3"/>
    <x v="184"/>
    <s v="Arjun"/>
    <x v="4"/>
    <s v="Pune"/>
    <x v="1"/>
    <s v="Laptop"/>
    <s v="Laptop 8"/>
    <n v="2"/>
    <n v="4339.71"/>
    <n v="20"/>
    <x v="5"/>
    <x v="1"/>
  </r>
  <r>
    <s v="ORD1255"/>
    <x v="178"/>
    <x v="50"/>
    <s v="Amit"/>
    <x v="1"/>
    <s v="delhi "/>
    <x v="1"/>
    <s v="Laptop"/>
    <s v="Laptop 15"/>
    <n v="8"/>
    <n v="28450.9"/>
    <n v="0"/>
    <x v="0"/>
    <x v="2"/>
  </r>
  <r>
    <s v="ORD1256"/>
    <x v="179"/>
    <x v="185"/>
    <s v="Neha"/>
    <x v="4"/>
    <s v="Pune"/>
    <x v="0"/>
    <s v="Table"/>
    <s v="Table 9"/>
    <n v="4"/>
    <n v="7934.91"/>
    <n v="10"/>
    <x v="2"/>
    <x v="1"/>
  </r>
  <r>
    <s v="ORD1257"/>
    <x v="38"/>
    <x v="186"/>
    <s v="Priya"/>
    <x v="1"/>
    <s v="Pune"/>
    <x v="2"/>
    <s v="Phone"/>
    <s v="Phone 26"/>
    <n v="5"/>
    <n v="2369.1999999999998"/>
    <n v="0"/>
    <x v="0"/>
    <x v="3"/>
  </r>
  <r>
    <s v="ORD1258"/>
    <x v="137"/>
    <x v="187"/>
    <s v="Rahul"/>
    <x v="0"/>
    <s v="Kolkata"/>
    <x v="0"/>
    <s v="Table"/>
    <s v="Table 26"/>
    <n v="4"/>
    <n v="15405.88"/>
    <n v="10"/>
    <x v="2"/>
    <x v="0"/>
  </r>
  <r>
    <s v="ORD1259"/>
    <x v="180"/>
    <x v="188"/>
    <s v="Neha"/>
    <x v="3"/>
    <s v="Kolkata"/>
    <x v="2"/>
    <s v="Phone"/>
    <s v="Phone 24"/>
    <n v="2"/>
    <n v="9645.35"/>
    <s v="10 %"/>
    <x v="0"/>
    <x v="2"/>
  </r>
  <r>
    <s v="ORD1261"/>
    <x v="181"/>
    <x v="189"/>
    <s v="Karan"/>
    <x v="0"/>
    <s v="Pune"/>
    <x v="0"/>
    <s v="Table"/>
    <s v="Table 16"/>
    <n v="6"/>
    <n v="5253.4"/>
    <n v="5"/>
    <x v="0"/>
    <x v="0"/>
  </r>
  <r>
    <s v="ORD1262"/>
    <x v="115"/>
    <x v="190"/>
    <s v="Riya"/>
    <x v="2"/>
    <s v="Jaipur"/>
    <x v="0"/>
    <s v="Table"/>
    <s v="Table 13"/>
    <n v="9"/>
    <n v="42109.23"/>
    <s v="10 %"/>
    <x v="1"/>
    <x v="3"/>
  </r>
  <r>
    <s v="ORD1263"/>
    <x v="182"/>
    <x v="147"/>
    <s v="Rahul"/>
    <x v="3"/>
    <s v="delhi "/>
    <x v="1"/>
    <s v="Phone"/>
    <s v="Phone 4"/>
    <n v="4"/>
    <n v="4924.16"/>
    <n v="20"/>
    <x v="4"/>
    <x v="2"/>
  </r>
  <r>
    <s v="ORD1264"/>
    <x v="183"/>
    <x v="133"/>
    <s v="Sneha"/>
    <x v="3"/>
    <s v="delhi "/>
    <x v="1"/>
    <s v="Laptop"/>
    <s v="Laptop 2"/>
    <n v="7"/>
    <n v="8692.6200000000008"/>
    <n v="10"/>
    <x v="1"/>
    <x v="3"/>
  </r>
  <r>
    <s v="ORD1265"/>
    <x v="159"/>
    <x v="191"/>
    <s v="Neha"/>
    <x v="2"/>
    <s v="Pune"/>
    <x v="0"/>
    <s v="Table"/>
    <s v="Table 18"/>
    <n v="8"/>
    <n v="24572.55"/>
    <s v="10 %"/>
    <x v="3"/>
    <x v="0"/>
  </r>
  <r>
    <s v="ORD1266"/>
    <x v="184"/>
    <x v="192"/>
    <s v="Neha "/>
    <x v="2"/>
    <s v="Delhi"/>
    <x v="1"/>
    <s v="Laptop"/>
    <s v="Laptop 13"/>
    <n v="1"/>
    <n v="4560.84"/>
    <n v="10"/>
    <x v="5"/>
    <x v="1"/>
  </r>
  <r>
    <s v="ORD1267"/>
    <x v="185"/>
    <x v="193"/>
    <s v="Karan"/>
    <x v="3"/>
    <s v="Jaipur"/>
    <x v="3"/>
    <s v="Paper"/>
    <s v="Paper 21"/>
    <n v="1"/>
    <n v="1558.27"/>
    <s v="10 %"/>
    <x v="0"/>
    <x v="1"/>
  </r>
  <r>
    <s v="ORD1269"/>
    <x v="24"/>
    <x v="194"/>
    <s v="Priya"/>
    <x v="2"/>
    <s v="Mumbai"/>
    <x v="3"/>
    <s v="Paper"/>
    <s v="Paper 8"/>
    <n v="1"/>
    <n v="874.55"/>
    <n v="15"/>
    <x v="3"/>
    <x v="0"/>
  </r>
  <r>
    <s v="ORD1270"/>
    <x v="186"/>
    <x v="68"/>
    <s v="Riya"/>
    <x v="0"/>
    <s v="Delhi"/>
    <x v="0"/>
    <s v="Table"/>
    <s v="Table 19"/>
    <n v="2"/>
    <n v="710.94"/>
    <s v="10 %"/>
    <x v="3"/>
    <x v="2"/>
  </r>
  <r>
    <s v="ORD1271"/>
    <x v="187"/>
    <x v="195"/>
    <s v="Anjali"/>
    <x v="0"/>
    <s v="Delhi"/>
    <x v="0"/>
    <s v="Table"/>
    <s v="Table 3"/>
    <n v="6"/>
    <n v="16274.71"/>
    <n v="5"/>
    <x v="5"/>
    <x v="0"/>
  </r>
  <r>
    <s v="ORD1273"/>
    <x v="103"/>
    <x v="196"/>
    <s v="Priya"/>
    <x v="3"/>
    <s v="Pune"/>
    <x v="2"/>
    <s v="Phone"/>
    <s v="Phone 29"/>
    <n v="4"/>
    <n v="15109.4"/>
    <n v="10"/>
    <x v="5"/>
    <x v="3"/>
  </r>
  <r>
    <s v="ORD1274"/>
    <x v="188"/>
    <x v="197"/>
    <s v="Arjun"/>
    <x v="1"/>
    <s v="delhi "/>
    <x v="1"/>
    <s v="Phone"/>
    <s v="Phone 15"/>
    <n v="10"/>
    <n v="33857.279999999999"/>
    <n v="0"/>
    <x v="0"/>
    <x v="3"/>
  </r>
  <r>
    <s v="ORD1275"/>
    <x v="189"/>
    <x v="0"/>
    <s v="Priya"/>
    <x v="2"/>
    <s v="Mumbai"/>
    <x v="1"/>
    <s v="Phone"/>
    <s v="Phone 25"/>
    <n v="5"/>
    <n v="23573.9"/>
    <n v="0"/>
    <x v="0"/>
    <x v="1"/>
  </r>
  <r>
    <s v="ORD1277"/>
    <x v="190"/>
    <x v="32"/>
    <s v="Rahul"/>
    <x v="1"/>
    <s v="Pune"/>
    <x v="1"/>
    <s v="Phone"/>
    <s v="Phone 24"/>
    <n v="5"/>
    <n v="24082.87"/>
    <n v="0"/>
    <x v="2"/>
    <x v="3"/>
  </r>
  <r>
    <s v="ORD1279"/>
    <x v="191"/>
    <x v="198"/>
    <s v="Vikas"/>
    <x v="3"/>
    <s v="Bengaluru"/>
    <x v="1"/>
    <s v="Phone"/>
    <s v="Phone 5"/>
    <n v="4"/>
    <n v="12092.2"/>
    <n v="5"/>
    <x v="3"/>
    <x v="2"/>
  </r>
  <r>
    <s v="ORD1281"/>
    <x v="192"/>
    <x v="199"/>
    <s v="Priya"/>
    <x v="1"/>
    <s v="Kolkata"/>
    <x v="0"/>
    <s v="Table"/>
    <s v="Table 12"/>
    <n v="4"/>
    <n v="3203.34"/>
    <n v="5"/>
    <x v="0"/>
    <x v="1"/>
  </r>
  <r>
    <s v="ORD1282"/>
    <x v="193"/>
    <x v="200"/>
    <s v="Neha"/>
    <x v="0"/>
    <s v="Mumbai"/>
    <x v="1"/>
    <s v="Laptop"/>
    <s v="Laptop 2"/>
    <n v="7"/>
    <n v="10029.48"/>
    <n v="5"/>
    <x v="4"/>
    <x v="0"/>
  </r>
  <r>
    <s v="ORD1283"/>
    <x v="194"/>
    <x v="193"/>
    <s v="Sneha"/>
    <x v="3"/>
    <s v="Pune"/>
    <x v="0"/>
    <s v="Chair"/>
    <s v="Chair 25"/>
    <n v="10"/>
    <n v="11347.48"/>
    <n v="5"/>
    <x v="5"/>
    <x v="1"/>
  </r>
  <r>
    <s v="ORD1284"/>
    <x v="188"/>
    <x v="201"/>
    <s v="Priya"/>
    <x v="3"/>
    <s v="delhi "/>
    <x v="1"/>
    <s v="Laptop"/>
    <s v="Laptop 1"/>
    <n v="4"/>
    <n v="19561.72"/>
    <s v="10 %"/>
    <x v="3"/>
    <x v="0"/>
  </r>
  <r>
    <s v="ORD1285"/>
    <x v="195"/>
    <x v="202"/>
    <s v="Neha"/>
    <x v="0"/>
    <s v="Mumbai"/>
    <x v="0"/>
    <s v="Table"/>
    <s v="Table 1"/>
    <n v="5"/>
    <n v="21912.84"/>
    <n v="5"/>
    <x v="0"/>
    <x v="0"/>
  </r>
  <r>
    <s v="ORD1286"/>
    <x v="65"/>
    <x v="203"/>
    <s v="Arjun"/>
    <x v="3"/>
    <s v="Bengaluru"/>
    <x v="1"/>
    <s v="Laptop"/>
    <s v="Laptop 1"/>
    <n v="4"/>
    <n v="5491.14"/>
    <n v="15"/>
    <x v="4"/>
    <x v="1"/>
  </r>
  <r>
    <s v="ORD1287"/>
    <x v="196"/>
    <x v="35"/>
    <s v="Amit"/>
    <x v="0"/>
    <s v="Delhi"/>
    <x v="0"/>
    <s v="Chair"/>
    <s v="Chair 17"/>
    <n v="7"/>
    <n v="21779.83"/>
    <n v="10"/>
    <x v="2"/>
    <x v="3"/>
  </r>
  <r>
    <s v="ORD1288"/>
    <x v="197"/>
    <x v="204"/>
    <s v="Sneha"/>
    <x v="2"/>
    <s v="Bengaluru"/>
    <x v="1"/>
    <s v="Phone"/>
    <s v="Phone 8"/>
    <n v="8"/>
    <n v="8204.02"/>
    <n v="5"/>
    <x v="1"/>
    <x v="3"/>
  </r>
  <r>
    <s v="ORD1289"/>
    <x v="198"/>
    <x v="205"/>
    <s v="Riya "/>
    <x v="0"/>
    <s v="Kolkata"/>
    <x v="1"/>
    <s v="Phone"/>
    <s v="Phone 11"/>
    <n v="8"/>
    <n v="39353.97"/>
    <n v="15"/>
    <x v="2"/>
    <x v="0"/>
  </r>
  <r>
    <s v="ORD1290"/>
    <x v="199"/>
    <x v="206"/>
    <s v="Karan"/>
    <x v="1"/>
    <s v="Mumbai"/>
    <x v="1"/>
    <s v="Laptop"/>
    <s v="Laptop 23"/>
    <n v="7"/>
    <n v="16173.52"/>
    <n v="5"/>
    <x v="5"/>
    <x v="3"/>
  </r>
  <r>
    <s v="ORD1291"/>
    <x v="200"/>
    <x v="207"/>
    <s v="Amit"/>
    <x v="0"/>
    <s v="Delhi"/>
    <x v="1"/>
    <s v="Phone"/>
    <s v="Phone 26"/>
    <n v="2"/>
    <n v="6835.18"/>
    <s v="10 %"/>
    <x v="1"/>
    <x v="1"/>
  </r>
  <r>
    <s v="ORD1292"/>
    <x v="201"/>
    <x v="208"/>
    <s v="Anjali"/>
    <x v="0"/>
    <s v="Pune"/>
    <x v="0"/>
    <s v="Table"/>
    <s v="Table 17"/>
    <n v="8"/>
    <n v="5968.34"/>
    <n v="10"/>
    <x v="5"/>
    <x v="2"/>
  </r>
  <r>
    <s v="ORD1294"/>
    <x v="202"/>
    <x v="209"/>
    <s v="Arjun"/>
    <x v="3"/>
    <s v="Bengaluru"/>
    <x v="3"/>
    <s v="Paper"/>
    <s v="Paper 16"/>
    <n v="10"/>
    <n v="24052.55"/>
    <n v="10"/>
    <x v="1"/>
    <x v="1"/>
  </r>
  <r>
    <s v="ORD1295"/>
    <x v="203"/>
    <x v="122"/>
    <s v="Riya "/>
    <x v="0"/>
    <s v="Delhi"/>
    <x v="0"/>
    <s v="Table"/>
    <s v="Table 13"/>
    <n v="3"/>
    <n v="13643.14"/>
    <n v="15"/>
    <x v="0"/>
    <x v="3"/>
  </r>
  <r>
    <s v="ORD1297"/>
    <x v="204"/>
    <x v="154"/>
    <s v="Neha"/>
    <x v="1"/>
    <s v="Mumbai"/>
    <x v="3"/>
    <s v="Paper"/>
    <s v="Paper 24"/>
    <n v="2"/>
    <n v="8302.66"/>
    <s v="10 %"/>
    <x v="5"/>
    <x v="0"/>
  </r>
  <r>
    <s v="ORD1298"/>
    <x v="205"/>
    <x v="210"/>
    <s v="Karan"/>
    <x v="1"/>
    <s v="Bengaluru"/>
    <x v="3"/>
    <s v="Paper"/>
    <s v="Paper 26"/>
    <n v="2"/>
    <n v="6977.92"/>
    <n v="20"/>
    <x v="2"/>
    <x v="0"/>
  </r>
  <r>
    <s v="ORD1299"/>
    <x v="206"/>
    <x v="211"/>
    <s v="Arjun"/>
    <x v="3"/>
    <s v="Bengaluru"/>
    <x v="0"/>
    <s v="Chair"/>
    <s v="Chair 23"/>
    <n v="3"/>
    <n v="4794.8"/>
    <n v="5"/>
    <x v="5"/>
    <x v="3"/>
  </r>
  <r>
    <s v="ORD1300"/>
    <x v="207"/>
    <x v="212"/>
    <s v="Karan"/>
    <x v="2"/>
    <s v="delhi "/>
    <x v="0"/>
    <s v="Table"/>
    <s v="Table 23"/>
    <n v="3"/>
    <n v="2318.7399999999998"/>
    <n v="5"/>
    <x v="2"/>
    <x v="2"/>
  </r>
  <r>
    <s v="ORD1302"/>
    <x v="208"/>
    <x v="213"/>
    <s v="Sneha"/>
    <x v="3"/>
    <s v="Mumbai"/>
    <x v="1"/>
    <s v="Laptop"/>
    <s v="Laptop 7"/>
    <n v="2"/>
    <n v="3129.35"/>
    <n v="5"/>
    <x v="0"/>
    <x v="1"/>
  </r>
  <r>
    <s v="ORD1303"/>
    <x v="183"/>
    <x v="111"/>
    <s v="Rahul"/>
    <x v="3"/>
    <s v="delhi "/>
    <x v="2"/>
    <s v="Phone"/>
    <s v="Phone 21"/>
    <n v="7"/>
    <n v="7384.93"/>
    <n v="10"/>
    <x v="5"/>
    <x v="0"/>
  </r>
  <r>
    <s v="ORD1304"/>
    <x v="209"/>
    <x v="214"/>
    <s v="Karan"/>
    <x v="0"/>
    <s v="delhi "/>
    <x v="0"/>
    <s v="Chair"/>
    <s v="Chair 6"/>
    <n v="8"/>
    <n v="14192.28"/>
    <n v="0"/>
    <x v="1"/>
    <x v="1"/>
  </r>
  <r>
    <s v="ORD1306"/>
    <x v="210"/>
    <x v="215"/>
    <s v="Sneha"/>
    <x v="0"/>
    <s v="Delhi"/>
    <x v="1"/>
    <s v="Laptop"/>
    <s v="Laptop 1"/>
    <n v="5"/>
    <n v="14262.02"/>
    <n v="15"/>
    <x v="1"/>
    <x v="3"/>
  </r>
  <r>
    <s v="ORD1307"/>
    <x v="211"/>
    <x v="216"/>
    <s v="Rahul"/>
    <x v="1"/>
    <s v="Mumbai"/>
    <x v="2"/>
    <s v="Phone"/>
    <s v="Phone 1"/>
    <n v="3"/>
    <n v="7353.11"/>
    <n v="20"/>
    <x v="4"/>
    <x v="3"/>
  </r>
  <r>
    <s v="ORD1308"/>
    <x v="212"/>
    <x v="217"/>
    <s v="Rahul"/>
    <x v="0"/>
    <s v="Mumbai"/>
    <x v="2"/>
    <s v="Phone"/>
    <s v="Phone 21"/>
    <n v="10"/>
    <n v="44578.42"/>
    <n v="15"/>
    <x v="2"/>
    <x v="3"/>
  </r>
  <r>
    <s v="ORD1309"/>
    <x v="213"/>
    <x v="36"/>
    <s v="Arjun"/>
    <x v="1"/>
    <s v="Delhi"/>
    <x v="3"/>
    <s v="Paper"/>
    <s v="Paper 3"/>
    <n v="9"/>
    <n v="28185.43"/>
    <n v="0"/>
    <x v="3"/>
    <x v="3"/>
  </r>
  <r>
    <s v="ORD1310"/>
    <x v="214"/>
    <x v="218"/>
    <s v="Neha"/>
    <x v="3"/>
    <s v="Pune"/>
    <x v="2"/>
    <s v="Phone"/>
    <s v="Phone 22"/>
    <n v="7"/>
    <n v="26620.31"/>
    <n v="20"/>
    <x v="5"/>
    <x v="0"/>
  </r>
  <r>
    <s v="ORD1311"/>
    <x v="215"/>
    <x v="219"/>
    <s v="Arjun"/>
    <x v="0"/>
    <s v="Mumbai"/>
    <x v="0"/>
    <s v="Table"/>
    <s v="Table 30"/>
    <n v="3"/>
    <n v="2453.09"/>
    <n v="0"/>
    <x v="3"/>
    <x v="1"/>
  </r>
  <r>
    <s v="ORD1312"/>
    <x v="216"/>
    <x v="220"/>
    <s v="Anjali"/>
    <x v="3"/>
    <s v="Kolkata"/>
    <x v="1"/>
    <s v="Phone"/>
    <s v="Phone 1"/>
    <n v="2"/>
    <n v="3273.22"/>
    <n v="20"/>
    <x v="4"/>
    <x v="2"/>
  </r>
  <r>
    <s v="ORD1313"/>
    <x v="62"/>
    <x v="95"/>
    <s v="Anjali"/>
    <x v="0"/>
    <s v="Delhi"/>
    <x v="2"/>
    <s v="Phone"/>
    <s v="Phone 14"/>
    <n v="6"/>
    <n v="19249.400000000001"/>
    <n v="10"/>
    <x v="4"/>
    <x v="0"/>
  </r>
  <r>
    <s v="ORD1314"/>
    <x v="217"/>
    <x v="221"/>
    <s v="Riya "/>
    <x v="1"/>
    <s v="Jaipur"/>
    <x v="0"/>
    <s v="Table"/>
    <s v="Table 3"/>
    <n v="8"/>
    <n v="39439.449999999997"/>
    <n v="5"/>
    <x v="0"/>
    <x v="3"/>
  </r>
  <r>
    <s v="ORD1315"/>
    <x v="218"/>
    <x v="222"/>
    <s v="Sneha"/>
    <x v="2"/>
    <s v="Pune"/>
    <x v="0"/>
    <s v="Chair"/>
    <s v="Chair 21"/>
    <n v="5"/>
    <n v="5572.46"/>
    <n v="20"/>
    <x v="1"/>
    <x v="0"/>
  </r>
  <r>
    <s v="ORD1316"/>
    <x v="219"/>
    <x v="223"/>
    <s v="Karan"/>
    <x v="0"/>
    <s v="Pune"/>
    <x v="1"/>
    <s v="Laptop"/>
    <s v="Laptop 30"/>
    <n v="6"/>
    <n v="14249.12"/>
    <s v="10 %"/>
    <x v="4"/>
    <x v="3"/>
  </r>
  <r>
    <s v="ORD1317"/>
    <x v="220"/>
    <x v="224"/>
    <s v="Arjun"/>
    <x v="3"/>
    <s v="Delhi"/>
    <x v="1"/>
    <s v="Phone"/>
    <s v="Phone 29"/>
    <n v="9"/>
    <n v="20009.990000000002"/>
    <n v="10"/>
    <x v="1"/>
    <x v="1"/>
  </r>
  <r>
    <s v="ORD1318"/>
    <x v="221"/>
    <x v="225"/>
    <s v="Riya"/>
    <x v="4"/>
    <s v="Jaipur"/>
    <x v="1"/>
    <s v="Laptop"/>
    <s v="Laptop 19"/>
    <n v="5"/>
    <n v="24379.74"/>
    <s v="10 %"/>
    <x v="4"/>
    <x v="3"/>
  </r>
  <r>
    <s v="ORD1319"/>
    <x v="222"/>
    <x v="226"/>
    <s v="Neha"/>
    <x v="3"/>
    <s v="Pune"/>
    <x v="0"/>
    <s v="Chair"/>
    <s v="Chair 6"/>
    <n v="2"/>
    <n v="2189.14"/>
    <n v="0"/>
    <x v="5"/>
    <x v="3"/>
  </r>
  <r>
    <s v="ORD1320"/>
    <x v="223"/>
    <x v="227"/>
    <s v="Vikas"/>
    <x v="4"/>
    <s v="Kolkata"/>
    <x v="1"/>
    <s v="Phone"/>
    <s v="Phone 23"/>
    <n v="4"/>
    <n v="11573.98"/>
    <n v="10"/>
    <x v="1"/>
    <x v="0"/>
  </r>
  <r>
    <s v="ORD1321"/>
    <x v="224"/>
    <x v="185"/>
    <s v="Arjun"/>
    <x v="2"/>
    <s v="Jaipur"/>
    <x v="0"/>
    <s v="Chair"/>
    <s v="Chair 15"/>
    <n v="9"/>
    <n v="25453.87"/>
    <n v="15"/>
    <x v="4"/>
    <x v="1"/>
  </r>
  <r>
    <s v="ORD1322"/>
    <x v="225"/>
    <x v="228"/>
    <s v="Priya"/>
    <x v="0"/>
    <s v="delhi "/>
    <x v="1"/>
    <s v="Laptop"/>
    <s v="Laptop 15"/>
    <n v="3"/>
    <n v="2078.54"/>
    <n v="0"/>
    <x v="5"/>
    <x v="0"/>
  </r>
  <r>
    <s v="ORD1323"/>
    <x v="226"/>
    <x v="229"/>
    <s v="Anjali"/>
    <x v="0"/>
    <s v="Delhi"/>
    <x v="0"/>
    <s v="Table"/>
    <s v="Table 16"/>
    <n v="1"/>
    <n v="1283.25"/>
    <n v="0"/>
    <x v="5"/>
    <x v="2"/>
  </r>
  <r>
    <s v="ORD1324"/>
    <x v="227"/>
    <x v="230"/>
    <s v="Anjali"/>
    <x v="0"/>
    <s v="Delhi"/>
    <x v="1"/>
    <s v="Laptop"/>
    <s v="Laptop 4"/>
    <n v="2"/>
    <n v="7978.3"/>
    <n v="10"/>
    <x v="5"/>
    <x v="3"/>
  </r>
  <r>
    <s v="ORD1325"/>
    <x v="213"/>
    <x v="231"/>
    <s v="Amit"/>
    <x v="0"/>
    <s v="Bengaluru"/>
    <x v="0"/>
    <s v="Chair"/>
    <s v="Chair 17"/>
    <n v="3"/>
    <n v="1733.37"/>
    <n v="20"/>
    <x v="2"/>
    <x v="2"/>
  </r>
  <r>
    <s v="ORD1326"/>
    <x v="153"/>
    <x v="232"/>
    <s v="Sneha"/>
    <x v="4"/>
    <s v="Delhi"/>
    <x v="3"/>
    <s v="Paper"/>
    <s v="Paper 5"/>
    <n v="7"/>
    <n v="13635.81"/>
    <n v="15"/>
    <x v="4"/>
    <x v="3"/>
  </r>
  <r>
    <s v="ORD1327"/>
    <x v="228"/>
    <x v="233"/>
    <s v="Karan"/>
    <x v="1"/>
    <s v="Jaipur"/>
    <x v="3"/>
    <s v="Paper"/>
    <s v="Paper 1"/>
    <n v="7"/>
    <n v="18746.25"/>
    <n v="5"/>
    <x v="1"/>
    <x v="0"/>
  </r>
  <r>
    <s v="ORD1328"/>
    <x v="229"/>
    <x v="234"/>
    <s v="Neha"/>
    <x v="3"/>
    <s v="Pune"/>
    <x v="0"/>
    <s v="Table"/>
    <s v="Table 17"/>
    <n v="6"/>
    <n v="15505.2"/>
    <n v="0"/>
    <x v="3"/>
    <x v="1"/>
  </r>
  <r>
    <s v="ORD1329"/>
    <x v="58"/>
    <x v="235"/>
    <s v="Neha "/>
    <x v="0"/>
    <s v="Mumbai"/>
    <x v="2"/>
    <s v="Phone"/>
    <s v="Phone 22"/>
    <n v="9"/>
    <n v="22694.25"/>
    <n v="5"/>
    <x v="5"/>
    <x v="3"/>
  </r>
  <r>
    <s v="ORD1330"/>
    <x v="230"/>
    <x v="236"/>
    <s v="Amit"/>
    <x v="4"/>
    <s v="Mumbai"/>
    <x v="1"/>
    <s v="Laptop"/>
    <s v="Laptop 25"/>
    <n v="1"/>
    <n v="3974.57"/>
    <n v="15"/>
    <x v="0"/>
    <x v="1"/>
  </r>
  <r>
    <s v="ORD1331"/>
    <x v="40"/>
    <x v="237"/>
    <s v="Rahul"/>
    <x v="1"/>
    <s v="delhi "/>
    <x v="1"/>
    <s v="Laptop"/>
    <s v="Laptop 27"/>
    <n v="2"/>
    <n v="4301.58"/>
    <n v="5"/>
    <x v="5"/>
    <x v="3"/>
  </r>
  <r>
    <s v="ORD1332"/>
    <x v="231"/>
    <x v="238"/>
    <s v="Rahul"/>
    <x v="0"/>
    <s v="Mumbai"/>
    <x v="1"/>
    <s v="Laptop"/>
    <s v="Laptop 18"/>
    <n v="6"/>
    <n v="6046.86"/>
    <n v="10"/>
    <x v="1"/>
    <x v="0"/>
  </r>
  <r>
    <s v="ORD1333"/>
    <x v="232"/>
    <x v="239"/>
    <s v="Neha"/>
    <x v="2"/>
    <s v="Jaipur"/>
    <x v="1"/>
    <s v="Laptop"/>
    <s v="Laptop 21"/>
    <n v="7"/>
    <n v="20044.14"/>
    <s v="10 %"/>
    <x v="4"/>
    <x v="0"/>
  </r>
  <r>
    <s v="ORD1334"/>
    <x v="233"/>
    <x v="240"/>
    <s v="Riya"/>
    <x v="4"/>
    <s v="Mumbai"/>
    <x v="1"/>
    <s v="Laptop"/>
    <s v="Laptop 23"/>
    <n v="7"/>
    <n v="8925.7999999999993"/>
    <n v="15"/>
    <x v="5"/>
    <x v="3"/>
  </r>
  <r>
    <s v="ORD1335"/>
    <x v="234"/>
    <x v="241"/>
    <s v="Sneha"/>
    <x v="2"/>
    <s v="Delhi"/>
    <x v="0"/>
    <s v="Table"/>
    <s v="Table 17"/>
    <n v="9"/>
    <n v="23028.28"/>
    <n v="10"/>
    <x v="4"/>
    <x v="3"/>
  </r>
  <r>
    <s v="ORD1336"/>
    <x v="235"/>
    <x v="242"/>
    <s v="Rahul"/>
    <x v="2"/>
    <s v="Jaipur"/>
    <x v="1"/>
    <s v="Phone"/>
    <s v="Phone 28"/>
    <n v="8"/>
    <n v="4015.78"/>
    <n v="15"/>
    <x v="2"/>
    <x v="3"/>
  </r>
  <r>
    <s v="ORD1337"/>
    <x v="236"/>
    <x v="174"/>
    <s v="Anjali"/>
    <x v="0"/>
    <s v="Mumbai"/>
    <x v="2"/>
    <s v="Phone"/>
    <s v="Phone 5"/>
    <n v="2"/>
    <n v="9836.76"/>
    <n v="5"/>
    <x v="3"/>
    <x v="0"/>
  </r>
  <r>
    <s v="ORD1338"/>
    <x v="108"/>
    <x v="243"/>
    <s v="Anjali"/>
    <x v="3"/>
    <s v="delhi "/>
    <x v="1"/>
    <s v="Phone"/>
    <s v="Phone 25"/>
    <n v="7"/>
    <n v="18544.23"/>
    <n v="15"/>
    <x v="4"/>
    <x v="1"/>
  </r>
  <r>
    <s v="ORD1339"/>
    <x v="24"/>
    <x v="244"/>
    <s v="Priya"/>
    <x v="0"/>
    <s v="Jaipur"/>
    <x v="2"/>
    <s v="Phone"/>
    <s v="Phone 23"/>
    <n v="5"/>
    <n v="18465.68"/>
    <n v="15"/>
    <x v="4"/>
    <x v="3"/>
  </r>
  <r>
    <s v="ORD1341"/>
    <x v="237"/>
    <x v="245"/>
    <s v="Amit"/>
    <x v="3"/>
    <s v="delhi "/>
    <x v="0"/>
    <s v="Chair"/>
    <s v="Chair 8"/>
    <n v="8"/>
    <n v="13026.05"/>
    <n v="0"/>
    <x v="2"/>
    <x v="1"/>
  </r>
  <r>
    <s v="ORD1342"/>
    <x v="226"/>
    <x v="160"/>
    <s v="Riya"/>
    <x v="0"/>
    <s v="Jaipur"/>
    <x v="3"/>
    <s v="Paper"/>
    <s v="Paper 26"/>
    <n v="8"/>
    <n v="4320.2299999999996"/>
    <s v="10 %"/>
    <x v="4"/>
    <x v="2"/>
  </r>
  <r>
    <s v="ORD1343"/>
    <x v="238"/>
    <x v="246"/>
    <s v="Amit"/>
    <x v="2"/>
    <s v="Delhi"/>
    <x v="3"/>
    <s v="Paper"/>
    <s v="Paper 7"/>
    <n v="6"/>
    <n v="27358.560000000001"/>
    <n v="15"/>
    <x v="2"/>
    <x v="0"/>
  </r>
  <r>
    <s v="ORD1344"/>
    <x v="239"/>
    <x v="247"/>
    <s v="Karan"/>
    <x v="4"/>
    <s v="Delhi"/>
    <x v="1"/>
    <s v="Laptop"/>
    <s v="Laptop 19"/>
    <n v="7"/>
    <n v="26834.91"/>
    <n v="10"/>
    <x v="1"/>
    <x v="0"/>
  </r>
  <r>
    <s v="ORD1345"/>
    <x v="113"/>
    <x v="248"/>
    <s v="Neha"/>
    <x v="4"/>
    <s v="Jaipur"/>
    <x v="1"/>
    <s v="Phone"/>
    <s v="Phone 9"/>
    <n v="7"/>
    <n v="21597.03"/>
    <n v="20"/>
    <x v="1"/>
    <x v="3"/>
  </r>
  <r>
    <s v="ORD1346"/>
    <x v="240"/>
    <x v="249"/>
    <s v="Anjali"/>
    <x v="0"/>
    <s v="Mumbai"/>
    <x v="1"/>
    <s v="Laptop"/>
    <s v="Laptop 2"/>
    <n v="10"/>
    <n v="48786.46"/>
    <n v="10"/>
    <x v="0"/>
    <x v="0"/>
  </r>
  <r>
    <s v="ORD1347"/>
    <x v="241"/>
    <x v="250"/>
    <s v="Vikas "/>
    <x v="4"/>
    <s v="Mumbai"/>
    <x v="0"/>
    <s v="Table"/>
    <s v="Table 25"/>
    <n v="9"/>
    <n v="30860.76"/>
    <n v="0"/>
    <x v="5"/>
    <x v="2"/>
  </r>
  <r>
    <s v="ORD1349"/>
    <x v="242"/>
    <x v="251"/>
    <s v="Sneha"/>
    <x v="1"/>
    <s v="Delhi"/>
    <x v="0"/>
    <s v="Chair"/>
    <s v="Chair 3"/>
    <n v="1"/>
    <n v="3131.28"/>
    <n v="0"/>
    <x v="3"/>
    <x v="2"/>
  </r>
  <r>
    <s v="ORD1350"/>
    <x v="243"/>
    <x v="252"/>
    <s v="Vikas"/>
    <x v="0"/>
    <s v="delhi "/>
    <x v="0"/>
    <s v="Table"/>
    <s v="Table 8"/>
    <n v="3"/>
    <n v="5568.58"/>
    <n v="10"/>
    <x v="2"/>
    <x v="0"/>
  </r>
  <r>
    <s v="ORD1351"/>
    <x v="244"/>
    <x v="253"/>
    <s v="Amit"/>
    <x v="1"/>
    <s v="Bengaluru"/>
    <x v="1"/>
    <s v="Phone"/>
    <s v="Phone 20"/>
    <n v="2"/>
    <n v="1401.36"/>
    <s v="10 %"/>
    <x v="4"/>
    <x v="2"/>
  </r>
  <r>
    <s v="ORD1352"/>
    <x v="245"/>
    <x v="254"/>
    <s v="Sneha"/>
    <x v="0"/>
    <s v="Mumbai"/>
    <x v="0"/>
    <s v="Chair"/>
    <s v="Chair 29"/>
    <n v="6"/>
    <n v="5568.6"/>
    <n v="15"/>
    <x v="5"/>
    <x v="3"/>
  </r>
  <r>
    <s v="ORD1353"/>
    <x v="246"/>
    <x v="255"/>
    <s v="Vikas"/>
    <x v="3"/>
    <s v="Kolkata"/>
    <x v="3"/>
    <s v="Paper"/>
    <s v="Paper 12"/>
    <n v="9"/>
    <n v="9199.43"/>
    <n v="5"/>
    <x v="3"/>
    <x v="1"/>
  </r>
  <r>
    <s v="ORD1354"/>
    <x v="222"/>
    <x v="98"/>
    <s v="Amit"/>
    <x v="1"/>
    <s v="Mumbai"/>
    <x v="3"/>
    <s v="Paper"/>
    <s v="Paper 12"/>
    <n v="1"/>
    <n v="2117.36"/>
    <n v="10"/>
    <x v="4"/>
    <x v="0"/>
  </r>
  <r>
    <s v="ORD1355"/>
    <x v="243"/>
    <x v="256"/>
    <s v="Arjun"/>
    <x v="0"/>
    <s v="Kolkata"/>
    <x v="0"/>
    <s v="Chair"/>
    <s v="Chair 12"/>
    <n v="6"/>
    <n v="18445.560000000001"/>
    <n v="20"/>
    <x v="1"/>
    <x v="3"/>
  </r>
  <r>
    <s v="ORD1356"/>
    <x v="247"/>
    <x v="257"/>
    <s v="Priya"/>
    <x v="1"/>
    <s v="Bengaluru"/>
    <x v="0"/>
    <s v="Chair"/>
    <s v="Chair 4"/>
    <n v="5"/>
    <n v="23097.55"/>
    <n v="10"/>
    <x v="0"/>
    <x v="2"/>
  </r>
  <r>
    <s v="ORD1357"/>
    <x v="248"/>
    <x v="258"/>
    <s v="Karan"/>
    <x v="3"/>
    <s v="Mumbai"/>
    <x v="0"/>
    <s v="Chair"/>
    <s v="Chair 14"/>
    <n v="3"/>
    <n v="9688.93"/>
    <n v="20"/>
    <x v="1"/>
    <x v="1"/>
  </r>
  <r>
    <s v="ORD1358"/>
    <x v="249"/>
    <x v="130"/>
    <s v="Amit"/>
    <x v="0"/>
    <s v="Jaipur"/>
    <x v="2"/>
    <s v="Phone"/>
    <s v="Phone 29"/>
    <n v="8"/>
    <n v="9190.69"/>
    <n v="20"/>
    <x v="4"/>
    <x v="0"/>
  </r>
  <r>
    <s v="ORD1359"/>
    <x v="248"/>
    <x v="259"/>
    <s v="Sneha"/>
    <x v="2"/>
    <s v="delhi "/>
    <x v="0"/>
    <s v="Chair"/>
    <s v="Chair 13"/>
    <n v="3"/>
    <n v="3909.19"/>
    <s v="10 %"/>
    <x v="2"/>
    <x v="2"/>
  </r>
  <r>
    <s v="ORD1361"/>
    <x v="250"/>
    <x v="260"/>
    <s v="Arjun "/>
    <x v="1"/>
    <s v="Bengaluru"/>
    <x v="3"/>
    <s v="Paper"/>
    <s v="Paper 3"/>
    <n v="5"/>
    <n v="22333.29"/>
    <n v="10"/>
    <x v="4"/>
    <x v="0"/>
  </r>
  <r>
    <s v="ORD1362"/>
    <x v="251"/>
    <x v="253"/>
    <s v="Sneha"/>
    <x v="0"/>
    <s v="Kolkata"/>
    <x v="2"/>
    <s v="Phone"/>
    <s v="Phone 4"/>
    <n v="9"/>
    <n v="44671.73"/>
    <n v="20"/>
    <x v="3"/>
    <x v="3"/>
  </r>
  <r>
    <s v="ORD1363"/>
    <x v="252"/>
    <x v="261"/>
    <s v="Vikas "/>
    <x v="4"/>
    <s v="Bengaluru"/>
    <x v="0"/>
    <s v="Table"/>
    <s v="Table 13"/>
    <n v="6"/>
    <n v="23592.13"/>
    <n v="5"/>
    <x v="2"/>
    <x v="0"/>
  </r>
  <r>
    <s v="ORD1364"/>
    <x v="253"/>
    <x v="262"/>
    <s v="Arjun"/>
    <x v="4"/>
    <s v="Jaipur"/>
    <x v="0"/>
    <s v="Chair"/>
    <s v="Chair 22"/>
    <n v="8"/>
    <n v="10669.7"/>
    <n v="20"/>
    <x v="2"/>
    <x v="3"/>
  </r>
  <r>
    <s v="ORD1366"/>
    <x v="254"/>
    <x v="263"/>
    <s v="Karan"/>
    <x v="3"/>
    <s v="Pune"/>
    <x v="1"/>
    <s v="Laptop"/>
    <s v="Laptop 4"/>
    <n v="9"/>
    <n v="24351.08"/>
    <n v="10"/>
    <x v="1"/>
    <x v="0"/>
  </r>
  <r>
    <s v="ORD1367"/>
    <x v="95"/>
    <x v="264"/>
    <s v="Vikas"/>
    <x v="4"/>
    <s v="Delhi"/>
    <x v="1"/>
    <s v="Laptop"/>
    <s v="Laptop 22"/>
    <n v="5"/>
    <n v="16574.11"/>
    <n v="10"/>
    <x v="0"/>
    <x v="2"/>
  </r>
  <r>
    <s v="ORD1368"/>
    <x v="89"/>
    <x v="265"/>
    <s v="Sneha"/>
    <x v="2"/>
    <s v="Jaipur"/>
    <x v="1"/>
    <s v="Phone"/>
    <s v="Phone 19"/>
    <n v="9"/>
    <n v="44454.09"/>
    <n v="5"/>
    <x v="4"/>
    <x v="0"/>
  </r>
  <r>
    <s v="ORD1369"/>
    <x v="255"/>
    <x v="266"/>
    <s v="Karan"/>
    <x v="0"/>
    <s v="Bengaluru"/>
    <x v="2"/>
    <s v="Phone"/>
    <s v="Phone 28"/>
    <n v="8"/>
    <n v="2849.04"/>
    <n v="5"/>
    <x v="1"/>
    <x v="3"/>
  </r>
  <r>
    <s v="ORD1370"/>
    <x v="256"/>
    <x v="267"/>
    <s v="Neha"/>
    <x v="0"/>
    <s v="Delhi"/>
    <x v="2"/>
    <s v="Phone"/>
    <s v="Phone 14"/>
    <n v="6"/>
    <n v="4048.54"/>
    <n v="20"/>
    <x v="0"/>
    <x v="1"/>
  </r>
  <r>
    <s v="ORD1371"/>
    <x v="257"/>
    <x v="268"/>
    <s v="Priya"/>
    <x v="0"/>
    <s v="Delhi"/>
    <x v="2"/>
    <s v="Phone"/>
    <s v="Phone 28"/>
    <n v="6"/>
    <n v="4107.12"/>
    <n v="10"/>
    <x v="2"/>
    <x v="2"/>
  </r>
  <r>
    <s v="ORD1372"/>
    <x v="221"/>
    <x v="269"/>
    <s v="Priya"/>
    <x v="3"/>
    <s v="Bengaluru"/>
    <x v="2"/>
    <s v="Phone"/>
    <s v="Phone 19"/>
    <n v="9"/>
    <n v="15643.8"/>
    <n v="10"/>
    <x v="2"/>
    <x v="3"/>
  </r>
  <r>
    <s v="ORD1373"/>
    <x v="258"/>
    <x v="270"/>
    <s v="Anjali"/>
    <x v="1"/>
    <s v="Bengaluru"/>
    <x v="1"/>
    <s v="Phone"/>
    <s v="Phone 13"/>
    <n v="6"/>
    <n v="9855.73"/>
    <s v="10 %"/>
    <x v="3"/>
    <x v="1"/>
  </r>
  <r>
    <s v="ORD1374"/>
    <x v="157"/>
    <x v="271"/>
    <s v="Vikas"/>
    <x v="2"/>
    <s v="Delhi"/>
    <x v="2"/>
    <s v="Phone"/>
    <s v="Phone 29"/>
    <n v="2"/>
    <n v="8649.31"/>
    <n v="10"/>
    <x v="3"/>
    <x v="0"/>
  </r>
  <r>
    <s v="ORD1375"/>
    <x v="188"/>
    <x v="272"/>
    <s v="Neha"/>
    <x v="2"/>
    <s v="Bengaluru"/>
    <x v="0"/>
    <s v="Table"/>
    <s v="Table 28"/>
    <n v="2"/>
    <n v="3383.33"/>
    <n v="0"/>
    <x v="5"/>
    <x v="2"/>
  </r>
  <r>
    <s v="ORD1377"/>
    <x v="259"/>
    <x v="37"/>
    <s v="Vikas "/>
    <x v="0"/>
    <s v="Jaipur"/>
    <x v="1"/>
    <s v="Laptop"/>
    <s v="Laptop 29"/>
    <n v="10"/>
    <n v="41424.120000000003"/>
    <n v="15"/>
    <x v="5"/>
    <x v="3"/>
  </r>
  <r>
    <s v="ORD1378"/>
    <x v="260"/>
    <x v="273"/>
    <s v="Amit"/>
    <x v="3"/>
    <s v="delhi "/>
    <x v="1"/>
    <s v="Phone"/>
    <s v="Phone 17"/>
    <n v="1"/>
    <n v="4300.79"/>
    <n v="5"/>
    <x v="1"/>
    <x v="3"/>
  </r>
  <r>
    <s v="ORD1379"/>
    <x v="89"/>
    <x v="274"/>
    <s v="Vikas"/>
    <x v="0"/>
    <s v="Jaipur"/>
    <x v="1"/>
    <s v="Laptop"/>
    <s v="Laptop 6"/>
    <n v="3"/>
    <n v="13752.29"/>
    <n v="0"/>
    <x v="0"/>
    <x v="1"/>
  </r>
  <r>
    <s v="ORD1380"/>
    <x v="261"/>
    <x v="275"/>
    <s v="Karan"/>
    <x v="2"/>
    <s v="Kolkata"/>
    <x v="0"/>
    <s v="Chair"/>
    <s v="Chair 11"/>
    <n v="7"/>
    <n v="34050.339999999997"/>
    <n v="0"/>
    <x v="3"/>
    <x v="3"/>
  </r>
  <r>
    <s v="ORD1381"/>
    <x v="133"/>
    <x v="276"/>
    <s v="Priya"/>
    <x v="0"/>
    <s v="delhi "/>
    <x v="2"/>
    <s v="Phone"/>
    <s v="Phone 21"/>
    <n v="9"/>
    <n v="25526.26"/>
    <n v="20"/>
    <x v="4"/>
    <x v="1"/>
  </r>
  <r>
    <s v="ORD1382"/>
    <x v="262"/>
    <x v="277"/>
    <s v="Vikas"/>
    <x v="3"/>
    <s v="Kolkata"/>
    <x v="1"/>
    <s v="Phone"/>
    <s v="Phone 19"/>
    <n v="3"/>
    <n v="10346.459999999999"/>
    <n v="0"/>
    <x v="2"/>
    <x v="1"/>
  </r>
  <r>
    <s v="ORD1383"/>
    <x v="193"/>
    <x v="278"/>
    <s v="Neha"/>
    <x v="4"/>
    <s v="Mumbai"/>
    <x v="0"/>
    <s v="Table"/>
    <s v="Table 9"/>
    <n v="2"/>
    <n v="2886.34"/>
    <n v="0"/>
    <x v="0"/>
    <x v="3"/>
  </r>
  <r>
    <s v="ORD1384"/>
    <x v="263"/>
    <x v="248"/>
    <s v="Neha"/>
    <x v="1"/>
    <s v="Delhi"/>
    <x v="3"/>
    <s v="Paper"/>
    <s v="Paper 2"/>
    <n v="4"/>
    <n v="10521.48"/>
    <n v="5"/>
    <x v="4"/>
    <x v="1"/>
  </r>
  <r>
    <s v="ORD1385"/>
    <x v="264"/>
    <x v="116"/>
    <s v="Sneha"/>
    <x v="3"/>
    <s v="delhi "/>
    <x v="1"/>
    <s v="Laptop"/>
    <s v="Laptop 30"/>
    <n v="8"/>
    <n v="1052.3800000000001"/>
    <n v="5"/>
    <x v="2"/>
    <x v="2"/>
  </r>
  <r>
    <s v="ORD1386"/>
    <x v="135"/>
    <x v="279"/>
    <s v="Anjali"/>
    <x v="2"/>
    <s v="Kolkata"/>
    <x v="1"/>
    <s v="Laptop"/>
    <s v="Laptop 19"/>
    <n v="8"/>
    <n v="1976.67"/>
    <n v="15"/>
    <x v="1"/>
    <x v="3"/>
  </r>
  <r>
    <s v="ORD1387"/>
    <x v="265"/>
    <x v="254"/>
    <s v="Karan"/>
    <x v="2"/>
    <s v="Bengaluru"/>
    <x v="2"/>
    <s v="Phone"/>
    <s v="Phone 5"/>
    <n v="10"/>
    <n v="38458.31"/>
    <s v="10 %"/>
    <x v="5"/>
    <x v="2"/>
  </r>
  <r>
    <s v="ORD1388"/>
    <x v="266"/>
    <x v="280"/>
    <s v="Priya"/>
    <x v="0"/>
    <s v="delhi "/>
    <x v="3"/>
    <s v="Paper"/>
    <s v="Paper 7"/>
    <n v="4"/>
    <n v="7041.78"/>
    <s v="10 %"/>
    <x v="5"/>
    <x v="3"/>
  </r>
  <r>
    <s v="ORD1389"/>
    <x v="212"/>
    <x v="281"/>
    <s v="Neha"/>
    <x v="0"/>
    <s v="delhi "/>
    <x v="1"/>
    <s v="Phone"/>
    <s v="Phone 9"/>
    <n v="4"/>
    <n v="12517.42"/>
    <s v="10 %"/>
    <x v="3"/>
    <x v="1"/>
  </r>
  <r>
    <s v="ORD1390"/>
    <x v="74"/>
    <x v="282"/>
    <s v="Rahul"/>
    <x v="1"/>
    <s v="Jaipur"/>
    <x v="0"/>
    <s v="Table"/>
    <s v="Table 3"/>
    <n v="7"/>
    <n v="24780.67"/>
    <s v="10 %"/>
    <x v="2"/>
    <x v="3"/>
  </r>
  <r>
    <s v="ORD1391"/>
    <x v="267"/>
    <x v="283"/>
    <s v="Rahul"/>
    <x v="0"/>
    <s v="Mumbai"/>
    <x v="1"/>
    <s v="Phone"/>
    <s v="Phone 16"/>
    <n v="2"/>
    <n v="5979.39"/>
    <n v="20"/>
    <x v="4"/>
    <x v="2"/>
  </r>
  <r>
    <s v="ORD1392"/>
    <x v="119"/>
    <x v="284"/>
    <s v="Amit"/>
    <x v="1"/>
    <s v="Kolkata"/>
    <x v="1"/>
    <s v="Phone"/>
    <s v="Phone 5"/>
    <n v="6"/>
    <n v="27001.48"/>
    <s v="10 %"/>
    <x v="0"/>
    <x v="0"/>
  </r>
  <r>
    <s v="ORD1393"/>
    <x v="268"/>
    <x v="285"/>
    <s v="Rahul"/>
    <x v="2"/>
    <s v="Jaipur"/>
    <x v="0"/>
    <s v="Table"/>
    <s v="Table 15"/>
    <n v="2"/>
    <n v="4906.9799999999996"/>
    <n v="20"/>
    <x v="3"/>
    <x v="3"/>
  </r>
  <r>
    <s v="ORD1394"/>
    <x v="269"/>
    <x v="268"/>
    <s v="Arjun"/>
    <x v="1"/>
    <s v="Bengaluru"/>
    <x v="1"/>
    <s v="Laptop"/>
    <s v="Laptop 10"/>
    <n v="8"/>
    <n v="25063.99"/>
    <n v="0"/>
    <x v="3"/>
    <x v="3"/>
  </r>
  <r>
    <s v="ORD1395"/>
    <x v="270"/>
    <x v="135"/>
    <s v="Rahul"/>
    <x v="1"/>
    <s v="Mumbai"/>
    <x v="0"/>
    <s v="Table"/>
    <s v="Table 11"/>
    <n v="2"/>
    <n v="350.46"/>
    <n v="20"/>
    <x v="4"/>
    <x v="1"/>
  </r>
  <r>
    <s v="ORD1396"/>
    <x v="271"/>
    <x v="85"/>
    <s v="Neha"/>
    <x v="1"/>
    <s v="delhi "/>
    <x v="0"/>
    <s v="Chair"/>
    <s v="Chair 9"/>
    <n v="7"/>
    <n v="27752.84"/>
    <s v="10 %"/>
    <x v="2"/>
    <x v="0"/>
  </r>
  <r>
    <s v="ORD1397"/>
    <x v="272"/>
    <x v="286"/>
    <s v="Arjun"/>
    <x v="4"/>
    <s v="Jaipur"/>
    <x v="1"/>
    <s v="Laptop"/>
    <s v="Laptop 20"/>
    <n v="5"/>
    <n v="17628.66"/>
    <n v="10"/>
    <x v="5"/>
    <x v="0"/>
  </r>
  <r>
    <s v="ORD1398"/>
    <x v="236"/>
    <x v="64"/>
    <s v="Riya"/>
    <x v="0"/>
    <s v="Delhi"/>
    <x v="1"/>
    <s v="Phone"/>
    <s v="Phone 28"/>
    <n v="2"/>
    <n v="7682.89"/>
    <n v="10"/>
    <x v="2"/>
    <x v="2"/>
  </r>
  <r>
    <s v="ORD1399"/>
    <x v="273"/>
    <x v="287"/>
    <s v="Riya"/>
    <x v="1"/>
    <s v="Mumbai"/>
    <x v="3"/>
    <s v="Paper"/>
    <s v="Paper 17"/>
    <n v="8"/>
    <n v="13245.71"/>
    <n v="20"/>
    <x v="5"/>
    <x v="3"/>
  </r>
  <r>
    <s v="ORD1400"/>
    <x v="274"/>
    <x v="288"/>
    <s v="Karan"/>
    <x v="0"/>
    <s v="delhi "/>
    <x v="2"/>
    <s v="Phone"/>
    <s v="Phone 9"/>
    <n v="3"/>
    <n v="1791.74"/>
    <n v="20"/>
    <x v="3"/>
    <x v="3"/>
  </r>
  <r>
    <s v="ORD1402"/>
    <x v="92"/>
    <x v="289"/>
    <s v="Vikas"/>
    <x v="3"/>
    <s v="Delhi"/>
    <x v="1"/>
    <s v="Phone"/>
    <s v="Phone 18"/>
    <n v="8"/>
    <n v="20963.66"/>
    <n v="5"/>
    <x v="3"/>
    <x v="2"/>
  </r>
  <r>
    <s v="ORD1403"/>
    <x v="275"/>
    <x v="290"/>
    <s v="Vikas"/>
    <x v="2"/>
    <s v="Mumbai"/>
    <x v="1"/>
    <s v="Laptop"/>
    <s v="Laptop 6"/>
    <n v="10"/>
    <n v="7160.07"/>
    <n v="5"/>
    <x v="0"/>
    <x v="3"/>
  </r>
  <r>
    <s v="ORD1404"/>
    <x v="276"/>
    <x v="291"/>
    <s v="Rahul"/>
    <x v="1"/>
    <s v="delhi "/>
    <x v="1"/>
    <s v="Phone"/>
    <s v="Phone 28"/>
    <n v="3"/>
    <n v="672.05"/>
    <n v="10"/>
    <x v="2"/>
    <x v="3"/>
  </r>
  <r>
    <s v="ORD1406"/>
    <x v="277"/>
    <x v="292"/>
    <s v="Sneha"/>
    <x v="0"/>
    <s v="Pune"/>
    <x v="1"/>
    <s v="Laptop"/>
    <s v="Laptop 24"/>
    <n v="4"/>
    <n v="6342.34"/>
    <n v="5"/>
    <x v="4"/>
    <x v="0"/>
  </r>
  <r>
    <s v="ORD1407"/>
    <x v="278"/>
    <x v="293"/>
    <s v="Riya "/>
    <x v="1"/>
    <s v="delhi "/>
    <x v="3"/>
    <s v="Paper"/>
    <s v="Paper 29"/>
    <n v="1"/>
    <n v="3200.8"/>
    <n v="20"/>
    <x v="2"/>
    <x v="0"/>
  </r>
  <r>
    <s v="ORD1408"/>
    <x v="279"/>
    <x v="294"/>
    <s v="Amit"/>
    <x v="4"/>
    <s v="Mumbai"/>
    <x v="0"/>
    <s v="Table"/>
    <s v="Table 24"/>
    <n v="4"/>
    <n v="18442.84"/>
    <n v="20"/>
    <x v="2"/>
    <x v="0"/>
  </r>
  <r>
    <s v="ORD1409"/>
    <x v="280"/>
    <x v="295"/>
    <s v="Neha"/>
    <x v="3"/>
    <s v="Kolkata"/>
    <x v="2"/>
    <s v="Phone"/>
    <s v="Phone 15"/>
    <n v="2"/>
    <n v="7451.15"/>
    <n v="10"/>
    <x v="3"/>
    <x v="3"/>
  </r>
  <r>
    <s v="ORD1410"/>
    <x v="218"/>
    <x v="296"/>
    <s v="Amit"/>
    <x v="0"/>
    <s v="Kolkata"/>
    <x v="0"/>
    <s v="Chair"/>
    <s v="Chair 17"/>
    <n v="1"/>
    <n v="4776.92"/>
    <n v="5"/>
    <x v="1"/>
    <x v="0"/>
  </r>
  <r>
    <s v="ORD1411"/>
    <x v="281"/>
    <x v="297"/>
    <s v="Riya"/>
    <x v="0"/>
    <s v="Mumbai"/>
    <x v="1"/>
    <s v="Phone"/>
    <s v="Phone 5"/>
    <n v="2"/>
    <n v="4471.3999999999996"/>
    <n v="15"/>
    <x v="2"/>
    <x v="3"/>
  </r>
  <r>
    <s v="ORD1412"/>
    <x v="282"/>
    <x v="298"/>
    <s v="Neha"/>
    <x v="3"/>
    <s v="delhi "/>
    <x v="0"/>
    <s v="Table"/>
    <s v="Table 27"/>
    <n v="8"/>
    <n v="17592.689999999999"/>
    <n v="5"/>
    <x v="3"/>
    <x v="0"/>
  </r>
  <r>
    <s v="ORD1413"/>
    <x v="26"/>
    <x v="299"/>
    <s v="Neha "/>
    <x v="2"/>
    <s v="Mumbai"/>
    <x v="3"/>
    <s v="Paper"/>
    <s v="Paper 16"/>
    <n v="9"/>
    <n v="3461.23"/>
    <s v="10 %"/>
    <x v="5"/>
    <x v="0"/>
  </r>
  <r>
    <s v="ORD1414"/>
    <x v="283"/>
    <x v="0"/>
    <s v="Neha"/>
    <x v="0"/>
    <s v="Kolkata"/>
    <x v="3"/>
    <s v="Paper"/>
    <s v="Paper 21"/>
    <n v="5"/>
    <n v="21238.57"/>
    <n v="5"/>
    <x v="0"/>
    <x v="0"/>
  </r>
  <r>
    <s v="ORD1415"/>
    <x v="86"/>
    <x v="202"/>
    <s v="Sneha "/>
    <x v="3"/>
    <s v="Mumbai"/>
    <x v="1"/>
    <s v="Phone"/>
    <s v="Phone 23"/>
    <n v="10"/>
    <n v="27853.42"/>
    <n v="10"/>
    <x v="3"/>
    <x v="2"/>
  </r>
  <r>
    <s v="ORD1416"/>
    <x v="15"/>
    <x v="132"/>
    <s v="Neha"/>
    <x v="0"/>
    <s v="Mumbai"/>
    <x v="0"/>
    <s v="Chair"/>
    <s v="Chair 9"/>
    <n v="6"/>
    <n v="20930.45"/>
    <n v="0"/>
    <x v="0"/>
    <x v="2"/>
  </r>
  <r>
    <s v="ORD1417"/>
    <x v="284"/>
    <x v="287"/>
    <s v="Riya"/>
    <x v="0"/>
    <s v="Delhi"/>
    <x v="0"/>
    <s v="Table"/>
    <s v="Table 12"/>
    <n v="5"/>
    <n v="18684.990000000002"/>
    <n v="0"/>
    <x v="5"/>
    <x v="3"/>
  </r>
  <r>
    <s v="ORD1418"/>
    <x v="285"/>
    <x v="300"/>
    <s v="Anjali"/>
    <x v="2"/>
    <s v="Pune"/>
    <x v="2"/>
    <s v="Phone"/>
    <s v="Phone 27"/>
    <n v="8"/>
    <n v="32787.4"/>
    <n v="10"/>
    <x v="3"/>
    <x v="0"/>
  </r>
  <r>
    <s v="ORD1419"/>
    <x v="286"/>
    <x v="301"/>
    <s v="Sneha"/>
    <x v="4"/>
    <s v="Jaipur"/>
    <x v="1"/>
    <s v="Phone"/>
    <s v="Phone 7"/>
    <n v="2"/>
    <n v="4472.28"/>
    <n v="15"/>
    <x v="3"/>
    <x v="0"/>
  </r>
  <r>
    <s v="ORD1420"/>
    <x v="119"/>
    <x v="188"/>
    <s v="Anjali"/>
    <x v="4"/>
    <s v="delhi "/>
    <x v="0"/>
    <s v="Chair"/>
    <s v="Chair 19"/>
    <n v="1"/>
    <n v="4074.2"/>
    <n v="15"/>
    <x v="5"/>
    <x v="3"/>
  </r>
  <r>
    <s v="ORD1421"/>
    <x v="287"/>
    <x v="281"/>
    <s v="Sneha"/>
    <x v="2"/>
    <s v="Jaipur"/>
    <x v="0"/>
    <s v="Table"/>
    <s v="Table 1"/>
    <n v="6"/>
    <n v="16447.560000000001"/>
    <n v="10"/>
    <x v="2"/>
    <x v="0"/>
  </r>
  <r>
    <s v="ORD1422"/>
    <x v="288"/>
    <x v="302"/>
    <s v="Priya"/>
    <x v="3"/>
    <s v="Pune"/>
    <x v="1"/>
    <s v="Phone"/>
    <s v="Phone 10"/>
    <n v="3"/>
    <n v="3438.9"/>
    <s v="10 %"/>
    <x v="1"/>
    <x v="1"/>
  </r>
  <r>
    <s v="ORD1426"/>
    <x v="289"/>
    <x v="303"/>
    <s v="Sneha"/>
    <x v="1"/>
    <s v="Pune"/>
    <x v="2"/>
    <s v="Phone"/>
    <s v="Phone 9"/>
    <n v="5"/>
    <n v="22594.26"/>
    <n v="5"/>
    <x v="3"/>
    <x v="2"/>
  </r>
  <r>
    <s v="ORD1427"/>
    <x v="125"/>
    <x v="304"/>
    <s v="Sneha"/>
    <x v="1"/>
    <s v="Mumbai"/>
    <x v="0"/>
    <s v="Table"/>
    <s v="Table 19"/>
    <n v="4"/>
    <n v="14164.62"/>
    <s v="10 %"/>
    <x v="5"/>
    <x v="2"/>
  </r>
  <r>
    <s v="ORD1428"/>
    <x v="64"/>
    <x v="305"/>
    <s v="Karan"/>
    <x v="1"/>
    <s v="Jaipur"/>
    <x v="1"/>
    <s v="Laptop"/>
    <s v="Laptop 6"/>
    <n v="5"/>
    <n v="15478.01"/>
    <n v="20"/>
    <x v="5"/>
    <x v="3"/>
  </r>
  <r>
    <s v="ORD1429"/>
    <x v="282"/>
    <x v="306"/>
    <s v="Riya"/>
    <x v="1"/>
    <s v="Mumbai"/>
    <x v="1"/>
    <s v="Phone"/>
    <s v="Phone 27"/>
    <n v="9"/>
    <n v="22918.37"/>
    <n v="5"/>
    <x v="3"/>
    <x v="0"/>
  </r>
  <r>
    <s v="ORD1430"/>
    <x v="55"/>
    <x v="239"/>
    <s v="Amit"/>
    <x v="4"/>
    <s v="Jaipur"/>
    <x v="0"/>
    <s v="Table"/>
    <s v="Table 5"/>
    <n v="9"/>
    <n v="20668.93"/>
    <n v="5"/>
    <x v="4"/>
    <x v="0"/>
  </r>
  <r>
    <s v="ORD1431"/>
    <x v="88"/>
    <x v="307"/>
    <s v="Karan"/>
    <x v="0"/>
    <s v="Delhi"/>
    <x v="1"/>
    <s v="Phone"/>
    <s v="Phone 5"/>
    <n v="4"/>
    <n v="2324.5700000000002"/>
    <n v="15"/>
    <x v="0"/>
    <x v="0"/>
  </r>
  <r>
    <s v="ORD1432"/>
    <x v="290"/>
    <x v="308"/>
    <s v="Vikas"/>
    <x v="0"/>
    <s v="Kolkata"/>
    <x v="0"/>
    <s v="Table"/>
    <s v="Table 20"/>
    <n v="6"/>
    <n v="10564.27"/>
    <n v="15"/>
    <x v="3"/>
    <x v="3"/>
  </r>
  <r>
    <s v="ORD1433"/>
    <x v="291"/>
    <x v="309"/>
    <s v="Vikas"/>
    <x v="3"/>
    <s v="Pune"/>
    <x v="1"/>
    <s v="Phone"/>
    <s v="Phone 25"/>
    <n v="7"/>
    <n v="4921.33"/>
    <n v="10"/>
    <x v="1"/>
    <x v="3"/>
  </r>
  <r>
    <s v="ORD1434"/>
    <x v="292"/>
    <x v="310"/>
    <s v="Riya"/>
    <x v="0"/>
    <s v="Bengaluru"/>
    <x v="3"/>
    <s v="Paper"/>
    <s v="Paper 3"/>
    <n v="1"/>
    <n v="3590.92"/>
    <n v="15"/>
    <x v="1"/>
    <x v="3"/>
  </r>
  <r>
    <s v="ORD1435"/>
    <x v="293"/>
    <x v="89"/>
    <s v="Vikas"/>
    <x v="0"/>
    <s v="Delhi"/>
    <x v="0"/>
    <s v="Chair"/>
    <s v="Chair 24"/>
    <n v="5"/>
    <n v="22235.1"/>
    <s v="10 %"/>
    <x v="1"/>
    <x v="0"/>
  </r>
  <r>
    <s v="ORD1436"/>
    <x v="294"/>
    <x v="245"/>
    <s v="Rahul"/>
    <x v="2"/>
    <s v="Mumbai"/>
    <x v="0"/>
    <s v="Chair"/>
    <s v="Chair 15"/>
    <n v="5"/>
    <n v="19751.78"/>
    <s v="10 %"/>
    <x v="1"/>
    <x v="1"/>
  </r>
  <r>
    <s v="ORD1437"/>
    <x v="295"/>
    <x v="311"/>
    <s v="Sneha"/>
    <x v="4"/>
    <s v="delhi "/>
    <x v="2"/>
    <s v="Phone"/>
    <s v="Phone 27"/>
    <n v="5"/>
    <n v="3252.47"/>
    <n v="10"/>
    <x v="2"/>
    <x v="2"/>
  </r>
  <r>
    <s v="ORD1438"/>
    <x v="296"/>
    <x v="312"/>
    <s v="Neha "/>
    <x v="0"/>
    <s v="delhi "/>
    <x v="2"/>
    <s v="Phone"/>
    <s v="Phone 21"/>
    <n v="3"/>
    <n v="11667.77"/>
    <n v="15"/>
    <x v="5"/>
    <x v="0"/>
  </r>
  <r>
    <s v="ORD1440"/>
    <x v="297"/>
    <x v="313"/>
    <s v="Vikas"/>
    <x v="0"/>
    <s v="Delhi"/>
    <x v="0"/>
    <s v="Table"/>
    <s v="Table 13"/>
    <n v="5"/>
    <n v="15428.51"/>
    <n v="20"/>
    <x v="4"/>
    <x v="1"/>
  </r>
  <r>
    <s v="ORD1441"/>
    <x v="298"/>
    <x v="298"/>
    <s v="Arjun"/>
    <x v="4"/>
    <s v="Kolkata"/>
    <x v="2"/>
    <s v="Phone"/>
    <s v="Phone 9"/>
    <n v="4"/>
    <n v="2867.42"/>
    <n v="15"/>
    <x v="2"/>
    <x v="0"/>
  </r>
  <r>
    <s v="ORD1442"/>
    <x v="248"/>
    <x v="314"/>
    <s v="Vikas"/>
    <x v="3"/>
    <s v="Kolkata"/>
    <x v="1"/>
    <s v="Phone"/>
    <s v="Phone 16"/>
    <n v="1"/>
    <n v="3735.5"/>
    <n v="20"/>
    <x v="2"/>
    <x v="0"/>
  </r>
  <r>
    <s v="ORD1443"/>
    <x v="39"/>
    <x v="315"/>
    <s v="Karan"/>
    <x v="2"/>
    <s v="Delhi"/>
    <x v="2"/>
    <s v="Phone"/>
    <s v="Phone 3"/>
    <n v="10"/>
    <n v="46721.9"/>
    <s v="10 %"/>
    <x v="0"/>
    <x v="0"/>
  </r>
  <r>
    <s v="ORD1444"/>
    <x v="299"/>
    <x v="234"/>
    <s v="Amit "/>
    <x v="4"/>
    <s v="Bengaluru"/>
    <x v="2"/>
    <s v="Phone"/>
    <s v="Phone 18"/>
    <n v="3"/>
    <n v="2589.9699999999998"/>
    <n v="15"/>
    <x v="0"/>
    <x v="0"/>
  </r>
  <r>
    <s v="ORD1445"/>
    <x v="300"/>
    <x v="316"/>
    <s v="Rahul"/>
    <x v="0"/>
    <s v="Delhi"/>
    <x v="3"/>
    <s v="Paper"/>
    <s v="Paper 23"/>
    <n v="3"/>
    <n v="4970.66"/>
    <n v="5"/>
    <x v="5"/>
    <x v="2"/>
  </r>
  <r>
    <s v="ORD1447"/>
    <x v="172"/>
    <x v="317"/>
    <s v="Rahul"/>
    <x v="2"/>
    <s v="Jaipur"/>
    <x v="3"/>
    <s v="Paper"/>
    <s v="Paper 30"/>
    <n v="3"/>
    <n v="13169.17"/>
    <s v="10 %"/>
    <x v="2"/>
    <x v="3"/>
  </r>
  <r>
    <s v="ORD1449"/>
    <x v="301"/>
    <x v="318"/>
    <s v="Amit"/>
    <x v="3"/>
    <s v="Mumbai"/>
    <x v="1"/>
    <s v="Phone"/>
    <s v="Phone 4"/>
    <n v="1"/>
    <n v="2029.61"/>
    <n v="20"/>
    <x v="3"/>
    <x v="3"/>
  </r>
  <r>
    <s v="ORD1450"/>
    <x v="238"/>
    <x v="319"/>
    <s v="Karan"/>
    <x v="1"/>
    <s v="Pune"/>
    <x v="0"/>
    <s v="Chair"/>
    <s v="Chair 15"/>
    <n v="3"/>
    <n v="6370.82"/>
    <n v="20"/>
    <x v="4"/>
    <x v="0"/>
  </r>
  <r>
    <s v="ORD1451"/>
    <x v="302"/>
    <x v="320"/>
    <s v="Karan"/>
    <x v="0"/>
    <s v="Bengaluru"/>
    <x v="0"/>
    <s v="Table"/>
    <s v="Table 17"/>
    <n v="2"/>
    <n v="5689.68"/>
    <n v="20"/>
    <x v="5"/>
    <x v="1"/>
  </r>
  <r>
    <s v="ORD1453"/>
    <x v="303"/>
    <x v="321"/>
    <s v="Neha"/>
    <x v="4"/>
    <s v="Jaipur"/>
    <x v="2"/>
    <s v="Phone"/>
    <s v="Phone 22"/>
    <n v="10"/>
    <n v="47812.46"/>
    <s v="10 %"/>
    <x v="5"/>
    <x v="1"/>
  </r>
  <r>
    <s v="ORD1454"/>
    <x v="304"/>
    <x v="68"/>
    <s v="Amit"/>
    <x v="0"/>
    <s v="Jaipur"/>
    <x v="0"/>
    <s v="Chair"/>
    <s v="Chair 26"/>
    <n v="2"/>
    <n v="1960.2"/>
    <n v="15"/>
    <x v="4"/>
    <x v="1"/>
  </r>
  <r>
    <s v="ORD1455"/>
    <x v="305"/>
    <x v="322"/>
    <s v="Sneha"/>
    <x v="3"/>
    <s v="Delhi"/>
    <x v="3"/>
    <s v="Paper"/>
    <s v="Paper 5"/>
    <n v="9"/>
    <n v="22114.93"/>
    <n v="15"/>
    <x v="2"/>
    <x v="2"/>
  </r>
  <r>
    <s v="ORD1456"/>
    <x v="306"/>
    <x v="124"/>
    <s v="Neha"/>
    <x v="2"/>
    <s v="Bengaluru"/>
    <x v="1"/>
    <s v="Laptop"/>
    <s v="Laptop 22"/>
    <n v="9"/>
    <n v="40143.129999999997"/>
    <n v="10"/>
    <x v="3"/>
    <x v="3"/>
  </r>
  <r>
    <s v="ORD1458"/>
    <x v="235"/>
    <x v="323"/>
    <s v="Neha"/>
    <x v="3"/>
    <s v="Jaipur"/>
    <x v="2"/>
    <s v="Phone"/>
    <s v="Phone 25"/>
    <n v="5"/>
    <n v="3636"/>
    <n v="0"/>
    <x v="1"/>
    <x v="3"/>
  </r>
  <r>
    <s v="ORD1459"/>
    <x v="63"/>
    <x v="324"/>
    <s v="Rahul"/>
    <x v="2"/>
    <s v="Kolkata"/>
    <x v="3"/>
    <s v="Paper"/>
    <s v="Paper 8"/>
    <n v="1"/>
    <n v="1263.25"/>
    <n v="5"/>
    <x v="4"/>
    <x v="1"/>
  </r>
  <r>
    <s v="ORD1462"/>
    <x v="307"/>
    <x v="325"/>
    <s v="Neha"/>
    <x v="2"/>
    <s v="delhi "/>
    <x v="1"/>
    <s v="Phone"/>
    <s v="Phone 14"/>
    <n v="10"/>
    <n v="34040.82"/>
    <n v="10"/>
    <x v="0"/>
    <x v="3"/>
  </r>
  <r>
    <s v="ORD1463"/>
    <x v="139"/>
    <x v="326"/>
    <s v="Karan"/>
    <x v="1"/>
    <s v="delhi "/>
    <x v="0"/>
    <s v="Chair"/>
    <s v="Chair 4"/>
    <n v="1"/>
    <n v="4837.17"/>
    <n v="15"/>
    <x v="2"/>
    <x v="1"/>
  </r>
  <r>
    <s v="ORD1464"/>
    <x v="308"/>
    <x v="327"/>
    <s v="Anjali"/>
    <x v="3"/>
    <s v="Mumbai"/>
    <x v="1"/>
    <s v="Phone"/>
    <s v="Phone 10"/>
    <n v="4"/>
    <n v="18701.53"/>
    <n v="5"/>
    <x v="1"/>
    <x v="0"/>
  </r>
  <r>
    <s v="ORD1466"/>
    <x v="309"/>
    <x v="94"/>
    <s v="Rahul "/>
    <x v="3"/>
    <s v="Delhi"/>
    <x v="1"/>
    <s v="Laptop"/>
    <s v="Laptop 27"/>
    <n v="6"/>
    <n v="22493.55"/>
    <s v="10 %"/>
    <x v="1"/>
    <x v="3"/>
  </r>
  <r>
    <s v="ORD1467"/>
    <x v="310"/>
    <x v="328"/>
    <s v="Priya"/>
    <x v="1"/>
    <s v="Delhi"/>
    <x v="1"/>
    <s v="Laptop"/>
    <s v="Laptop 16"/>
    <n v="8"/>
    <n v="30412.33"/>
    <n v="10"/>
    <x v="5"/>
    <x v="3"/>
  </r>
  <r>
    <s v="ORD1468"/>
    <x v="311"/>
    <x v="108"/>
    <s v="Neha"/>
    <x v="0"/>
    <s v="Jaipur"/>
    <x v="3"/>
    <s v="Paper"/>
    <s v="Paper 29"/>
    <n v="1"/>
    <n v="3079.84"/>
    <s v="10 %"/>
    <x v="4"/>
    <x v="2"/>
  </r>
  <r>
    <s v="ORD1469"/>
    <x v="312"/>
    <x v="329"/>
    <s v="Riya"/>
    <x v="0"/>
    <s v="Pune"/>
    <x v="0"/>
    <s v="Table"/>
    <s v="Table 27"/>
    <n v="5"/>
    <n v="24147.94"/>
    <s v="10 %"/>
    <x v="2"/>
    <x v="3"/>
  </r>
  <r>
    <s v="ORD1470"/>
    <x v="76"/>
    <x v="330"/>
    <s v="Amit"/>
    <x v="0"/>
    <s v="Kolkata"/>
    <x v="0"/>
    <s v="Table"/>
    <s v="Table 9"/>
    <n v="10"/>
    <n v="21156.23"/>
    <n v="15"/>
    <x v="4"/>
    <x v="1"/>
  </r>
  <r>
    <s v="ORD1471"/>
    <x v="256"/>
    <x v="331"/>
    <s v="Rahul"/>
    <x v="0"/>
    <s v="Kolkata"/>
    <x v="0"/>
    <s v="Table"/>
    <s v="Table 30"/>
    <n v="4"/>
    <n v="6681.67"/>
    <n v="15"/>
    <x v="4"/>
    <x v="3"/>
  </r>
  <r>
    <s v="ORD1472"/>
    <x v="277"/>
    <x v="259"/>
    <s v="Priya"/>
    <x v="0"/>
    <s v="Pune"/>
    <x v="2"/>
    <s v="Phone"/>
    <s v="Phone 2"/>
    <n v="2"/>
    <n v="2058.86"/>
    <n v="5"/>
    <x v="1"/>
    <x v="1"/>
  </r>
  <r>
    <s v="ORD1473"/>
    <x v="313"/>
    <x v="332"/>
    <s v="Rahul"/>
    <x v="1"/>
    <s v="Mumbai"/>
    <x v="0"/>
    <s v="Chair"/>
    <s v="Chair 18"/>
    <n v="9"/>
    <n v="3015.73"/>
    <n v="15"/>
    <x v="0"/>
    <x v="1"/>
  </r>
  <r>
    <s v="ORD1474"/>
    <x v="314"/>
    <x v="333"/>
    <s v="Anjali"/>
    <x v="0"/>
    <s v="Kolkata"/>
    <x v="2"/>
    <s v="Phone"/>
    <s v="Phone 7"/>
    <n v="5"/>
    <n v="1584.43"/>
    <s v="10 %"/>
    <x v="0"/>
    <x v="0"/>
  </r>
  <r>
    <s v="ORD1475"/>
    <x v="190"/>
    <x v="334"/>
    <s v="Anjali"/>
    <x v="0"/>
    <s v="Bengaluru"/>
    <x v="0"/>
    <s v="Table"/>
    <s v="Table 3"/>
    <n v="6"/>
    <n v="9037.94"/>
    <n v="15"/>
    <x v="4"/>
    <x v="0"/>
  </r>
  <r>
    <s v="ORD1477"/>
    <x v="29"/>
    <x v="335"/>
    <s v="Karan"/>
    <x v="0"/>
    <s v="Pune"/>
    <x v="0"/>
    <s v="Chair"/>
    <s v="Chair 15"/>
    <n v="2"/>
    <n v="6103.31"/>
    <n v="15"/>
    <x v="2"/>
    <x v="2"/>
  </r>
  <r>
    <s v="ORD1478"/>
    <x v="150"/>
    <x v="336"/>
    <s v="Neha"/>
    <x v="1"/>
    <s v="Pune"/>
    <x v="1"/>
    <s v="Phone"/>
    <s v="Phone 23"/>
    <n v="1"/>
    <n v="640.91999999999996"/>
    <n v="15"/>
    <x v="4"/>
    <x v="2"/>
  </r>
  <r>
    <s v="ORD1479"/>
    <x v="315"/>
    <x v="319"/>
    <s v="Neha"/>
    <x v="2"/>
    <s v="Pune"/>
    <x v="3"/>
    <s v="Paper"/>
    <s v="Paper 7"/>
    <n v="7"/>
    <n v="1470.7"/>
    <s v="10 %"/>
    <x v="2"/>
    <x v="1"/>
  </r>
  <r>
    <s v="ORD1481"/>
    <x v="269"/>
    <x v="337"/>
    <s v="Riya"/>
    <x v="1"/>
    <s v="Delhi"/>
    <x v="3"/>
    <s v="Paper"/>
    <s v="Paper 2"/>
    <n v="5"/>
    <n v="14228.27"/>
    <n v="10"/>
    <x v="2"/>
    <x v="0"/>
  </r>
  <r>
    <s v="ORD1482"/>
    <x v="316"/>
    <x v="270"/>
    <s v="Rahul"/>
    <x v="0"/>
    <s v="delhi "/>
    <x v="0"/>
    <s v="Chair"/>
    <s v="Chair 4"/>
    <n v="3"/>
    <n v="13548.84"/>
    <s v="10 %"/>
    <x v="0"/>
    <x v="3"/>
  </r>
  <r>
    <s v="ORD1483"/>
    <x v="240"/>
    <x v="338"/>
    <s v="Sneha"/>
    <x v="0"/>
    <s v="delhi "/>
    <x v="2"/>
    <s v="Phone"/>
    <s v="Phone 22"/>
    <n v="-10"/>
    <n v="12879.64"/>
    <s v="10 %"/>
    <x v="3"/>
    <x v="3"/>
  </r>
  <r>
    <s v="ORD1484"/>
    <x v="212"/>
    <x v="287"/>
    <s v="Rahul"/>
    <x v="0"/>
    <s v="Mumbai"/>
    <x v="2"/>
    <s v="Phone"/>
    <s v="Phone 27"/>
    <n v="10"/>
    <n v="19317.7"/>
    <n v="20"/>
    <x v="4"/>
    <x v="3"/>
  </r>
  <r>
    <s v="ORD1485"/>
    <x v="308"/>
    <x v="339"/>
    <s v="Vikas"/>
    <x v="0"/>
    <s v="Bengaluru"/>
    <x v="0"/>
    <s v="Chair"/>
    <s v="Chair 21"/>
    <n v="7"/>
    <n v="27173.03"/>
    <n v="5"/>
    <x v="4"/>
    <x v="3"/>
  </r>
  <r>
    <s v="ORD1486"/>
    <x v="168"/>
    <x v="242"/>
    <s v="Anjali"/>
    <x v="2"/>
    <s v="Mumbai"/>
    <x v="0"/>
    <s v="Chair"/>
    <s v="Chair 2"/>
    <n v="10"/>
    <n v="30197.7"/>
    <n v="10"/>
    <x v="0"/>
    <x v="3"/>
  </r>
  <r>
    <s v="ORD1487"/>
    <x v="146"/>
    <x v="340"/>
    <s v="Arjun"/>
    <x v="4"/>
    <s v="Delhi"/>
    <x v="1"/>
    <s v="Laptop"/>
    <s v="Laptop 14"/>
    <n v="9"/>
    <n v="17902.009999999998"/>
    <n v="10"/>
    <x v="2"/>
    <x v="1"/>
  </r>
  <r>
    <s v="ORD1488"/>
    <x v="317"/>
    <x v="336"/>
    <s v="Karan"/>
    <x v="0"/>
    <s v="Pune"/>
    <x v="2"/>
    <s v="Phone"/>
    <s v="Phone 9"/>
    <n v="2"/>
    <n v="9029.43"/>
    <n v="5"/>
    <x v="1"/>
    <x v="3"/>
  </r>
  <r>
    <s v="ORD1489"/>
    <x v="56"/>
    <x v="341"/>
    <s v="Karan"/>
    <x v="2"/>
    <s v="delhi "/>
    <x v="1"/>
    <s v="Phone"/>
    <s v="Phone 8"/>
    <n v="4"/>
    <n v="10760.53"/>
    <s v="10 %"/>
    <x v="1"/>
    <x v="3"/>
  </r>
  <r>
    <s v="ORD1490"/>
    <x v="9"/>
    <x v="342"/>
    <s v="Neha"/>
    <x v="0"/>
    <s v="Pune"/>
    <x v="0"/>
    <s v="Chair"/>
    <s v="Chair 1"/>
    <n v="8"/>
    <n v="34130.120000000003"/>
    <n v="15"/>
    <x v="4"/>
    <x v="3"/>
  </r>
  <r>
    <s v="ORD1491"/>
    <x v="318"/>
    <x v="97"/>
    <s v="Amit"/>
    <x v="1"/>
    <s v="Pune"/>
    <x v="1"/>
    <s v="Laptop"/>
    <s v="Laptop 26"/>
    <n v="10"/>
    <n v="29720.28"/>
    <n v="5"/>
    <x v="4"/>
    <x v="3"/>
  </r>
  <r>
    <s v="ORD1492"/>
    <x v="93"/>
    <x v="343"/>
    <s v="Amit"/>
    <x v="4"/>
    <s v="Pune"/>
    <x v="1"/>
    <s v="Phone"/>
    <s v="Phone 27"/>
    <n v="2"/>
    <n v="4582.18"/>
    <s v="10 %"/>
    <x v="3"/>
    <x v="2"/>
  </r>
  <r>
    <s v="ORD1493"/>
    <x v="319"/>
    <x v="344"/>
    <s v="Vikas"/>
    <x v="3"/>
    <s v="Pune"/>
    <x v="0"/>
    <s v="Table"/>
    <s v="Table 7"/>
    <n v="7"/>
    <n v="33637.86"/>
    <n v="15"/>
    <x v="5"/>
    <x v="0"/>
  </r>
  <r>
    <s v="ORD1494"/>
    <x v="320"/>
    <x v="345"/>
    <s v="Rahul"/>
    <x v="0"/>
    <s v="Kolkata"/>
    <x v="0"/>
    <s v="Chair"/>
    <s v="Chair 1"/>
    <n v="4"/>
    <n v="6575.14"/>
    <n v="15"/>
    <x v="3"/>
    <x v="0"/>
  </r>
  <r>
    <s v="ORD1495"/>
    <x v="321"/>
    <x v="208"/>
    <s v="Arjun"/>
    <x v="2"/>
    <s v="Pune"/>
    <x v="1"/>
    <s v="Phone"/>
    <s v="Phone 4"/>
    <n v="4"/>
    <n v="19776.73"/>
    <n v="0"/>
    <x v="4"/>
    <x v="0"/>
  </r>
  <r>
    <s v="ORD1496"/>
    <x v="322"/>
    <x v="208"/>
    <s v="Karan"/>
    <x v="4"/>
    <s v="delhi "/>
    <x v="1"/>
    <s v="Laptop"/>
    <s v="Laptop 5"/>
    <n v="1"/>
    <n v="4401.04"/>
    <n v="0"/>
    <x v="4"/>
    <x v="3"/>
  </r>
  <r>
    <s v="ORD1498"/>
    <x v="323"/>
    <x v="346"/>
    <s v="Vikas"/>
    <x v="4"/>
    <s v="Pune"/>
    <x v="3"/>
    <s v="Paper"/>
    <s v="Paper 23"/>
    <n v="5"/>
    <n v="13812.07"/>
    <s v="10 %"/>
    <x v="5"/>
    <x v="0"/>
  </r>
  <r>
    <s v="ORD1499"/>
    <x v="100"/>
    <x v="347"/>
    <s v="Vikas"/>
    <x v="2"/>
    <s v="Pune"/>
    <x v="0"/>
    <s v="Chair"/>
    <s v="Chair 8"/>
    <n v="7"/>
    <n v="26688.95"/>
    <n v="5"/>
    <x v="5"/>
    <x v="3"/>
  </r>
  <r>
    <s v="ORD1500"/>
    <x v="324"/>
    <x v="348"/>
    <s v="Riya"/>
    <x v="2"/>
    <s v="Pune"/>
    <x v="0"/>
    <s v="Chair"/>
    <s v="Chair 12"/>
    <n v="8"/>
    <n v="13273.38"/>
    <n v="10"/>
    <x v="5"/>
    <x v="1"/>
  </r>
  <r>
    <s v="ORD1502"/>
    <x v="325"/>
    <x v="349"/>
    <s v="Rahul"/>
    <x v="0"/>
    <s v="Pune"/>
    <x v="3"/>
    <s v="Paper"/>
    <s v="Paper 24"/>
    <n v="3"/>
    <n v="12256.5"/>
    <s v="10 %"/>
    <x v="2"/>
    <x v="3"/>
  </r>
  <r>
    <s v="ORD1503"/>
    <x v="326"/>
    <x v="350"/>
    <s v="Priya"/>
    <x v="3"/>
    <s v="Kolkata"/>
    <x v="1"/>
    <s v="Laptop"/>
    <s v="Laptop 5"/>
    <n v="7"/>
    <n v="17861.12"/>
    <n v="0"/>
    <x v="4"/>
    <x v="3"/>
  </r>
  <r>
    <s v="ORD1504"/>
    <x v="327"/>
    <x v="160"/>
    <s v="Arjun"/>
    <x v="4"/>
    <s v="Pune"/>
    <x v="2"/>
    <s v="Phone"/>
    <s v="Phone 14"/>
    <n v="7"/>
    <n v="10486.83"/>
    <n v="15"/>
    <x v="0"/>
    <x v="2"/>
  </r>
  <r>
    <s v="ORD1505"/>
    <x v="328"/>
    <x v="351"/>
    <s v="Vikas"/>
    <x v="4"/>
    <s v="Jaipur"/>
    <x v="2"/>
    <s v="Phone"/>
    <s v="Phone 4"/>
    <n v="4"/>
    <n v="15611.71"/>
    <s v="10 %"/>
    <x v="1"/>
    <x v="3"/>
  </r>
  <r>
    <s v="ORD1507"/>
    <x v="329"/>
    <x v="352"/>
    <s v="Arjun"/>
    <x v="0"/>
    <s v="Kolkata"/>
    <x v="0"/>
    <s v="Table"/>
    <s v="Table 17"/>
    <n v="7"/>
    <n v="26224.86"/>
    <n v="20"/>
    <x v="3"/>
    <x v="2"/>
  </r>
  <r>
    <s v="ORD1508"/>
    <x v="296"/>
    <x v="353"/>
    <s v="Vikas"/>
    <x v="3"/>
    <s v="Delhi"/>
    <x v="0"/>
    <s v="Table"/>
    <s v="Table 30"/>
    <n v="1"/>
    <n v="1097.3599999999999"/>
    <n v="10"/>
    <x v="3"/>
    <x v="3"/>
  </r>
  <r>
    <s v="ORD1509"/>
    <x v="330"/>
    <x v="111"/>
    <s v="Sneha"/>
    <x v="1"/>
    <s v="Delhi"/>
    <x v="0"/>
    <s v="Table"/>
    <s v="Table 30"/>
    <n v="1"/>
    <n v="1629.58"/>
    <n v="5"/>
    <x v="4"/>
    <x v="1"/>
  </r>
  <r>
    <s v="ORD1510"/>
    <x v="331"/>
    <x v="157"/>
    <s v="Sneha"/>
    <x v="2"/>
    <s v="Delhi"/>
    <x v="1"/>
    <s v="Laptop"/>
    <s v="Laptop 12"/>
    <n v="3"/>
    <n v="3386.76"/>
    <n v="0"/>
    <x v="1"/>
    <x v="0"/>
  </r>
  <r>
    <s v="ORD1511"/>
    <x v="213"/>
    <x v="246"/>
    <s v="Priya"/>
    <x v="0"/>
    <s v="Delhi"/>
    <x v="0"/>
    <s v="Chair"/>
    <s v="Chair 10"/>
    <n v="10"/>
    <n v="46749.57"/>
    <n v="5"/>
    <x v="4"/>
    <x v="0"/>
  </r>
  <r>
    <s v="ORD1512"/>
    <x v="332"/>
    <x v="124"/>
    <s v="Sneha"/>
    <x v="2"/>
    <s v="Mumbai"/>
    <x v="3"/>
    <s v="Paper"/>
    <s v="Paper 11"/>
    <n v="3"/>
    <n v="1532.73"/>
    <s v="10 %"/>
    <x v="0"/>
    <x v="0"/>
  </r>
  <r>
    <s v="ORD1513"/>
    <x v="175"/>
    <x v="354"/>
    <s v="Karan"/>
    <x v="0"/>
    <s v="Kolkata"/>
    <x v="1"/>
    <s v="Laptop"/>
    <s v="Laptop 25"/>
    <n v="7"/>
    <n v="34769.620000000003"/>
    <n v="5"/>
    <x v="3"/>
    <x v="0"/>
  </r>
  <r>
    <s v="ORD1514"/>
    <x v="163"/>
    <x v="355"/>
    <s v="Amit"/>
    <x v="3"/>
    <s v="Pune"/>
    <x v="3"/>
    <s v="Paper"/>
    <s v="Paper 10"/>
    <n v="10"/>
    <n v="49320.9"/>
    <n v="5"/>
    <x v="0"/>
    <x v="1"/>
  </r>
  <r>
    <s v="ORD1516"/>
    <x v="333"/>
    <x v="356"/>
    <s v="Priya"/>
    <x v="1"/>
    <s v="delhi "/>
    <x v="1"/>
    <s v="Phone"/>
    <s v="Phone 16"/>
    <n v="1"/>
    <n v="1361.64"/>
    <n v="5"/>
    <x v="3"/>
    <x v="3"/>
  </r>
  <r>
    <s v="ORD1517"/>
    <x v="334"/>
    <x v="357"/>
    <s v="Sneha"/>
    <x v="0"/>
    <s v="Kolkata"/>
    <x v="2"/>
    <s v="Phone"/>
    <s v="Phone 10"/>
    <n v="3"/>
    <n v="5139.99"/>
    <n v="20"/>
    <x v="5"/>
    <x v="3"/>
  </r>
  <r>
    <s v="ORD1518"/>
    <x v="7"/>
    <x v="358"/>
    <s v="Karan"/>
    <x v="4"/>
    <s v="Delhi"/>
    <x v="3"/>
    <s v="Paper"/>
    <s v="Paper 14"/>
    <n v="7"/>
    <n v="1965.5"/>
    <s v="10 %"/>
    <x v="4"/>
    <x v="0"/>
  </r>
  <r>
    <s v="ORD1519"/>
    <x v="86"/>
    <x v="359"/>
    <s v="Rahul"/>
    <x v="2"/>
    <s v="Mumbai"/>
    <x v="1"/>
    <s v="Laptop"/>
    <s v="Laptop 25"/>
    <n v="2"/>
    <n v="7159.18"/>
    <n v="20"/>
    <x v="3"/>
    <x v="0"/>
  </r>
  <r>
    <s v="ORD1520"/>
    <x v="335"/>
    <x v="93"/>
    <s v="Sneha"/>
    <x v="4"/>
    <s v="Bengaluru"/>
    <x v="1"/>
    <s v="Phone"/>
    <s v="Phone 4"/>
    <n v="1"/>
    <n v="3127.09"/>
    <n v="20"/>
    <x v="3"/>
    <x v="0"/>
  </r>
  <r>
    <s v="ORD1521"/>
    <x v="336"/>
    <x v="360"/>
    <s v="Vikas "/>
    <x v="4"/>
    <s v="delhi "/>
    <x v="0"/>
    <s v="Table"/>
    <s v="Table 16"/>
    <n v="3"/>
    <n v="3601.17"/>
    <n v="20"/>
    <x v="3"/>
    <x v="1"/>
  </r>
  <r>
    <s v="ORD1522"/>
    <x v="337"/>
    <x v="361"/>
    <s v="Arjun"/>
    <x v="1"/>
    <s v="Mumbai"/>
    <x v="3"/>
    <s v="Paper"/>
    <s v="Paper 12"/>
    <n v="10"/>
    <n v="27760.01"/>
    <n v="10"/>
    <x v="4"/>
    <x v="0"/>
  </r>
  <r>
    <s v="ORD1523"/>
    <x v="131"/>
    <x v="362"/>
    <s v="Amit"/>
    <x v="3"/>
    <s v="Pune"/>
    <x v="0"/>
    <s v="Chair"/>
    <s v="Chair 1"/>
    <n v="8"/>
    <n v="14787.41"/>
    <s v="10 %"/>
    <x v="3"/>
    <x v="0"/>
  </r>
  <r>
    <s v="ORD1524"/>
    <x v="338"/>
    <x v="363"/>
    <s v="Rahul"/>
    <x v="4"/>
    <s v="delhi "/>
    <x v="2"/>
    <s v="Phone"/>
    <s v="Phone 10"/>
    <n v="9"/>
    <n v="27556.06"/>
    <n v="0"/>
    <x v="0"/>
    <x v="3"/>
  </r>
  <r>
    <s v="ORD1526"/>
    <x v="339"/>
    <x v="364"/>
    <s v="Arjun"/>
    <x v="4"/>
    <s v="Mumbai"/>
    <x v="0"/>
    <s v="Table"/>
    <s v="Table 21"/>
    <n v="5"/>
    <n v="4944.21"/>
    <s v="10 %"/>
    <x v="1"/>
    <x v="3"/>
  </r>
  <r>
    <s v="ORD1527"/>
    <x v="72"/>
    <x v="45"/>
    <s v="Karan"/>
    <x v="2"/>
    <s v="Bengaluru"/>
    <x v="1"/>
    <s v="Laptop"/>
    <s v="Laptop 23"/>
    <n v="9"/>
    <n v="11830.34"/>
    <n v="10"/>
    <x v="3"/>
    <x v="3"/>
  </r>
  <r>
    <s v="ORD1529"/>
    <x v="340"/>
    <x v="365"/>
    <s v="Rahul"/>
    <x v="1"/>
    <s v="Pune"/>
    <x v="2"/>
    <s v="Phone"/>
    <s v="Phone 16"/>
    <n v="9"/>
    <n v="40136.86"/>
    <n v="5"/>
    <x v="4"/>
    <x v="3"/>
  </r>
  <r>
    <s v="ORD1530"/>
    <x v="235"/>
    <x v="366"/>
    <s v="Neha"/>
    <x v="2"/>
    <s v="Pune"/>
    <x v="1"/>
    <s v="Phone"/>
    <s v="Phone 3"/>
    <n v="10"/>
    <n v="40211.410000000003"/>
    <n v="20"/>
    <x v="4"/>
    <x v="2"/>
  </r>
  <r>
    <s v="ORD1531"/>
    <x v="244"/>
    <x v="259"/>
    <s v="Priya"/>
    <x v="3"/>
    <s v="Pune"/>
    <x v="3"/>
    <s v="Paper"/>
    <s v="Paper 21"/>
    <n v="7"/>
    <n v="15425.21"/>
    <n v="10"/>
    <x v="4"/>
    <x v="3"/>
  </r>
  <r>
    <s v="ORD1532"/>
    <x v="341"/>
    <x v="367"/>
    <s v="Riya"/>
    <x v="2"/>
    <s v="delhi "/>
    <x v="0"/>
    <s v="Table"/>
    <s v="Table 23"/>
    <n v="8"/>
    <n v="30439.55"/>
    <n v="0"/>
    <x v="5"/>
    <x v="1"/>
  </r>
  <r>
    <s v="ORD1533"/>
    <x v="216"/>
    <x v="368"/>
    <s v="Vikas"/>
    <x v="0"/>
    <s v="Mumbai"/>
    <x v="0"/>
    <s v="Chair"/>
    <s v="Chair 7"/>
    <n v="3"/>
    <n v="6630.97"/>
    <n v="5"/>
    <x v="2"/>
    <x v="3"/>
  </r>
  <r>
    <s v="ORD1534"/>
    <x v="342"/>
    <x v="136"/>
    <s v="Anjali"/>
    <x v="3"/>
    <s v="Jaipur"/>
    <x v="2"/>
    <s v="Phone"/>
    <s v="Phone 3"/>
    <n v="1"/>
    <n v="2671.35"/>
    <s v="10 %"/>
    <x v="1"/>
    <x v="3"/>
  </r>
  <r>
    <s v="ORD1535"/>
    <x v="318"/>
    <x v="369"/>
    <s v="Karan"/>
    <x v="1"/>
    <s v="Bengaluru"/>
    <x v="2"/>
    <s v="Phone"/>
    <s v="Phone 18"/>
    <n v="7"/>
    <n v="18510.36"/>
    <n v="0"/>
    <x v="2"/>
    <x v="0"/>
  </r>
  <r>
    <s v="ORD1536"/>
    <x v="150"/>
    <x v="258"/>
    <s v="Riya"/>
    <x v="0"/>
    <s v="Delhi"/>
    <x v="0"/>
    <s v="Table"/>
    <s v="Table 1"/>
    <n v="6"/>
    <n v="24592.35"/>
    <n v="15"/>
    <x v="1"/>
    <x v="1"/>
  </r>
  <r>
    <s v="ORD1537"/>
    <x v="343"/>
    <x v="370"/>
    <s v="Anjali"/>
    <x v="1"/>
    <s v="Mumbai"/>
    <x v="1"/>
    <s v="Laptop"/>
    <s v="Laptop 20"/>
    <n v="7"/>
    <n v="12892.91"/>
    <n v="0"/>
    <x v="0"/>
    <x v="2"/>
  </r>
  <r>
    <s v="ORD1538"/>
    <x v="344"/>
    <x v="371"/>
    <s v="Neha"/>
    <x v="1"/>
    <s v="Delhi"/>
    <x v="2"/>
    <s v="Phone"/>
    <s v="Phone 9"/>
    <n v="6"/>
    <n v="11677.02"/>
    <n v="15"/>
    <x v="3"/>
    <x v="1"/>
  </r>
  <r>
    <s v="ORD1539"/>
    <x v="125"/>
    <x v="101"/>
    <s v="Amit"/>
    <x v="2"/>
    <s v="Mumbai"/>
    <x v="0"/>
    <s v="Table"/>
    <s v="Table 7"/>
    <n v="5"/>
    <n v="9405.7999999999993"/>
    <n v="20"/>
    <x v="2"/>
    <x v="2"/>
  </r>
  <r>
    <s v="ORD1540"/>
    <x v="345"/>
    <x v="372"/>
    <s v="Vikas"/>
    <x v="3"/>
    <s v="delhi "/>
    <x v="3"/>
    <s v="Paper"/>
    <s v="Paper 3"/>
    <n v="7"/>
    <n v="20183.11"/>
    <s v="10 %"/>
    <x v="4"/>
    <x v="2"/>
  </r>
  <r>
    <s v="ORD1542"/>
    <x v="346"/>
    <x v="361"/>
    <s v="Priya"/>
    <x v="0"/>
    <s v="Delhi"/>
    <x v="0"/>
    <s v="Table"/>
    <s v="Table 18"/>
    <n v="9"/>
    <n v="35986.46"/>
    <n v="5"/>
    <x v="0"/>
    <x v="0"/>
  </r>
  <r>
    <s v="ORD1543"/>
    <x v="347"/>
    <x v="373"/>
    <s v="Amit"/>
    <x v="2"/>
    <s v="delhi "/>
    <x v="2"/>
    <s v="Phone"/>
    <s v="Phone 5"/>
    <n v="9"/>
    <n v="3757.04"/>
    <n v="15"/>
    <x v="3"/>
    <x v="3"/>
  </r>
  <r>
    <s v="ORD1544"/>
    <x v="347"/>
    <x v="374"/>
    <s v="Anjali"/>
    <x v="0"/>
    <s v="Kolkata"/>
    <x v="3"/>
    <s v="Paper"/>
    <s v="Paper 16"/>
    <n v="4"/>
    <n v="7396.4"/>
    <n v="10"/>
    <x v="5"/>
    <x v="3"/>
  </r>
  <r>
    <s v="ORD1545"/>
    <x v="348"/>
    <x v="227"/>
    <s v="Rahul"/>
    <x v="1"/>
    <s v="Delhi"/>
    <x v="0"/>
    <s v="Chair"/>
    <s v="Chair 18"/>
    <n v="7"/>
    <n v="30306.38"/>
    <s v="10 %"/>
    <x v="0"/>
    <x v="1"/>
  </r>
  <r>
    <s v="ORD1546"/>
    <x v="297"/>
    <x v="375"/>
    <s v="Neha"/>
    <x v="1"/>
    <s v="Kolkata"/>
    <x v="0"/>
    <s v="Chair"/>
    <s v="Chair 17"/>
    <n v="1"/>
    <n v="4913.01"/>
    <n v="15"/>
    <x v="5"/>
    <x v="0"/>
  </r>
  <r>
    <s v="ORD1547"/>
    <x v="137"/>
    <x v="32"/>
    <s v="Vikas"/>
    <x v="2"/>
    <s v="Bengaluru"/>
    <x v="3"/>
    <s v="Paper"/>
    <s v="Paper 22"/>
    <n v="6"/>
    <n v="10466.64"/>
    <n v="0"/>
    <x v="4"/>
    <x v="3"/>
  </r>
  <r>
    <s v="ORD1549"/>
    <x v="349"/>
    <x v="376"/>
    <s v="Rahul"/>
    <x v="2"/>
    <s v="Mumbai"/>
    <x v="2"/>
    <s v="Phone"/>
    <s v="Phone 27"/>
    <n v="3"/>
    <n v="10503.11"/>
    <n v="0"/>
    <x v="5"/>
    <x v="0"/>
  </r>
  <r>
    <s v="ORD1550"/>
    <x v="237"/>
    <x v="208"/>
    <s v="Neha"/>
    <x v="0"/>
    <s v="Kolkata"/>
    <x v="1"/>
    <s v="Laptop"/>
    <s v="Laptop 14"/>
    <n v="5"/>
    <n v="19722.45"/>
    <n v="0"/>
    <x v="4"/>
    <x v="0"/>
  </r>
  <r>
    <s v="ORD1551"/>
    <x v="62"/>
    <x v="377"/>
    <s v="Arjun"/>
    <x v="3"/>
    <s v="Kolkata"/>
    <x v="1"/>
    <s v="Phone"/>
    <s v="Phone 26"/>
    <n v="9"/>
    <n v="24329.759999999998"/>
    <n v="10"/>
    <x v="4"/>
    <x v="3"/>
  </r>
  <r>
    <s v="ORD1552"/>
    <x v="118"/>
    <x v="378"/>
    <s v="Amit"/>
    <x v="3"/>
    <s v="Delhi"/>
    <x v="1"/>
    <s v="Laptop"/>
    <s v="Laptop 12"/>
    <n v="2"/>
    <n v="5670.82"/>
    <n v="5"/>
    <x v="5"/>
    <x v="0"/>
  </r>
  <r>
    <s v="ORD1553"/>
    <x v="350"/>
    <x v="51"/>
    <s v="Neha"/>
    <x v="2"/>
    <s v="Bengaluru"/>
    <x v="0"/>
    <s v="Table"/>
    <s v="Table 12"/>
    <n v="10"/>
    <n v="44568.28"/>
    <n v="0"/>
    <x v="3"/>
    <x v="3"/>
  </r>
  <r>
    <s v="ORD1556"/>
    <x v="351"/>
    <x v="335"/>
    <s v="Sneha"/>
    <x v="1"/>
    <s v="Mumbai"/>
    <x v="0"/>
    <s v="Chair"/>
    <s v="Chair 14"/>
    <n v="1"/>
    <n v="3737.56"/>
    <n v="0"/>
    <x v="5"/>
    <x v="3"/>
  </r>
  <r>
    <s v="ORD1557"/>
    <x v="352"/>
    <x v="229"/>
    <s v="Amit"/>
    <x v="4"/>
    <s v="Mumbai"/>
    <x v="2"/>
    <s v="Phone"/>
    <s v="Phone 25"/>
    <n v="7"/>
    <n v="23991.82"/>
    <n v="15"/>
    <x v="5"/>
    <x v="2"/>
  </r>
  <r>
    <s v="ORD1558"/>
    <x v="353"/>
    <x v="379"/>
    <s v="Amit"/>
    <x v="3"/>
    <s v="Delhi"/>
    <x v="1"/>
    <s v="Laptop"/>
    <s v="Laptop 14"/>
    <n v="1"/>
    <n v="2748.35"/>
    <n v="5"/>
    <x v="2"/>
    <x v="3"/>
  </r>
  <r>
    <s v="ORD1559"/>
    <x v="354"/>
    <x v="380"/>
    <s v="Riya"/>
    <x v="4"/>
    <s v="Jaipur"/>
    <x v="0"/>
    <s v="Chair"/>
    <s v="Chair 22"/>
    <n v="4"/>
    <n v="4635.24"/>
    <n v="0"/>
    <x v="1"/>
    <x v="0"/>
  </r>
  <r>
    <s v="ORD1560"/>
    <x v="355"/>
    <x v="381"/>
    <s v="Priya"/>
    <x v="0"/>
    <s v="Jaipur"/>
    <x v="1"/>
    <s v="Phone"/>
    <s v="Phone 4"/>
    <n v="9"/>
    <n v="10974.05"/>
    <n v="5"/>
    <x v="5"/>
    <x v="2"/>
  </r>
  <r>
    <s v="ORD1562"/>
    <x v="352"/>
    <x v="71"/>
    <s v="Riya"/>
    <x v="2"/>
    <s v="Kolkata"/>
    <x v="3"/>
    <s v="Paper"/>
    <s v="Paper 23"/>
    <n v="7"/>
    <n v="21881.97"/>
    <n v="20"/>
    <x v="5"/>
    <x v="3"/>
  </r>
  <r>
    <s v="ORD1564"/>
    <x v="318"/>
    <x v="382"/>
    <s v="Priya"/>
    <x v="0"/>
    <s v="Bengaluru"/>
    <x v="0"/>
    <s v="Table"/>
    <s v="Table 11"/>
    <n v="9"/>
    <n v="41811.46"/>
    <n v="5"/>
    <x v="0"/>
    <x v="2"/>
  </r>
  <r>
    <s v="ORD1565"/>
    <x v="203"/>
    <x v="383"/>
    <s v="Amit"/>
    <x v="0"/>
    <s v="Mumbai"/>
    <x v="0"/>
    <s v="Chair"/>
    <s v="Chair 3"/>
    <n v="1"/>
    <n v="2785.11"/>
    <n v="0"/>
    <x v="4"/>
    <x v="3"/>
  </r>
  <r>
    <s v="ORD1566"/>
    <x v="356"/>
    <x v="384"/>
    <s v="Neha"/>
    <x v="1"/>
    <s v="Kolkata"/>
    <x v="1"/>
    <s v="Phone"/>
    <s v="Phone 11"/>
    <n v="10"/>
    <n v="20850.439999999999"/>
    <n v="0"/>
    <x v="0"/>
    <x v="3"/>
  </r>
  <r>
    <s v="ORD1568"/>
    <x v="6"/>
    <x v="122"/>
    <s v="Priya"/>
    <x v="3"/>
    <s v="Delhi"/>
    <x v="0"/>
    <s v="Table"/>
    <s v="Table 19"/>
    <n v="1"/>
    <n v="1931.81"/>
    <n v="20"/>
    <x v="2"/>
    <x v="0"/>
  </r>
  <r>
    <s v="ORD1569"/>
    <x v="354"/>
    <x v="44"/>
    <s v="Rahul"/>
    <x v="3"/>
    <s v="Bengaluru"/>
    <x v="1"/>
    <s v="Laptop"/>
    <s v="Laptop 14"/>
    <n v="6"/>
    <n v="28949.27"/>
    <n v="15"/>
    <x v="1"/>
    <x v="3"/>
  </r>
  <r>
    <s v="ORD1570"/>
    <x v="357"/>
    <x v="60"/>
    <s v="Vikas "/>
    <x v="4"/>
    <s v="Jaipur"/>
    <x v="0"/>
    <s v="Table"/>
    <s v="Table 3"/>
    <n v="6"/>
    <n v="13507.28"/>
    <n v="15"/>
    <x v="0"/>
    <x v="3"/>
  </r>
  <r>
    <s v="ORD1571"/>
    <x v="95"/>
    <x v="91"/>
    <s v="Sneha"/>
    <x v="3"/>
    <s v="Kolkata"/>
    <x v="1"/>
    <s v="Phone"/>
    <s v="Phone 6"/>
    <n v="5"/>
    <n v="18488.900000000001"/>
    <n v="5"/>
    <x v="4"/>
    <x v="0"/>
  </r>
  <r>
    <s v="ORD1572"/>
    <x v="358"/>
    <x v="385"/>
    <s v="Priya"/>
    <x v="2"/>
    <s v="Bengaluru"/>
    <x v="1"/>
    <s v="Phone"/>
    <s v="Phone 17"/>
    <n v="3"/>
    <n v="13081.88"/>
    <n v="10"/>
    <x v="1"/>
    <x v="0"/>
  </r>
  <r>
    <s v="ORD1573"/>
    <x v="359"/>
    <x v="27"/>
    <s v="Vikas"/>
    <x v="0"/>
    <s v="Kolkata"/>
    <x v="2"/>
    <s v="Phone"/>
    <s v="Phone 5"/>
    <n v="5"/>
    <n v="6524.71"/>
    <n v="20"/>
    <x v="3"/>
    <x v="3"/>
  </r>
  <r>
    <s v="ORD1575"/>
    <x v="360"/>
    <x v="12"/>
    <s v="Karan"/>
    <x v="0"/>
    <s v="Kolkata"/>
    <x v="1"/>
    <s v="Laptop"/>
    <s v="Laptop 10"/>
    <n v="7"/>
    <n v="18140.150000000001"/>
    <s v="10 %"/>
    <x v="0"/>
    <x v="0"/>
  </r>
  <r>
    <s v="ORD1576"/>
    <x v="190"/>
    <x v="386"/>
    <s v="Arjun"/>
    <x v="0"/>
    <s v="Jaipur"/>
    <x v="0"/>
    <s v="Chair"/>
    <s v="Chair 1"/>
    <n v="5"/>
    <n v="15599.21"/>
    <n v="0"/>
    <x v="3"/>
    <x v="3"/>
  </r>
  <r>
    <s v="ORD1577"/>
    <x v="131"/>
    <x v="387"/>
    <s v="Priya "/>
    <x v="0"/>
    <s v="Pune"/>
    <x v="3"/>
    <s v="Paper"/>
    <s v="Paper 15"/>
    <n v="5"/>
    <n v="3462.12"/>
    <n v="5"/>
    <x v="0"/>
    <x v="0"/>
  </r>
  <r>
    <s v="ORD1579"/>
    <x v="125"/>
    <x v="328"/>
    <s v="Sneha"/>
    <x v="1"/>
    <s v="delhi "/>
    <x v="0"/>
    <s v="Table"/>
    <s v="Table 19"/>
    <n v="4"/>
    <n v="1077.7"/>
    <n v="5"/>
    <x v="0"/>
    <x v="3"/>
  </r>
  <r>
    <s v="ORD1580"/>
    <x v="357"/>
    <x v="388"/>
    <s v="Amit"/>
    <x v="3"/>
    <s v="Bengaluru"/>
    <x v="0"/>
    <s v="Table"/>
    <s v="Table 25"/>
    <n v="3"/>
    <n v="7420.38"/>
    <n v="0"/>
    <x v="2"/>
    <x v="1"/>
  </r>
  <r>
    <s v="ORD1581"/>
    <x v="42"/>
    <x v="389"/>
    <s v="Riya"/>
    <x v="0"/>
    <s v="Delhi"/>
    <x v="0"/>
    <s v="Chair"/>
    <s v="Chair 11"/>
    <n v="8"/>
    <n v="12630.41"/>
    <n v="20"/>
    <x v="2"/>
    <x v="3"/>
  </r>
  <r>
    <s v="ORD1583"/>
    <x v="361"/>
    <x v="299"/>
    <s v="Rahul"/>
    <x v="0"/>
    <s v="Delhi"/>
    <x v="3"/>
    <s v="Paper"/>
    <s v="Paper 11"/>
    <n v="3"/>
    <n v="6108.29"/>
    <n v="20"/>
    <x v="3"/>
    <x v="3"/>
  </r>
  <r>
    <s v="ORD1584"/>
    <x v="300"/>
    <x v="90"/>
    <s v="Arjun"/>
    <x v="0"/>
    <s v="Delhi"/>
    <x v="0"/>
    <s v="Table"/>
    <s v="Table 29"/>
    <n v="3"/>
    <n v="11179.56"/>
    <n v="5"/>
    <x v="3"/>
    <x v="0"/>
  </r>
  <r>
    <s v="ORD1585"/>
    <x v="362"/>
    <x v="390"/>
    <s v="Arjun"/>
    <x v="1"/>
    <s v="Mumbai"/>
    <x v="0"/>
    <s v="Chair"/>
    <s v="Chair 30"/>
    <n v="9"/>
    <n v="27848.04"/>
    <s v="10 %"/>
    <x v="2"/>
    <x v="2"/>
  </r>
  <r>
    <s v="ORD1586"/>
    <x v="363"/>
    <x v="391"/>
    <s v="Karan"/>
    <x v="0"/>
    <s v="Bengaluru"/>
    <x v="3"/>
    <s v="Paper"/>
    <s v="Paper 7"/>
    <n v="10"/>
    <n v="6106.13"/>
    <n v="20"/>
    <x v="1"/>
    <x v="0"/>
  </r>
  <r>
    <s v="ORD1588"/>
    <x v="188"/>
    <x v="392"/>
    <s v="Rahul "/>
    <x v="3"/>
    <s v="Bengaluru"/>
    <x v="0"/>
    <s v="Table"/>
    <s v="Table 27"/>
    <n v="1"/>
    <n v="2101.0100000000002"/>
    <n v="20"/>
    <x v="4"/>
    <x v="0"/>
  </r>
  <r>
    <s v="ORD1589"/>
    <x v="36"/>
    <x v="393"/>
    <s v="Rahul"/>
    <x v="4"/>
    <s v="Bengaluru"/>
    <x v="1"/>
    <s v="Laptop"/>
    <s v="Laptop 7"/>
    <n v="1"/>
    <n v="2717.77"/>
    <n v="20"/>
    <x v="3"/>
    <x v="2"/>
  </r>
  <r>
    <s v="ORD1590"/>
    <x v="123"/>
    <x v="394"/>
    <s v="Amit"/>
    <x v="0"/>
    <s v="Pune"/>
    <x v="3"/>
    <s v="Paper"/>
    <s v="Paper 19"/>
    <n v="7"/>
    <n v="26256.84"/>
    <n v="20"/>
    <x v="4"/>
    <x v="3"/>
  </r>
  <r>
    <s v="ORD1591"/>
    <x v="364"/>
    <x v="395"/>
    <s v="Riya"/>
    <x v="3"/>
    <s v="Mumbai"/>
    <x v="2"/>
    <s v="Phone"/>
    <s v="Phone 6"/>
    <n v="2"/>
    <n v="479.9"/>
    <n v="15"/>
    <x v="4"/>
    <x v="0"/>
  </r>
  <r>
    <s v="ORD1593"/>
    <x v="285"/>
    <x v="245"/>
    <s v="Vikas"/>
    <x v="0"/>
    <s v="Bengaluru"/>
    <x v="1"/>
    <s v="Phone"/>
    <s v="Phone 15"/>
    <n v="4"/>
    <n v="14734.02"/>
    <n v="5"/>
    <x v="0"/>
    <x v="3"/>
  </r>
  <r>
    <s v="ORD1594"/>
    <x v="240"/>
    <x v="301"/>
    <s v="Neha"/>
    <x v="0"/>
    <s v="Mumbai"/>
    <x v="0"/>
    <s v="Chair"/>
    <s v="Chair 21"/>
    <n v="3"/>
    <n v="11460.27"/>
    <n v="0"/>
    <x v="3"/>
    <x v="1"/>
  </r>
  <r>
    <s v="ORD1596"/>
    <x v="362"/>
    <x v="358"/>
    <s v="Riya"/>
    <x v="1"/>
    <s v="Jaipur"/>
    <x v="3"/>
    <s v="Paper"/>
    <s v="Paper 30"/>
    <n v="4"/>
    <n v="7809.77"/>
    <n v="5"/>
    <x v="2"/>
    <x v="3"/>
  </r>
  <r>
    <s v="ORD1597"/>
    <x v="36"/>
    <x v="396"/>
    <s v="Amit"/>
    <x v="2"/>
    <s v="Jaipur"/>
    <x v="1"/>
    <s v="Laptop"/>
    <s v="Laptop 9"/>
    <n v="1"/>
    <n v="4031.29"/>
    <n v="20"/>
    <x v="3"/>
    <x v="0"/>
  </r>
  <r>
    <s v="ORD1114"/>
    <x v="365"/>
    <x v="397"/>
    <s v="Riya"/>
    <x v="0"/>
    <s v="Kolkata"/>
    <x v="1"/>
    <s v="Laptop"/>
    <s v="Laptop 8"/>
    <n v="8"/>
    <n v="14739.2"/>
    <s v="10 %"/>
    <x v="1"/>
    <x v="2"/>
  </r>
  <r>
    <s v="ORD1599"/>
    <x v="307"/>
    <x v="398"/>
    <s v="Vikas"/>
    <x v="2"/>
    <s v="Jaipur"/>
    <x v="1"/>
    <s v="Phone"/>
    <s v="Phone 9"/>
    <n v="2"/>
    <n v="4554.49"/>
    <n v="5"/>
    <x v="1"/>
    <x v="3"/>
  </r>
  <r>
    <s v="ORD1600"/>
    <x v="332"/>
    <x v="399"/>
    <s v="Priya"/>
    <x v="2"/>
    <s v="delhi "/>
    <x v="0"/>
    <s v="Table"/>
    <s v="Table 19"/>
    <n v="8"/>
    <n v="9591.3700000000008"/>
    <n v="10"/>
    <x v="3"/>
    <x v="3"/>
  </r>
  <r>
    <s v="ORD1601"/>
    <x v="202"/>
    <x v="400"/>
    <s v="Neha"/>
    <x v="4"/>
    <s v="Mumbai"/>
    <x v="1"/>
    <s v="Laptop"/>
    <s v="Laptop 9"/>
    <n v="1"/>
    <n v="2740.65"/>
    <n v="0"/>
    <x v="0"/>
    <x v="0"/>
  </r>
  <r>
    <s v="ORD1602"/>
    <x v="366"/>
    <x v="401"/>
    <s v="Neha"/>
    <x v="0"/>
    <s v="Mumbai"/>
    <x v="3"/>
    <s v="Paper"/>
    <s v="Paper 28"/>
    <n v="2"/>
    <n v="6838.53"/>
    <n v="5"/>
    <x v="0"/>
    <x v="3"/>
  </r>
  <r>
    <s v="ORD1604"/>
    <x v="249"/>
    <x v="103"/>
    <s v="Arjun"/>
    <x v="2"/>
    <s v="Kolkata"/>
    <x v="3"/>
    <s v="Paper"/>
    <s v="Paper 15"/>
    <n v="3"/>
    <n v="9466.3700000000008"/>
    <n v="0"/>
    <x v="3"/>
    <x v="3"/>
  </r>
  <r>
    <s v="ORD1606"/>
    <x v="364"/>
    <x v="402"/>
    <s v="Arjun"/>
    <x v="3"/>
    <s v="Kolkata"/>
    <x v="0"/>
    <s v="Chair"/>
    <s v="Chair 17"/>
    <n v="8"/>
    <n v="23300.36"/>
    <n v="0"/>
    <x v="5"/>
    <x v="0"/>
  </r>
  <r>
    <s v="ORD1607"/>
    <x v="8"/>
    <x v="56"/>
    <s v="Arjun"/>
    <x v="3"/>
    <s v="Kolkata"/>
    <x v="0"/>
    <s v="Table"/>
    <s v="Table 12"/>
    <n v="5"/>
    <n v="21035.88"/>
    <n v="0"/>
    <x v="1"/>
    <x v="3"/>
  </r>
  <r>
    <s v="ORD1608"/>
    <x v="253"/>
    <x v="181"/>
    <s v="Vikas"/>
    <x v="3"/>
    <s v="Pune"/>
    <x v="2"/>
    <s v="Phone"/>
    <s v="Phone 19"/>
    <n v="7"/>
    <n v="19164.48"/>
    <s v="10 %"/>
    <x v="3"/>
    <x v="2"/>
  </r>
  <r>
    <s v="ORD1609"/>
    <x v="367"/>
    <x v="403"/>
    <s v="Amit"/>
    <x v="4"/>
    <s v="Delhi"/>
    <x v="0"/>
    <s v="Chair"/>
    <s v="Chair 29"/>
    <n v="8"/>
    <n v="7638.88"/>
    <n v="20"/>
    <x v="0"/>
    <x v="1"/>
  </r>
  <r>
    <s v="ORD1610"/>
    <x v="368"/>
    <x v="404"/>
    <s v="Neha"/>
    <x v="4"/>
    <s v="delhi "/>
    <x v="1"/>
    <s v="Laptop"/>
    <s v="Laptop 26"/>
    <n v="4"/>
    <n v="529.29"/>
    <n v="15"/>
    <x v="5"/>
    <x v="2"/>
  </r>
  <r>
    <s v="ORD1611"/>
    <x v="47"/>
    <x v="116"/>
    <s v="Karan"/>
    <x v="0"/>
    <s v="Pune"/>
    <x v="1"/>
    <s v="Phone"/>
    <s v="Phone 5"/>
    <n v="1"/>
    <n v="2759.71"/>
    <n v="5"/>
    <x v="5"/>
    <x v="3"/>
  </r>
  <r>
    <s v="ORD1612"/>
    <x v="227"/>
    <x v="405"/>
    <s v="Priya"/>
    <x v="0"/>
    <s v="Delhi"/>
    <x v="2"/>
    <s v="Phone"/>
    <s v="Phone 3"/>
    <n v="3"/>
    <n v="2929.96"/>
    <n v="20"/>
    <x v="3"/>
    <x v="1"/>
  </r>
  <r>
    <s v="ORD1614"/>
    <x v="369"/>
    <x v="406"/>
    <s v="Rahul"/>
    <x v="0"/>
    <s v="delhi "/>
    <x v="1"/>
    <s v="Phone"/>
    <s v="Phone 24"/>
    <n v="7"/>
    <n v="21021.439999999999"/>
    <s v="10 %"/>
    <x v="5"/>
    <x v="0"/>
  </r>
  <r>
    <s v="ORD1615"/>
    <x v="14"/>
    <x v="407"/>
    <s v="Priya"/>
    <x v="2"/>
    <s v="Pune"/>
    <x v="1"/>
    <s v="Phone"/>
    <s v="Phone 27"/>
    <n v="7"/>
    <n v="32794.54"/>
    <n v="15"/>
    <x v="1"/>
    <x v="0"/>
  </r>
  <r>
    <s v="ORD1616"/>
    <x v="20"/>
    <x v="105"/>
    <s v="Vikas"/>
    <x v="1"/>
    <s v="Mumbai"/>
    <x v="3"/>
    <s v="Paper"/>
    <s v="Paper 29"/>
    <n v="2"/>
    <n v="5103.26"/>
    <n v="15"/>
    <x v="5"/>
    <x v="2"/>
  </r>
  <r>
    <s v="ORD1617"/>
    <x v="370"/>
    <x v="245"/>
    <s v="Riya"/>
    <x v="4"/>
    <s v="Delhi"/>
    <x v="2"/>
    <s v="Phone"/>
    <s v="Phone 25"/>
    <n v="4"/>
    <n v="6629.21"/>
    <n v="5"/>
    <x v="4"/>
    <x v="3"/>
  </r>
  <r>
    <s v="ORD1618"/>
    <x v="158"/>
    <x v="408"/>
    <s v="Anjali"/>
    <x v="1"/>
    <s v="Kolkata"/>
    <x v="0"/>
    <s v="Table"/>
    <s v="Table 9"/>
    <n v="8"/>
    <n v="16069.94"/>
    <s v="10 %"/>
    <x v="0"/>
    <x v="3"/>
  </r>
  <r>
    <s v="ORD1619"/>
    <x v="154"/>
    <x v="169"/>
    <s v="Riya"/>
    <x v="0"/>
    <s v="Mumbai"/>
    <x v="3"/>
    <s v="Paper"/>
    <s v="Paper 17"/>
    <n v="6"/>
    <n v="9474.73"/>
    <n v="15"/>
    <x v="0"/>
    <x v="1"/>
  </r>
  <r>
    <s v="ORD1620"/>
    <x v="302"/>
    <x v="409"/>
    <s v="Neha"/>
    <x v="3"/>
    <s v="Kolkata"/>
    <x v="3"/>
    <s v="Paper"/>
    <s v="Paper 29"/>
    <n v="4"/>
    <n v="11933.7"/>
    <n v="0"/>
    <x v="3"/>
    <x v="1"/>
  </r>
  <r>
    <s v="ORD1621"/>
    <x v="329"/>
    <x v="410"/>
    <s v="Arjun"/>
    <x v="4"/>
    <s v="Kolkata"/>
    <x v="3"/>
    <s v="Paper"/>
    <s v="Paper 22"/>
    <n v="8"/>
    <n v="26515.61"/>
    <n v="5"/>
    <x v="3"/>
    <x v="3"/>
  </r>
  <r>
    <s v="ORD1622"/>
    <x v="371"/>
    <x v="411"/>
    <s v="Rahul"/>
    <x v="1"/>
    <s v="Delhi"/>
    <x v="1"/>
    <s v="Laptop"/>
    <s v="Laptop 24"/>
    <n v="6"/>
    <n v="22983.23"/>
    <s v="10 %"/>
    <x v="5"/>
    <x v="0"/>
  </r>
  <r>
    <s v="ORD1623"/>
    <x v="372"/>
    <x v="412"/>
    <s v="Vikas"/>
    <x v="1"/>
    <s v="Kolkata"/>
    <x v="0"/>
    <s v="Chair"/>
    <s v="Chair 27"/>
    <n v="8"/>
    <n v="20014.28"/>
    <n v="5"/>
    <x v="0"/>
    <x v="1"/>
  </r>
  <r>
    <s v="ORD1624"/>
    <x v="326"/>
    <x v="95"/>
    <s v="Anjali"/>
    <x v="2"/>
    <s v="Bengaluru"/>
    <x v="0"/>
    <s v="Chair"/>
    <s v="Chair 1"/>
    <n v="8"/>
    <n v="24797.38"/>
    <n v="20"/>
    <x v="2"/>
    <x v="0"/>
  </r>
  <r>
    <s v="ORD1625"/>
    <x v="230"/>
    <x v="392"/>
    <s v="Karan "/>
    <x v="2"/>
    <s v="Mumbai"/>
    <x v="0"/>
    <s v="Table"/>
    <s v="Table 3"/>
    <n v="10"/>
    <n v="40667.61"/>
    <n v="10"/>
    <x v="0"/>
    <x v="1"/>
  </r>
  <r>
    <s v="ORD1626"/>
    <x v="119"/>
    <x v="413"/>
    <s v="Karan"/>
    <x v="0"/>
    <s v="Bengaluru"/>
    <x v="0"/>
    <s v="Table"/>
    <s v="Table 23"/>
    <n v="3"/>
    <n v="6071.02"/>
    <s v="10 %"/>
    <x v="0"/>
    <x v="1"/>
  </r>
  <r>
    <s v="ORD1627"/>
    <x v="373"/>
    <x v="414"/>
    <s v="Anjali"/>
    <x v="0"/>
    <s v="Bengaluru"/>
    <x v="1"/>
    <s v="Laptop"/>
    <s v="Laptop 20"/>
    <n v="9"/>
    <n v="33738.71"/>
    <n v="0"/>
    <x v="4"/>
    <x v="0"/>
  </r>
  <r>
    <s v="ORD1628"/>
    <x v="145"/>
    <x v="415"/>
    <s v="Vikas"/>
    <x v="2"/>
    <s v="Bengaluru"/>
    <x v="0"/>
    <s v="Table"/>
    <s v="Table 3"/>
    <n v="3"/>
    <n v="13549.67"/>
    <n v="0"/>
    <x v="3"/>
    <x v="3"/>
  </r>
  <r>
    <s v="ORD1629"/>
    <x v="102"/>
    <x v="28"/>
    <s v="Rahul"/>
    <x v="1"/>
    <s v="Pune"/>
    <x v="1"/>
    <s v="Laptop"/>
    <s v="Laptop 30"/>
    <n v="5"/>
    <n v="23529.37"/>
    <n v="15"/>
    <x v="5"/>
    <x v="3"/>
  </r>
  <r>
    <s v="ORD1630"/>
    <x v="329"/>
    <x v="302"/>
    <s v="Amit"/>
    <x v="0"/>
    <s v="Delhi"/>
    <x v="0"/>
    <s v="Chair"/>
    <s v="Chair 1"/>
    <n v="1"/>
    <n v="4673.2700000000004"/>
    <n v="20"/>
    <x v="1"/>
    <x v="0"/>
  </r>
  <r>
    <s v="ORD1631"/>
    <x v="369"/>
    <x v="389"/>
    <s v="Arjun"/>
    <x v="0"/>
    <s v="Mumbai"/>
    <x v="1"/>
    <s v="Laptop"/>
    <s v="Laptop 8"/>
    <n v="9"/>
    <n v="24131.64"/>
    <n v="20"/>
    <x v="5"/>
    <x v="1"/>
  </r>
  <r>
    <s v="ORD1632"/>
    <x v="374"/>
    <x v="271"/>
    <s v="Amit"/>
    <x v="1"/>
    <s v="delhi "/>
    <x v="1"/>
    <s v="Laptop"/>
    <s v="Laptop 27"/>
    <n v="5"/>
    <n v="16698.150000000001"/>
    <n v="0"/>
    <x v="2"/>
    <x v="0"/>
  </r>
  <r>
    <s v="ORD1633"/>
    <x v="240"/>
    <x v="416"/>
    <s v="Arjun"/>
    <x v="1"/>
    <s v="Pune"/>
    <x v="3"/>
    <s v="Paper"/>
    <s v="Paper 8"/>
    <n v="9"/>
    <n v="22019.81"/>
    <n v="20"/>
    <x v="0"/>
    <x v="2"/>
  </r>
  <r>
    <s v="ORD1634"/>
    <x v="375"/>
    <x v="392"/>
    <s v="Arjun"/>
    <x v="2"/>
    <s v="Jaipur"/>
    <x v="1"/>
    <s v="Laptop"/>
    <s v="Laptop 13"/>
    <n v="3"/>
    <n v="6664.1"/>
    <n v="10"/>
    <x v="3"/>
    <x v="2"/>
  </r>
  <r>
    <s v="ORD1635"/>
    <x v="376"/>
    <x v="417"/>
    <s v="Karan"/>
    <x v="0"/>
    <s v="delhi "/>
    <x v="3"/>
    <s v="Paper"/>
    <s v="Paper 16"/>
    <n v="9"/>
    <n v="21959.52"/>
    <n v="10"/>
    <x v="0"/>
    <x v="0"/>
  </r>
  <r>
    <s v="ORD1636"/>
    <x v="377"/>
    <x v="2"/>
    <s v="Sneha"/>
    <x v="2"/>
    <s v="Pune"/>
    <x v="0"/>
    <s v="Chair"/>
    <s v="Chair 12"/>
    <n v="6"/>
    <n v="10978.31"/>
    <n v="0"/>
    <x v="2"/>
    <x v="0"/>
  </r>
  <r>
    <s v="ORD1638"/>
    <x v="378"/>
    <x v="418"/>
    <s v="Priya"/>
    <x v="3"/>
    <s v="Pune"/>
    <x v="0"/>
    <s v="Table"/>
    <s v="Table 4"/>
    <n v="2"/>
    <n v="8834.67"/>
    <n v="0"/>
    <x v="5"/>
    <x v="1"/>
  </r>
  <r>
    <s v="ORD1639"/>
    <x v="379"/>
    <x v="284"/>
    <s v="Karan"/>
    <x v="0"/>
    <s v="Mumbai"/>
    <x v="0"/>
    <s v="Table"/>
    <s v="Table 7"/>
    <n v="6"/>
    <n v="8788.18"/>
    <s v="10 %"/>
    <x v="0"/>
    <x v="0"/>
  </r>
  <r>
    <s v="ORD1640"/>
    <x v="203"/>
    <x v="419"/>
    <s v="Vikas"/>
    <x v="0"/>
    <s v="Delhi"/>
    <x v="0"/>
    <s v="Table"/>
    <s v="Table 25"/>
    <n v="10"/>
    <n v="17008.330000000002"/>
    <n v="5"/>
    <x v="0"/>
    <x v="3"/>
  </r>
  <r>
    <s v="ORD1641"/>
    <x v="49"/>
    <x v="420"/>
    <s v="Rahul"/>
    <x v="1"/>
    <s v="Mumbai"/>
    <x v="3"/>
    <s v="Paper"/>
    <s v="Paper 27"/>
    <n v="2"/>
    <n v="1658.97"/>
    <n v="5"/>
    <x v="4"/>
    <x v="0"/>
  </r>
  <r>
    <s v="ORD1642"/>
    <x v="65"/>
    <x v="421"/>
    <s v="Riya"/>
    <x v="3"/>
    <s v="Bengaluru"/>
    <x v="0"/>
    <s v="Chair"/>
    <s v="Chair 7"/>
    <n v="2"/>
    <n v="2876.75"/>
    <s v="10 %"/>
    <x v="4"/>
    <x v="3"/>
  </r>
  <r>
    <s v="ORD1643"/>
    <x v="380"/>
    <x v="333"/>
    <s v="Arjun"/>
    <x v="0"/>
    <s v="Kolkata"/>
    <x v="2"/>
    <s v="Phone"/>
    <s v="Phone 3"/>
    <n v="2"/>
    <n v="1845.04"/>
    <n v="20"/>
    <x v="0"/>
    <x v="3"/>
  </r>
  <r>
    <s v="ORD1644"/>
    <x v="381"/>
    <x v="176"/>
    <s v="Neha"/>
    <x v="3"/>
    <s v="Kolkata"/>
    <x v="1"/>
    <s v="Laptop"/>
    <s v="Laptop 15"/>
    <n v="7"/>
    <n v="4234.1400000000003"/>
    <s v="10 %"/>
    <x v="1"/>
    <x v="1"/>
  </r>
  <r>
    <s v="ORD1645"/>
    <x v="127"/>
    <x v="91"/>
    <s v="Riya"/>
    <x v="4"/>
    <s v="Delhi"/>
    <x v="2"/>
    <s v="Phone"/>
    <s v="Phone 7"/>
    <n v="8"/>
    <n v="31063.84"/>
    <n v="15"/>
    <x v="3"/>
    <x v="3"/>
  </r>
  <r>
    <s v="ORD1646"/>
    <x v="382"/>
    <x v="422"/>
    <s v="Rahul"/>
    <x v="0"/>
    <s v="Jaipur"/>
    <x v="1"/>
    <s v="Phone"/>
    <s v="Phone 16"/>
    <n v="6"/>
    <n v="28414.69"/>
    <n v="5"/>
    <x v="1"/>
    <x v="1"/>
  </r>
  <r>
    <s v="ORD1214"/>
    <x v="383"/>
    <x v="319"/>
    <s v="Sneha"/>
    <x v="0"/>
    <s v="Delhi"/>
    <x v="0"/>
    <s v="Table"/>
    <s v="Table 3"/>
    <n v="3"/>
    <n v="4718.51"/>
    <n v="15"/>
    <x v="4"/>
    <x v="0"/>
  </r>
  <r>
    <s v="ORD1649"/>
    <x v="384"/>
    <x v="423"/>
    <s v="Neha"/>
    <x v="2"/>
    <s v="Pune"/>
    <x v="1"/>
    <s v="Laptop"/>
    <s v="Laptop 9"/>
    <n v="3"/>
    <n v="12618.52"/>
    <n v="15"/>
    <x v="2"/>
    <x v="1"/>
  </r>
  <r>
    <s v="ORD1650"/>
    <x v="4"/>
    <x v="368"/>
    <s v="Neha"/>
    <x v="1"/>
    <s v="delhi "/>
    <x v="1"/>
    <s v="Phone"/>
    <s v="Phone 25"/>
    <n v="6"/>
    <n v="12934.48"/>
    <s v="10 %"/>
    <x v="5"/>
    <x v="3"/>
  </r>
  <r>
    <s v="ORD1653"/>
    <x v="260"/>
    <x v="268"/>
    <s v="Neha"/>
    <x v="2"/>
    <s v="Bengaluru"/>
    <x v="3"/>
    <s v="Paper"/>
    <s v="Paper 11"/>
    <n v="5"/>
    <n v="16645.509999999998"/>
    <n v="15"/>
    <x v="1"/>
    <x v="2"/>
  </r>
  <r>
    <s v="ORD1654"/>
    <x v="385"/>
    <x v="424"/>
    <s v="Arjun"/>
    <x v="0"/>
    <s v="Jaipur"/>
    <x v="0"/>
    <s v="Chair"/>
    <s v="Chair 5"/>
    <n v="9"/>
    <n v="6413.41"/>
    <s v="10 %"/>
    <x v="5"/>
    <x v="0"/>
  </r>
  <r>
    <s v="ORD1656"/>
    <x v="106"/>
    <x v="380"/>
    <s v="Vikas"/>
    <x v="4"/>
    <s v="Pune"/>
    <x v="2"/>
    <s v="Phone"/>
    <s v="Phone 17"/>
    <n v="8"/>
    <n v="31713.47"/>
    <n v="20"/>
    <x v="5"/>
    <x v="2"/>
  </r>
  <r>
    <s v="ORD1657"/>
    <x v="288"/>
    <x v="425"/>
    <s v="Arjun"/>
    <x v="4"/>
    <s v="Kolkata"/>
    <x v="1"/>
    <s v="Laptop"/>
    <s v="Laptop 11"/>
    <n v="10"/>
    <n v="4145.3900000000003"/>
    <s v="10 %"/>
    <x v="5"/>
    <x v="3"/>
  </r>
  <r>
    <s v="ORD1659"/>
    <x v="386"/>
    <x v="426"/>
    <s v="Sneha"/>
    <x v="1"/>
    <s v="Jaipur"/>
    <x v="0"/>
    <s v="Chair"/>
    <s v="Chair 19"/>
    <n v="3"/>
    <n v="14139.4"/>
    <n v="20"/>
    <x v="4"/>
    <x v="2"/>
  </r>
  <r>
    <s v="ORD1660"/>
    <x v="387"/>
    <x v="427"/>
    <s v="Neha"/>
    <x v="0"/>
    <s v="Pune"/>
    <x v="1"/>
    <s v="Phone"/>
    <s v="Phone 5"/>
    <n v="4"/>
    <n v="5031.1000000000004"/>
    <n v="10"/>
    <x v="0"/>
    <x v="1"/>
  </r>
  <r>
    <s v="ORD1661"/>
    <x v="388"/>
    <x v="428"/>
    <s v="Karan "/>
    <x v="3"/>
    <s v="Delhi"/>
    <x v="0"/>
    <s v="Chair"/>
    <s v="Chair 12"/>
    <n v="9"/>
    <n v="29246.63"/>
    <n v="20"/>
    <x v="4"/>
    <x v="0"/>
  </r>
  <r>
    <s v="ORD1662"/>
    <x v="169"/>
    <x v="429"/>
    <s v="Anjali"/>
    <x v="4"/>
    <s v="Kolkata"/>
    <x v="2"/>
    <s v="Phone"/>
    <s v="Phone 13"/>
    <n v="6"/>
    <n v="11209.84"/>
    <n v="10"/>
    <x v="5"/>
    <x v="2"/>
  </r>
  <r>
    <s v="ORD1663"/>
    <x v="389"/>
    <x v="430"/>
    <s v="Sneha"/>
    <x v="0"/>
    <s v="Bengaluru"/>
    <x v="0"/>
    <s v="Chair"/>
    <s v="Chair 30"/>
    <n v="4"/>
    <n v="1279.27"/>
    <n v="15"/>
    <x v="4"/>
    <x v="0"/>
  </r>
  <r>
    <s v="ORD1135"/>
    <x v="390"/>
    <x v="279"/>
    <s v="Rahul"/>
    <x v="2"/>
    <s v="Delhi"/>
    <x v="0"/>
    <s v="Table"/>
    <s v="Table 7"/>
    <n v="6"/>
    <n v="4194.8999999999996"/>
    <n v="0"/>
    <x v="3"/>
    <x v="0"/>
  </r>
  <r>
    <s v="ORD1666"/>
    <x v="188"/>
    <x v="202"/>
    <s v="Riya"/>
    <x v="1"/>
    <s v="Kolkata"/>
    <x v="0"/>
    <s v="Table"/>
    <s v="Table 14"/>
    <n v="4"/>
    <n v="6384.68"/>
    <s v="10 %"/>
    <x v="1"/>
    <x v="0"/>
  </r>
  <r>
    <s v="ORD1667"/>
    <x v="239"/>
    <x v="431"/>
    <s v="Rahul"/>
    <x v="0"/>
    <s v="Pune"/>
    <x v="0"/>
    <s v="Chair"/>
    <s v="Chair 8"/>
    <n v="5"/>
    <n v="9786.14"/>
    <n v="15"/>
    <x v="5"/>
    <x v="3"/>
  </r>
  <r>
    <s v="ORD1668"/>
    <x v="304"/>
    <x v="432"/>
    <s v="Riya"/>
    <x v="0"/>
    <s v="Mumbai"/>
    <x v="1"/>
    <s v="Phone"/>
    <s v="Phone 5"/>
    <n v="4"/>
    <n v="2739.33"/>
    <s v="10 %"/>
    <x v="1"/>
    <x v="0"/>
  </r>
  <r>
    <s v="ORD1670"/>
    <x v="391"/>
    <x v="433"/>
    <s v="Priya"/>
    <x v="3"/>
    <s v="Delhi"/>
    <x v="3"/>
    <s v="Paper"/>
    <s v="Paper 23"/>
    <n v="10"/>
    <n v="11029.44"/>
    <s v="10 %"/>
    <x v="1"/>
    <x v="3"/>
  </r>
  <r>
    <s v="ORD1671"/>
    <x v="105"/>
    <x v="434"/>
    <s v="Karan"/>
    <x v="2"/>
    <s v="Jaipur"/>
    <x v="0"/>
    <s v="Chair"/>
    <s v="Chair 10"/>
    <n v="3"/>
    <n v="12730.94"/>
    <s v="10 %"/>
    <x v="4"/>
    <x v="0"/>
  </r>
  <r>
    <s v="ORD1672"/>
    <x v="392"/>
    <x v="435"/>
    <s v="Neha"/>
    <x v="2"/>
    <s v="Kolkata"/>
    <x v="0"/>
    <s v="Table"/>
    <s v="Table 19"/>
    <n v="1"/>
    <n v="4331.42"/>
    <s v="10 %"/>
    <x v="0"/>
    <x v="0"/>
  </r>
  <r>
    <s v="ORD1673"/>
    <x v="355"/>
    <x v="436"/>
    <s v="Neha"/>
    <x v="0"/>
    <s v="Kolkata"/>
    <x v="1"/>
    <s v="Laptop"/>
    <s v="Laptop 9"/>
    <n v="6"/>
    <n v="15934.47"/>
    <s v="10 %"/>
    <x v="2"/>
    <x v="1"/>
  </r>
  <r>
    <s v="ORD1674"/>
    <x v="156"/>
    <x v="151"/>
    <s v="Priya"/>
    <x v="1"/>
    <s v="Delhi"/>
    <x v="0"/>
    <s v="Chair"/>
    <s v="Chair 22"/>
    <n v="3"/>
    <n v="9032.0499999999993"/>
    <n v="0"/>
    <x v="4"/>
    <x v="3"/>
  </r>
  <r>
    <s v="ORD1361"/>
    <x v="384"/>
    <x v="437"/>
    <s v="Karan"/>
    <x v="0"/>
    <s v="delhi "/>
    <x v="1"/>
    <s v="Phone"/>
    <s v="Phone 3"/>
    <n v="1"/>
    <n v="2617.25"/>
    <n v="15"/>
    <x v="4"/>
    <x v="1"/>
  </r>
  <r>
    <s v="ORD1676"/>
    <x v="292"/>
    <x v="438"/>
    <s v="Neha"/>
    <x v="0"/>
    <s v="Bengaluru"/>
    <x v="3"/>
    <s v="Paper"/>
    <s v="Paper 20"/>
    <n v="3"/>
    <n v="8692.18"/>
    <n v="10"/>
    <x v="4"/>
    <x v="1"/>
  </r>
  <r>
    <s v="ORD1677"/>
    <x v="290"/>
    <x v="359"/>
    <s v="Priya"/>
    <x v="0"/>
    <s v="Jaipur"/>
    <x v="2"/>
    <s v="Phone"/>
    <s v="Phone 1"/>
    <n v="1"/>
    <n v="4155.97"/>
    <n v="20"/>
    <x v="4"/>
    <x v="2"/>
  </r>
  <r>
    <s v="ORD1678"/>
    <x v="393"/>
    <x v="439"/>
    <s v="Anjali"/>
    <x v="1"/>
    <s v="Jaipur"/>
    <x v="2"/>
    <s v="Phone"/>
    <s v="Phone 10"/>
    <n v="10"/>
    <n v="21994.18"/>
    <n v="0"/>
    <x v="3"/>
    <x v="3"/>
  </r>
  <r>
    <s v="ORD1679"/>
    <x v="394"/>
    <x v="417"/>
    <s v="Anjali"/>
    <x v="1"/>
    <s v="Kolkata"/>
    <x v="3"/>
    <s v="Paper"/>
    <s v="Paper 3"/>
    <n v="7"/>
    <n v="9221.2999999999993"/>
    <n v="10"/>
    <x v="4"/>
    <x v="3"/>
  </r>
  <r>
    <s v="ORD1680"/>
    <x v="322"/>
    <x v="333"/>
    <s v="Karan"/>
    <x v="0"/>
    <s v="Mumbai"/>
    <x v="0"/>
    <s v="Chair"/>
    <s v="Chair 28"/>
    <n v="5"/>
    <n v="1615.06"/>
    <n v="5"/>
    <x v="5"/>
    <x v="3"/>
  </r>
  <r>
    <s v="ORD1681"/>
    <x v="264"/>
    <x v="239"/>
    <s v="Sneha"/>
    <x v="3"/>
    <s v="Delhi"/>
    <x v="1"/>
    <s v="Laptop"/>
    <s v="Laptop 2"/>
    <n v="3"/>
    <n v="11585.04"/>
    <s v="10 %"/>
    <x v="0"/>
    <x v="1"/>
  </r>
  <r>
    <s v="ORD1682"/>
    <x v="245"/>
    <x v="241"/>
    <s v="Amit"/>
    <x v="2"/>
    <s v="Kolkata"/>
    <x v="3"/>
    <s v="Paper"/>
    <s v="Paper 9"/>
    <n v="4"/>
    <n v="3953"/>
    <n v="15"/>
    <x v="0"/>
    <x v="3"/>
  </r>
  <r>
    <s v="ORD1683"/>
    <x v="395"/>
    <x v="440"/>
    <s v="Arjun"/>
    <x v="1"/>
    <s v="Delhi"/>
    <x v="0"/>
    <s v="Chair"/>
    <s v="Chair 17"/>
    <n v="9"/>
    <n v="38428.85"/>
    <n v="10"/>
    <x v="4"/>
    <x v="2"/>
  </r>
  <r>
    <s v="ORD1684"/>
    <x v="396"/>
    <x v="441"/>
    <s v="Priya"/>
    <x v="4"/>
    <s v="Bengaluru"/>
    <x v="1"/>
    <s v="Laptop"/>
    <s v="Laptop 25"/>
    <n v="7"/>
    <n v="4208.5"/>
    <n v="0"/>
    <x v="5"/>
    <x v="0"/>
  </r>
  <r>
    <s v="ORD1686"/>
    <x v="397"/>
    <x v="103"/>
    <s v="Neha"/>
    <x v="2"/>
    <s v="Bengaluru"/>
    <x v="1"/>
    <s v="Phone"/>
    <s v="Phone 21"/>
    <n v="-4"/>
    <n v="17025.349999999999"/>
    <s v="10 %"/>
    <x v="2"/>
    <x v="1"/>
  </r>
  <r>
    <s v="ORD1687"/>
    <x v="398"/>
    <x v="442"/>
    <s v="Neha"/>
    <x v="2"/>
    <s v="Mumbai"/>
    <x v="2"/>
    <s v="Phone"/>
    <s v="Phone 27"/>
    <n v="6"/>
    <n v="5443.13"/>
    <n v="0"/>
    <x v="0"/>
    <x v="0"/>
  </r>
  <r>
    <s v="ORD1688"/>
    <x v="219"/>
    <x v="121"/>
    <s v="Neha"/>
    <x v="4"/>
    <s v="Kolkata"/>
    <x v="1"/>
    <s v="Laptop"/>
    <s v="Laptop 19"/>
    <n v="8"/>
    <n v="18122.2"/>
    <n v="20"/>
    <x v="4"/>
    <x v="3"/>
  </r>
  <r>
    <s v="ORD1690"/>
    <x v="131"/>
    <x v="443"/>
    <s v="Sneha"/>
    <x v="3"/>
    <s v="Mumbai"/>
    <x v="3"/>
    <s v="Paper"/>
    <s v="Paper 26"/>
    <n v="1"/>
    <n v="4270.74"/>
    <n v="5"/>
    <x v="4"/>
    <x v="0"/>
  </r>
  <r>
    <s v="ORD1692"/>
    <x v="399"/>
    <x v="444"/>
    <s v="Riya"/>
    <x v="3"/>
    <s v="Mumbai"/>
    <x v="0"/>
    <s v="Chair"/>
    <s v="Chair 15"/>
    <n v="5"/>
    <n v="14492.19"/>
    <n v="10"/>
    <x v="2"/>
    <x v="2"/>
  </r>
  <r>
    <s v="ORD1694"/>
    <x v="400"/>
    <x v="445"/>
    <s v="Neha"/>
    <x v="3"/>
    <s v="delhi "/>
    <x v="0"/>
    <s v="Table"/>
    <s v="Table 27"/>
    <n v="4"/>
    <n v="1253.58"/>
    <n v="0"/>
    <x v="2"/>
    <x v="1"/>
  </r>
  <r>
    <s v="ORD1695"/>
    <x v="245"/>
    <x v="446"/>
    <s v="Riya"/>
    <x v="2"/>
    <s v="Bengaluru"/>
    <x v="0"/>
    <s v="Chair"/>
    <s v="Chair 19"/>
    <n v="8"/>
    <n v="32015.759999999998"/>
    <n v="15"/>
    <x v="5"/>
    <x v="0"/>
  </r>
  <r>
    <s v="ORD1696"/>
    <x v="401"/>
    <x v="340"/>
    <s v="Sneha"/>
    <x v="1"/>
    <s v="Pune"/>
    <x v="1"/>
    <s v="Phone"/>
    <s v="Phone 1"/>
    <n v="10"/>
    <n v="19527.2"/>
    <n v="15"/>
    <x v="2"/>
    <x v="0"/>
  </r>
  <r>
    <s v="ORD1697"/>
    <x v="79"/>
    <x v="403"/>
    <s v="Arjun"/>
    <x v="0"/>
    <s v="delhi "/>
    <x v="3"/>
    <s v="Paper"/>
    <s v="Paper 19"/>
    <n v="7"/>
    <n v="3460.3"/>
    <n v="10"/>
    <x v="0"/>
    <x v="3"/>
  </r>
  <r>
    <s v="ORD1698"/>
    <x v="184"/>
    <x v="101"/>
    <s v="Amit"/>
    <x v="4"/>
    <s v="delhi "/>
    <x v="0"/>
    <s v="Table"/>
    <s v="Table 2"/>
    <n v="6"/>
    <n v="13117.12"/>
    <n v="20"/>
    <x v="1"/>
    <x v="0"/>
  </r>
  <r>
    <s v="ORD1699"/>
    <x v="378"/>
    <x v="352"/>
    <s v="Vikas"/>
    <x v="2"/>
    <s v="Kolkata"/>
    <x v="2"/>
    <s v="Phone"/>
    <s v="Phone 3"/>
    <n v="7"/>
    <n v="13201.9"/>
    <n v="5"/>
    <x v="3"/>
    <x v="0"/>
  </r>
  <r>
    <s v="ORD1702"/>
    <x v="214"/>
    <x v="447"/>
    <s v="Karan"/>
    <x v="1"/>
    <s v="Jaipur"/>
    <x v="0"/>
    <s v="Chair"/>
    <s v="Chair 25"/>
    <n v="3"/>
    <n v="14103.58"/>
    <s v="10 %"/>
    <x v="4"/>
    <x v="3"/>
  </r>
  <r>
    <s v="ORD1703"/>
    <x v="176"/>
    <x v="23"/>
    <s v="Arjun"/>
    <x v="1"/>
    <s v="Jaipur"/>
    <x v="1"/>
    <s v="Laptop"/>
    <s v="Laptop 13"/>
    <n v="8"/>
    <n v="3182.2"/>
    <n v="20"/>
    <x v="0"/>
    <x v="1"/>
  </r>
  <r>
    <s v="ORD1704"/>
    <x v="402"/>
    <x v="63"/>
    <s v="Sneha "/>
    <x v="1"/>
    <s v="Jaipur"/>
    <x v="1"/>
    <s v="Laptop"/>
    <s v="Laptop 22"/>
    <n v="8"/>
    <n v="26399.54"/>
    <n v="20"/>
    <x v="1"/>
    <x v="0"/>
  </r>
  <r>
    <s v="ORD1705"/>
    <x v="38"/>
    <x v="448"/>
    <s v="Anjali"/>
    <x v="2"/>
    <s v="Mumbai"/>
    <x v="1"/>
    <s v="Phone"/>
    <s v="Phone 19"/>
    <n v="2"/>
    <n v="1128.21"/>
    <n v="20"/>
    <x v="1"/>
    <x v="2"/>
  </r>
  <r>
    <s v="ORD1706"/>
    <x v="398"/>
    <x v="81"/>
    <s v="Karan"/>
    <x v="2"/>
    <s v="Mumbai"/>
    <x v="1"/>
    <s v="Laptop"/>
    <s v="Laptop 2"/>
    <n v="8"/>
    <n v="22769.5"/>
    <n v="20"/>
    <x v="3"/>
    <x v="3"/>
  </r>
  <r>
    <s v="ORD1707"/>
    <x v="43"/>
    <x v="219"/>
    <s v="Sneha"/>
    <x v="0"/>
    <s v="Jaipur"/>
    <x v="0"/>
    <s v="Chair"/>
    <s v="Chair 22"/>
    <n v="4"/>
    <n v="10815.75"/>
    <n v="15"/>
    <x v="2"/>
    <x v="3"/>
  </r>
  <r>
    <s v="ORD1708"/>
    <x v="234"/>
    <x v="449"/>
    <s v="Riya"/>
    <x v="4"/>
    <s v="Bengaluru"/>
    <x v="3"/>
    <s v="Paper"/>
    <s v="Paper 25"/>
    <n v="3"/>
    <n v="11050.56"/>
    <n v="10"/>
    <x v="1"/>
    <x v="0"/>
  </r>
  <r>
    <s v="ORD1710"/>
    <x v="108"/>
    <x v="450"/>
    <s v="Sneha"/>
    <x v="0"/>
    <s v="Pune"/>
    <x v="0"/>
    <s v="Chair"/>
    <s v="Chair 7"/>
    <n v="1"/>
    <n v="1774.04"/>
    <n v="5"/>
    <x v="5"/>
    <x v="0"/>
  </r>
  <r>
    <s v="ORD1711"/>
    <x v="105"/>
    <x v="152"/>
    <s v="Priya"/>
    <x v="0"/>
    <s v="Jaipur"/>
    <x v="3"/>
    <s v="Paper"/>
    <s v="Paper 13"/>
    <n v="8"/>
    <n v="20409.36"/>
    <n v="0"/>
    <x v="4"/>
    <x v="2"/>
  </r>
  <r>
    <s v="ORD1712"/>
    <x v="113"/>
    <x v="155"/>
    <s v="Riya"/>
    <x v="1"/>
    <s v="Jaipur"/>
    <x v="3"/>
    <s v="Paper"/>
    <s v="Paper 8"/>
    <n v="6"/>
    <n v="29671.759999999998"/>
    <n v="10"/>
    <x v="3"/>
    <x v="3"/>
  </r>
  <r>
    <s v="ORD1713"/>
    <x v="15"/>
    <x v="346"/>
    <s v="Amit"/>
    <x v="1"/>
    <s v="Pune"/>
    <x v="0"/>
    <s v="Chair"/>
    <s v="Chair 28"/>
    <n v="9"/>
    <n v="36625.980000000003"/>
    <n v="10"/>
    <x v="0"/>
    <x v="2"/>
  </r>
  <r>
    <s v="ORD1714"/>
    <x v="403"/>
    <x v="289"/>
    <s v="Sneha"/>
    <x v="0"/>
    <s v="Mumbai"/>
    <x v="3"/>
    <s v="Paper"/>
    <s v="Paper 11"/>
    <n v="10"/>
    <n v="33026.99"/>
    <n v="10"/>
    <x v="0"/>
    <x v="2"/>
  </r>
  <r>
    <s v="ORD1715"/>
    <x v="404"/>
    <x v="451"/>
    <s v="Neha"/>
    <x v="3"/>
    <s v="Jaipur"/>
    <x v="0"/>
    <s v="Table"/>
    <s v="Table 2"/>
    <n v="9"/>
    <n v="34205.379999999997"/>
    <s v="10 %"/>
    <x v="0"/>
    <x v="0"/>
  </r>
  <r>
    <s v="ORD1716"/>
    <x v="117"/>
    <x v="332"/>
    <s v="Sneha"/>
    <x v="2"/>
    <s v="Mumbai"/>
    <x v="2"/>
    <s v="Phone"/>
    <s v="Phone 2"/>
    <n v="10"/>
    <n v="31389.16"/>
    <n v="10"/>
    <x v="2"/>
    <x v="2"/>
  </r>
  <r>
    <s v="ORD1717"/>
    <x v="204"/>
    <x v="448"/>
    <s v="Vikas"/>
    <x v="1"/>
    <s v="Mumbai"/>
    <x v="2"/>
    <s v="Phone"/>
    <s v="Phone 28"/>
    <n v="10"/>
    <n v="42484.57"/>
    <n v="0"/>
    <x v="2"/>
    <x v="3"/>
  </r>
  <r>
    <s v="ORD1718"/>
    <x v="180"/>
    <x v="452"/>
    <s v="Rahul"/>
    <x v="2"/>
    <s v="Delhi"/>
    <x v="0"/>
    <s v="Chair"/>
    <s v="Chair 14"/>
    <n v="5"/>
    <n v="13686.64"/>
    <n v="5"/>
    <x v="3"/>
    <x v="3"/>
  </r>
  <r>
    <s v="ORD1719"/>
    <x v="405"/>
    <x v="453"/>
    <s v="Amit"/>
    <x v="2"/>
    <s v="Delhi"/>
    <x v="0"/>
    <s v="Table"/>
    <s v="Table 25"/>
    <n v="8"/>
    <n v="24580.52"/>
    <n v="10"/>
    <x v="0"/>
    <x v="0"/>
  </r>
  <r>
    <s v="ORD1720"/>
    <x v="406"/>
    <x v="454"/>
    <s v="Riya"/>
    <x v="4"/>
    <s v="Delhi"/>
    <x v="0"/>
    <s v="Chair"/>
    <s v="Chair 25"/>
    <n v="4"/>
    <n v="17497.41"/>
    <n v="10"/>
    <x v="1"/>
    <x v="0"/>
  </r>
  <r>
    <s v="ORD1721"/>
    <x v="375"/>
    <x v="455"/>
    <s v="Rahul"/>
    <x v="4"/>
    <s v="Kolkata"/>
    <x v="1"/>
    <s v="Laptop"/>
    <s v="Laptop 13"/>
    <n v="1"/>
    <n v="4878.66"/>
    <n v="15"/>
    <x v="3"/>
    <x v="1"/>
  </r>
  <r>
    <s v="ORD1723"/>
    <x v="333"/>
    <x v="456"/>
    <s v="Arjun"/>
    <x v="0"/>
    <s v="delhi "/>
    <x v="1"/>
    <s v="Laptop"/>
    <s v="Laptop 12"/>
    <n v="2"/>
    <n v="1288.83"/>
    <n v="0"/>
    <x v="2"/>
    <x v="0"/>
  </r>
  <r>
    <s v="ORD1724"/>
    <x v="340"/>
    <x v="457"/>
    <s v="Vikas"/>
    <x v="2"/>
    <s v="Pune"/>
    <x v="1"/>
    <s v="Phone"/>
    <s v="Phone 27"/>
    <n v="6"/>
    <n v="23909.02"/>
    <s v="10 %"/>
    <x v="5"/>
    <x v="3"/>
  </r>
  <r>
    <s v="ORD1726"/>
    <x v="407"/>
    <x v="327"/>
    <s v="Neha "/>
    <x v="0"/>
    <s v="Delhi"/>
    <x v="1"/>
    <s v="Laptop"/>
    <s v="Laptop 12"/>
    <n v="8"/>
    <n v="10899.54"/>
    <n v="0"/>
    <x v="1"/>
    <x v="1"/>
  </r>
  <r>
    <s v="ORD1727"/>
    <x v="236"/>
    <x v="63"/>
    <s v="Riya"/>
    <x v="3"/>
    <s v="Pune"/>
    <x v="0"/>
    <s v="Table"/>
    <s v="Table 6"/>
    <n v="7"/>
    <n v="32245.99"/>
    <n v="15"/>
    <x v="2"/>
    <x v="0"/>
  </r>
  <r>
    <s v="ORD1728"/>
    <x v="10"/>
    <x v="458"/>
    <s v="Sneha"/>
    <x v="2"/>
    <s v="Pune"/>
    <x v="2"/>
    <s v="Phone"/>
    <s v="Phone 20"/>
    <n v="1"/>
    <n v="1439.57"/>
    <s v="10 %"/>
    <x v="5"/>
    <x v="0"/>
  </r>
  <r>
    <s v="ORD1729"/>
    <x v="408"/>
    <x v="46"/>
    <s v="Priya"/>
    <x v="2"/>
    <s v="Mumbai"/>
    <x v="1"/>
    <s v="Laptop"/>
    <s v="Laptop 3"/>
    <n v="9"/>
    <n v="18611.97"/>
    <n v="0"/>
    <x v="0"/>
    <x v="0"/>
  </r>
  <r>
    <s v="ORD1730"/>
    <x v="341"/>
    <x v="459"/>
    <s v="Neha"/>
    <x v="0"/>
    <s v="Bengaluru"/>
    <x v="3"/>
    <s v="Paper"/>
    <s v="Paper 18"/>
    <n v="7"/>
    <n v="25398.47"/>
    <n v="5"/>
    <x v="3"/>
    <x v="0"/>
  </r>
  <r>
    <s v="ORD1731"/>
    <x v="98"/>
    <x v="288"/>
    <s v="Riya"/>
    <x v="0"/>
    <s v="Pune"/>
    <x v="0"/>
    <s v="Table"/>
    <s v="Table 25"/>
    <n v="2"/>
    <n v="4673.05"/>
    <s v="10 %"/>
    <x v="5"/>
    <x v="0"/>
  </r>
  <r>
    <s v="ORD1732"/>
    <x v="409"/>
    <x v="176"/>
    <s v="Priya"/>
    <x v="3"/>
    <s v="delhi "/>
    <x v="0"/>
    <s v="Chair"/>
    <s v="Chair 4"/>
    <n v="6"/>
    <n v="14229.29"/>
    <n v="20"/>
    <x v="2"/>
    <x v="0"/>
  </r>
  <r>
    <s v="ORD1734"/>
    <x v="0"/>
    <x v="213"/>
    <s v="Arjun"/>
    <x v="3"/>
    <s v="Delhi"/>
    <x v="1"/>
    <s v="Laptop"/>
    <s v="Laptop 5"/>
    <n v="3"/>
    <n v="4460.5"/>
    <n v="20"/>
    <x v="2"/>
    <x v="1"/>
  </r>
  <r>
    <s v="ORD1735"/>
    <x v="194"/>
    <x v="178"/>
    <s v="Riya"/>
    <x v="2"/>
    <s v="delhi "/>
    <x v="0"/>
    <s v="Chair"/>
    <s v="Chair 7"/>
    <n v="6"/>
    <n v="17340.22"/>
    <s v="10 %"/>
    <x v="0"/>
    <x v="1"/>
  </r>
  <r>
    <s v="ORD1736"/>
    <x v="93"/>
    <x v="310"/>
    <s v="Anjali"/>
    <x v="2"/>
    <s v="Pune"/>
    <x v="3"/>
    <s v="Paper"/>
    <s v="Paper 1"/>
    <n v="3"/>
    <n v="3829.36"/>
    <s v="10 %"/>
    <x v="5"/>
    <x v="3"/>
  </r>
  <r>
    <s v="ORD1737"/>
    <x v="336"/>
    <x v="107"/>
    <s v="Anjali"/>
    <x v="0"/>
    <s v="Pune"/>
    <x v="2"/>
    <s v="Phone"/>
    <s v="Phone 21"/>
    <n v="8"/>
    <n v="7489.78"/>
    <n v="5"/>
    <x v="3"/>
    <x v="1"/>
  </r>
  <r>
    <s v="ORD1738"/>
    <x v="307"/>
    <x v="460"/>
    <s v="Riya"/>
    <x v="0"/>
    <s v="Bengaluru"/>
    <x v="3"/>
    <s v="Paper"/>
    <s v="Paper 11"/>
    <n v="7"/>
    <n v="28140.15"/>
    <n v="0"/>
    <x v="3"/>
    <x v="3"/>
  </r>
  <r>
    <s v="ORD1739"/>
    <x v="358"/>
    <x v="203"/>
    <s v="Sneha"/>
    <x v="0"/>
    <s v="Bengaluru"/>
    <x v="1"/>
    <s v="Phone"/>
    <s v="Phone 30"/>
    <n v="9"/>
    <n v="4579.21"/>
    <n v="0"/>
    <x v="0"/>
    <x v="1"/>
  </r>
  <r>
    <s v="ORD1740"/>
    <x v="256"/>
    <x v="102"/>
    <s v="Sneha"/>
    <x v="0"/>
    <s v="Jaipur"/>
    <x v="0"/>
    <s v="Chair"/>
    <s v="Chair 4"/>
    <n v="7"/>
    <n v="21021.279999999999"/>
    <n v="0"/>
    <x v="3"/>
    <x v="3"/>
  </r>
  <r>
    <s v="ORD1741"/>
    <x v="148"/>
    <x v="40"/>
    <s v="Priya"/>
    <x v="2"/>
    <s v="Mumbai"/>
    <x v="0"/>
    <s v="Table"/>
    <s v="Table 11"/>
    <n v="5"/>
    <n v="19013.8"/>
    <n v="5"/>
    <x v="2"/>
    <x v="3"/>
  </r>
  <r>
    <s v="ORD1742"/>
    <x v="183"/>
    <x v="461"/>
    <s v="Rahul"/>
    <x v="0"/>
    <s v="Kolkata"/>
    <x v="1"/>
    <s v="Laptop"/>
    <s v="Laptop 16"/>
    <n v="2"/>
    <n v="9820.48"/>
    <n v="0"/>
    <x v="3"/>
    <x v="1"/>
  </r>
  <r>
    <s v="ORD1744"/>
    <x v="112"/>
    <x v="219"/>
    <s v="Neha"/>
    <x v="3"/>
    <s v="Mumbai"/>
    <x v="2"/>
    <s v="Phone"/>
    <s v="Phone 12"/>
    <n v="1"/>
    <n v="4544.12"/>
    <n v="20"/>
    <x v="4"/>
    <x v="3"/>
  </r>
  <r>
    <s v="ORD1745"/>
    <x v="70"/>
    <x v="462"/>
    <s v="Priya"/>
    <x v="0"/>
    <s v="Kolkata"/>
    <x v="0"/>
    <s v="Table"/>
    <s v="Table 16"/>
    <n v="7"/>
    <n v="5249.2"/>
    <s v="10 %"/>
    <x v="1"/>
    <x v="3"/>
  </r>
  <r>
    <s v="ORD1747"/>
    <x v="410"/>
    <x v="463"/>
    <s v="Riya"/>
    <x v="2"/>
    <s v="Delhi"/>
    <x v="1"/>
    <s v="Phone"/>
    <s v="Phone 2"/>
    <n v="6"/>
    <n v="23380.25"/>
    <n v="15"/>
    <x v="2"/>
    <x v="3"/>
  </r>
  <r>
    <s v="ORD1748"/>
    <x v="300"/>
    <x v="464"/>
    <s v="Anjali"/>
    <x v="4"/>
    <s v="Jaipur"/>
    <x v="1"/>
    <s v="Laptop"/>
    <s v="Laptop 22"/>
    <n v="10"/>
    <n v="16114.68"/>
    <n v="10"/>
    <x v="2"/>
    <x v="2"/>
  </r>
  <r>
    <s v="ORD1749"/>
    <x v="72"/>
    <x v="465"/>
    <s v="Neha "/>
    <x v="4"/>
    <s v="Delhi"/>
    <x v="0"/>
    <s v="Chair"/>
    <s v="Chair 23"/>
    <n v="8"/>
    <n v="32792.42"/>
    <n v="20"/>
    <x v="5"/>
    <x v="0"/>
  </r>
  <r>
    <s v="ORD1750"/>
    <x v="359"/>
    <x v="275"/>
    <s v="Neha"/>
    <x v="0"/>
    <s v="Delhi"/>
    <x v="1"/>
    <s v="Phone"/>
    <s v="Phone 3"/>
    <n v="3"/>
    <n v="5081.91"/>
    <n v="0"/>
    <x v="3"/>
    <x v="2"/>
  </r>
  <r>
    <s v="ORD1751"/>
    <x v="411"/>
    <x v="466"/>
    <s v="Anjali"/>
    <x v="0"/>
    <s v="Mumbai"/>
    <x v="0"/>
    <s v="Table"/>
    <s v="Table 6"/>
    <n v="3"/>
    <n v="13204.21"/>
    <n v="10"/>
    <x v="4"/>
    <x v="0"/>
  </r>
  <r>
    <s v="ORD1752"/>
    <x v="14"/>
    <x v="310"/>
    <s v="Priya"/>
    <x v="4"/>
    <s v="Mumbai"/>
    <x v="1"/>
    <s v="Laptop"/>
    <s v="Laptop 21"/>
    <n v="7"/>
    <n v="10308.33"/>
    <n v="0"/>
    <x v="1"/>
    <x v="0"/>
  </r>
  <r>
    <s v="ORD1754"/>
    <x v="412"/>
    <x v="376"/>
    <s v="Amit"/>
    <x v="4"/>
    <s v="Pune"/>
    <x v="0"/>
    <s v="Table"/>
    <s v="Table 6"/>
    <n v="4"/>
    <n v="6038.49"/>
    <n v="15"/>
    <x v="4"/>
    <x v="3"/>
  </r>
  <r>
    <s v="ORD1362"/>
    <x v="230"/>
    <x v="211"/>
    <s v="Vikas"/>
    <x v="2"/>
    <s v="delhi "/>
    <x v="0"/>
    <s v="Chair"/>
    <s v="Chair 21"/>
    <n v="4"/>
    <n v="7597.09"/>
    <n v="15"/>
    <x v="3"/>
    <x v="1"/>
  </r>
  <r>
    <s v="ORD1756"/>
    <x v="413"/>
    <x v="467"/>
    <s v="Riya"/>
    <x v="0"/>
    <s v="Mumbai"/>
    <x v="1"/>
    <s v="Phone"/>
    <s v="Phone 14"/>
    <n v="3"/>
    <n v="9635.77"/>
    <n v="10"/>
    <x v="1"/>
    <x v="0"/>
  </r>
  <r>
    <s v="ORD1757"/>
    <x v="414"/>
    <x v="436"/>
    <s v="Karan"/>
    <x v="2"/>
    <s v="Delhi"/>
    <x v="0"/>
    <s v="Table"/>
    <s v="Table 12"/>
    <n v="1"/>
    <n v="3431.88"/>
    <s v="10 %"/>
    <x v="2"/>
    <x v="2"/>
  </r>
  <r>
    <s v="ORD1758"/>
    <x v="415"/>
    <x v="468"/>
    <s v="Priya"/>
    <x v="4"/>
    <s v="Pune"/>
    <x v="3"/>
    <s v="Paper"/>
    <s v="Paper 15"/>
    <n v="1"/>
    <n v="4078.77"/>
    <n v="15"/>
    <x v="4"/>
    <x v="0"/>
  </r>
  <r>
    <s v="ORD1759"/>
    <x v="290"/>
    <x v="469"/>
    <s v="Anjali"/>
    <x v="2"/>
    <s v="Pune"/>
    <x v="1"/>
    <s v="Laptop"/>
    <s v="Laptop 18"/>
    <n v="10"/>
    <n v="21903.19"/>
    <n v="10"/>
    <x v="4"/>
    <x v="0"/>
  </r>
  <r>
    <s v="ORD1760"/>
    <x v="132"/>
    <x v="354"/>
    <s v="Vikas"/>
    <x v="4"/>
    <s v="Kolkata"/>
    <x v="1"/>
    <s v="Phone"/>
    <s v="Phone 30"/>
    <n v="9"/>
    <n v="18940.439999999999"/>
    <n v="20"/>
    <x v="4"/>
    <x v="0"/>
  </r>
  <r>
    <s v="ORD1761"/>
    <x v="416"/>
    <x v="88"/>
    <s v="Rahul"/>
    <x v="0"/>
    <s v="Mumbai"/>
    <x v="0"/>
    <s v="Chair"/>
    <s v="Chair 18"/>
    <n v="4"/>
    <n v="13320.25"/>
    <n v="20"/>
    <x v="2"/>
    <x v="1"/>
  </r>
  <r>
    <s v="ORD1762"/>
    <x v="417"/>
    <x v="470"/>
    <s v="Neha"/>
    <x v="0"/>
    <s v="Bengaluru"/>
    <x v="1"/>
    <s v="Laptop"/>
    <s v="Laptop 2"/>
    <n v="8"/>
    <n v="39045"/>
    <n v="0"/>
    <x v="2"/>
    <x v="3"/>
  </r>
  <r>
    <s v="ORD1763"/>
    <x v="418"/>
    <x v="461"/>
    <s v="Priya"/>
    <x v="3"/>
    <s v="Mumbai"/>
    <x v="0"/>
    <s v="Table"/>
    <s v="Table 6"/>
    <n v="8"/>
    <n v="24820.09"/>
    <n v="15"/>
    <x v="2"/>
    <x v="3"/>
  </r>
  <r>
    <s v="ORD1764"/>
    <x v="419"/>
    <x v="471"/>
    <s v="Arjun"/>
    <x v="0"/>
    <s v="delhi "/>
    <x v="2"/>
    <s v="Phone"/>
    <s v="Phone 22"/>
    <n v="2"/>
    <n v="2518.9499999999998"/>
    <s v="10 %"/>
    <x v="1"/>
    <x v="2"/>
  </r>
  <r>
    <s v="ORD1765"/>
    <x v="389"/>
    <x v="472"/>
    <s v="Karan"/>
    <x v="3"/>
    <s v="Jaipur"/>
    <x v="0"/>
    <s v="Chair"/>
    <s v="Chair 15"/>
    <n v="9"/>
    <n v="20670.43"/>
    <n v="5"/>
    <x v="1"/>
    <x v="3"/>
  </r>
  <r>
    <s v="ORD1768"/>
    <x v="420"/>
    <x v="473"/>
    <s v="Sneha"/>
    <x v="2"/>
    <s v="Delhi"/>
    <x v="2"/>
    <s v="Phone"/>
    <s v="Phone 9"/>
    <n v="2"/>
    <n v="8444"/>
    <n v="5"/>
    <x v="2"/>
    <x v="3"/>
  </r>
  <r>
    <s v="ORD1769"/>
    <x v="324"/>
    <x v="474"/>
    <s v="Neha"/>
    <x v="1"/>
    <s v="Kolkata"/>
    <x v="2"/>
    <s v="Phone"/>
    <s v="Phone 14"/>
    <n v="5"/>
    <n v="22058.81"/>
    <n v="0"/>
    <x v="3"/>
    <x v="0"/>
  </r>
  <r>
    <s v="ORD1770"/>
    <x v="421"/>
    <x v="312"/>
    <s v="Vikas"/>
    <x v="2"/>
    <s v="Jaipur"/>
    <x v="3"/>
    <s v="Paper"/>
    <s v="Paper 18"/>
    <n v="9"/>
    <n v="44645.86"/>
    <n v="10"/>
    <x v="3"/>
    <x v="2"/>
  </r>
  <r>
    <s v="ORD1771"/>
    <x v="422"/>
    <x v="475"/>
    <s v="Neha"/>
    <x v="0"/>
    <s v="Bengaluru"/>
    <x v="2"/>
    <s v="Phone"/>
    <s v="Phone 6"/>
    <n v="3"/>
    <n v="8727.8700000000008"/>
    <n v="5"/>
    <x v="3"/>
    <x v="1"/>
  </r>
  <r>
    <s v="ORD1772"/>
    <x v="100"/>
    <x v="476"/>
    <s v="Arjun"/>
    <x v="0"/>
    <s v="delhi "/>
    <x v="0"/>
    <s v="Chair"/>
    <s v="Chair 6"/>
    <n v="4"/>
    <n v="13069.82"/>
    <n v="15"/>
    <x v="5"/>
    <x v="0"/>
  </r>
  <r>
    <s v="ORD1773"/>
    <x v="423"/>
    <x v="457"/>
    <s v="Vikas"/>
    <x v="2"/>
    <s v="Mumbai"/>
    <x v="1"/>
    <s v="Phone"/>
    <s v="Phone 26"/>
    <n v="4"/>
    <n v="12403.08"/>
    <s v="10 %"/>
    <x v="4"/>
    <x v="2"/>
  </r>
  <r>
    <s v="ORD1774"/>
    <x v="27"/>
    <x v="477"/>
    <s v="Priya"/>
    <x v="1"/>
    <s v="Jaipur"/>
    <x v="0"/>
    <s v="Chair"/>
    <s v="Chair 17"/>
    <n v="8"/>
    <n v="17409.89"/>
    <n v="20"/>
    <x v="5"/>
    <x v="2"/>
  </r>
  <r>
    <s v="ORD1775"/>
    <x v="310"/>
    <x v="478"/>
    <s v="Amit"/>
    <x v="2"/>
    <s v="Mumbai"/>
    <x v="1"/>
    <s v="Phone"/>
    <s v="Phone 14"/>
    <n v="3"/>
    <n v="12332.62"/>
    <s v="10 %"/>
    <x v="5"/>
    <x v="2"/>
  </r>
  <r>
    <s v="ORD1777"/>
    <x v="56"/>
    <x v="479"/>
    <s v="Amit"/>
    <x v="2"/>
    <s v="Jaipur"/>
    <x v="2"/>
    <s v="Phone"/>
    <s v="Phone 21"/>
    <n v="10"/>
    <n v="6507.18"/>
    <n v="15"/>
    <x v="3"/>
    <x v="3"/>
  </r>
  <r>
    <s v="ORD1778"/>
    <x v="424"/>
    <x v="480"/>
    <s v="Rahul"/>
    <x v="4"/>
    <s v="Kolkata"/>
    <x v="1"/>
    <s v="Phone"/>
    <s v="Phone 10"/>
    <n v="2"/>
    <n v="6298.26"/>
    <n v="10"/>
    <x v="1"/>
    <x v="3"/>
  </r>
  <r>
    <s v="ORD1780"/>
    <x v="425"/>
    <x v="481"/>
    <s v="Rahul"/>
    <x v="2"/>
    <s v="Mumbai"/>
    <x v="3"/>
    <s v="Paper"/>
    <s v="Paper 28"/>
    <n v="10"/>
    <n v="20744.78"/>
    <n v="0"/>
    <x v="0"/>
    <x v="0"/>
  </r>
  <r>
    <s v="ORD1781"/>
    <x v="426"/>
    <x v="482"/>
    <s v="Amit"/>
    <x v="1"/>
    <s v="Kolkata"/>
    <x v="0"/>
    <s v="Chair"/>
    <s v="Chair 24"/>
    <n v="2"/>
    <n v="3879.1"/>
    <s v="10 %"/>
    <x v="3"/>
    <x v="3"/>
  </r>
  <r>
    <s v="ORD1782"/>
    <x v="144"/>
    <x v="420"/>
    <s v="Amit"/>
    <x v="3"/>
    <s v="Bengaluru"/>
    <x v="2"/>
    <s v="Phone"/>
    <s v="Phone 9"/>
    <n v="10"/>
    <n v="11276.63"/>
    <n v="0"/>
    <x v="0"/>
    <x v="1"/>
  </r>
  <r>
    <s v="ORD1783"/>
    <x v="235"/>
    <x v="483"/>
    <s v="Arjun"/>
    <x v="0"/>
    <s v="Kolkata"/>
    <x v="1"/>
    <s v="Phone"/>
    <s v="Phone 13"/>
    <n v="6"/>
    <n v="6007.08"/>
    <n v="15"/>
    <x v="3"/>
    <x v="3"/>
  </r>
  <r>
    <s v="ORD1784"/>
    <x v="427"/>
    <x v="484"/>
    <s v="Anjali"/>
    <x v="1"/>
    <s v="Jaipur"/>
    <x v="1"/>
    <s v="Laptop"/>
    <s v="Laptop 2"/>
    <n v="1"/>
    <n v="480"/>
    <n v="15"/>
    <x v="0"/>
    <x v="0"/>
  </r>
  <r>
    <s v="ORD1785"/>
    <x v="428"/>
    <x v="412"/>
    <s v="Amit"/>
    <x v="4"/>
    <s v="delhi "/>
    <x v="0"/>
    <s v="Table"/>
    <s v="Table 9"/>
    <n v="2"/>
    <n v="8758"/>
    <s v="10 %"/>
    <x v="4"/>
    <x v="2"/>
  </r>
  <r>
    <s v="ORD1786"/>
    <x v="209"/>
    <x v="485"/>
    <s v="Priya "/>
    <x v="1"/>
    <s v="Pune"/>
    <x v="2"/>
    <s v="Phone"/>
    <s v="Phone 16"/>
    <n v="10"/>
    <n v="20782.91"/>
    <n v="10"/>
    <x v="4"/>
    <x v="3"/>
  </r>
  <r>
    <s v="ORD1787"/>
    <x v="243"/>
    <x v="486"/>
    <s v="Amit"/>
    <x v="3"/>
    <s v="Delhi"/>
    <x v="3"/>
    <s v="Paper"/>
    <s v="Paper 2"/>
    <n v="7"/>
    <n v="7426.27"/>
    <n v="15"/>
    <x v="3"/>
    <x v="0"/>
  </r>
  <r>
    <s v="ORD1789"/>
    <x v="42"/>
    <x v="102"/>
    <s v="Karan"/>
    <x v="3"/>
    <s v="Pune"/>
    <x v="3"/>
    <s v="Paper"/>
    <s v="Paper 8"/>
    <n v="3"/>
    <n v="7989.84"/>
    <n v="10"/>
    <x v="2"/>
    <x v="1"/>
  </r>
  <r>
    <s v="ORD1790"/>
    <x v="429"/>
    <x v="487"/>
    <s v="Vikas"/>
    <x v="1"/>
    <s v="Jaipur"/>
    <x v="0"/>
    <s v="Table"/>
    <s v="Table 16"/>
    <n v="10"/>
    <n v="22306.57"/>
    <n v="20"/>
    <x v="4"/>
    <x v="3"/>
  </r>
  <r>
    <s v="ORD1792"/>
    <x v="225"/>
    <x v="166"/>
    <s v="Riya"/>
    <x v="0"/>
    <s v="Delhi"/>
    <x v="3"/>
    <s v="Paper"/>
    <s v="Paper 1"/>
    <n v="10"/>
    <n v="3099.31"/>
    <n v="15"/>
    <x v="2"/>
    <x v="3"/>
  </r>
  <r>
    <s v="ORD1793"/>
    <x v="324"/>
    <x v="488"/>
    <s v="Rahul"/>
    <x v="3"/>
    <s v="Pune"/>
    <x v="2"/>
    <s v="Phone"/>
    <s v="Phone 6"/>
    <n v="1"/>
    <n v="2909.55"/>
    <n v="10"/>
    <x v="4"/>
    <x v="3"/>
  </r>
  <r>
    <s v="ORD1794"/>
    <x v="430"/>
    <x v="345"/>
    <s v="Karan"/>
    <x v="1"/>
    <s v="Bengaluru"/>
    <x v="0"/>
    <s v="Table"/>
    <s v="Table 21"/>
    <n v="10"/>
    <n v="5408.44"/>
    <n v="15"/>
    <x v="3"/>
    <x v="3"/>
  </r>
  <r>
    <s v="ORD1795"/>
    <x v="147"/>
    <x v="212"/>
    <s v="Priya"/>
    <x v="3"/>
    <s v="Mumbai"/>
    <x v="0"/>
    <s v="Table"/>
    <s v="Table 20"/>
    <n v="6"/>
    <n v="25789.86"/>
    <n v="20"/>
    <x v="1"/>
    <x v="3"/>
  </r>
  <r>
    <s v="ORD1796"/>
    <x v="99"/>
    <x v="489"/>
    <s v="Priya"/>
    <x v="3"/>
    <s v="Bengaluru"/>
    <x v="2"/>
    <s v="Phone"/>
    <s v="Phone 20"/>
    <n v="5"/>
    <n v="24777.9"/>
    <n v="15"/>
    <x v="3"/>
    <x v="0"/>
  </r>
  <r>
    <s v="ORD1797"/>
    <x v="140"/>
    <x v="490"/>
    <s v="Vikas"/>
    <x v="4"/>
    <s v="Mumbai"/>
    <x v="0"/>
    <s v="Table"/>
    <s v="Table 23"/>
    <n v="4"/>
    <n v="15464.15"/>
    <s v="10 %"/>
    <x v="0"/>
    <x v="3"/>
  </r>
  <r>
    <s v="ORD1798"/>
    <x v="292"/>
    <x v="491"/>
    <s v="Vikas"/>
    <x v="0"/>
    <s v="Mumbai"/>
    <x v="0"/>
    <s v="Chair"/>
    <s v="Chair 12"/>
    <n v="10"/>
    <n v="40067.760000000002"/>
    <n v="0"/>
    <x v="5"/>
    <x v="3"/>
  </r>
  <r>
    <s v="ORD1800"/>
    <x v="431"/>
    <x v="492"/>
    <s v="Karan"/>
    <x v="0"/>
    <s v="Mumbai"/>
    <x v="2"/>
    <s v="Phone"/>
    <s v="Phone 20"/>
    <n v="2"/>
    <n v="9680.09"/>
    <n v="10"/>
    <x v="3"/>
    <x v="1"/>
  </r>
  <r>
    <s v="ORD1801"/>
    <x v="261"/>
    <x v="253"/>
    <s v="Sneha"/>
    <x v="1"/>
    <s v="Delhi"/>
    <x v="0"/>
    <s v="Table"/>
    <s v="Table 14"/>
    <n v="10"/>
    <n v="22293.4"/>
    <n v="5"/>
    <x v="4"/>
    <x v="3"/>
  </r>
  <r>
    <s v="ORD1802"/>
    <x v="432"/>
    <x v="493"/>
    <s v="Amit"/>
    <x v="1"/>
    <s v="Delhi"/>
    <x v="1"/>
    <s v="Laptop"/>
    <s v="Laptop 25"/>
    <n v="6"/>
    <n v="9370.18"/>
    <n v="0"/>
    <x v="1"/>
    <x v="2"/>
  </r>
  <r>
    <s v="ORD1803"/>
    <x v="164"/>
    <x v="494"/>
    <s v="Amit"/>
    <x v="4"/>
    <s v="Jaipur"/>
    <x v="2"/>
    <s v="Phone"/>
    <s v="Phone 12"/>
    <n v="9"/>
    <n v="1681.97"/>
    <s v="10 %"/>
    <x v="1"/>
    <x v="0"/>
  </r>
  <r>
    <s v="ORD1804"/>
    <x v="421"/>
    <x v="50"/>
    <s v="Arjun"/>
    <x v="2"/>
    <s v="Kolkata"/>
    <x v="0"/>
    <s v="Table"/>
    <s v="Table 15"/>
    <n v="7"/>
    <n v="34261.599999999999"/>
    <s v="10 %"/>
    <x v="1"/>
    <x v="0"/>
  </r>
  <r>
    <s v="ORD1806"/>
    <x v="433"/>
    <x v="370"/>
    <s v="Karan"/>
    <x v="1"/>
    <s v="Bengaluru"/>
    <x v="1"/>
    <s v="Laptop"/>
    <s v="Laptop 12"/>
    <n v="4"/>
    <n v="17542.330000000002"/>
    <n v="5"/>
    <x v="1"/>
    <x v="0"/>
  </r>
  <r>
    <s v="ORD1807"/>
    <x v="434"/>
    <x v="495"/>
    <s v="Sneha"/>
    <x v="0"/>
    <s v="Kolkata"/>
    <x v="2"/>
    <s v="Phone"/>
    <s v="Phone 14"/>
    <n v="1"/>
    <n v="2009.86"/>
    <s v="10 %"/>
    <x v="5"/>
    <x v="2"/>
  </r>
  <r>
    <s v="ORD1808"/>
    <x v="435"/>
    <x v="468"/>
    <s v="Arjun"/>
    <x v="1"/>
    <s v="Mumbai"/>
    <x v="0"/>
    <s v="Table"/>
    <s v="Table 16"/>
    <n v="8"/>
    <n v="29584.61"/>
    <n v="5"/>
    <x v="3"/>
    <x v="3"/>
  </r>
  <r>
    <s v="ORD1809"/>
    <x v="436"/>
    <x v="496"/>
    <s v="Rahul "/>
    <x v="3"/>
    <s v="Bengaluru"/>
    <x v="2"/>
    <s v="Phone"/>
    <s v="Phone 6"/>
    <n v="5"/>
    <n v="20728.38"/>
    <n v="5"/>
    <x v="3"/>
    <x v="0"/>
  </r>
  <r>
    <s v="ORD1811"/>
    <x v="339"/>
    <x v="497"/>
    <s v="Amit"/>
    <x v="1"/>
    <s v="Delhi"/>
    <x v="3"/>
    <s v="Paper"/>
    <s v="Paper 11"/>
    <n v="10"/>
    <n v="47308.88"/>
    <n v="15"/>
    <x v="0"/>
    <x v="0"/>
  </r>
  <r>
    <s v="ORD1812"/>
    <x v="437"/>
    <x v="11"/>
    <s v="Priya"/>
    <x v="3"/>
    <s v="Kolkata"/>
    <x v="0"/>
    <s v="Chair"/>
    <s v="Chair 1"/>
    <n v="6"/>
    <n v="1988.58"/>
    <n v="10"/>
    <x v="1"/>
    <x v="1"/>
  </r>
  <r>
    <s v="ORD1813"/>
    <x v="32"/>
    <x v="390"/>
    <s v="Anjali"/>
    <x v="0"/>
    <s v="Delhi"/>
    <x v="1"/>
    <s v="Phone"/>
    <s v="Phone 15"/>
    <n v="4"/>
    <n v="6391.2"/>
    <n v="0"/>
    <x v="3"/>
    <x v="3"/>
  </r>
  <r>
    <s v="ORD1814"/>
    <x v="438"/>
    <x v="498"/>
    <s v="Arjun"/>
    <x v="0"/>
    <s v="Pune"/>
    <x v="2"/>
    <s v="Phone"/>
    <s v="Phone 25"/>
    <n v="3"/>
    <n v="2669.1"/>
    <n v="20"/>
    <x v="0"/>
    <x v="1"/>
  </r>
  <r>
    <s v="ORD1815"/>
    <x v="439"/>
    <x v="499"/>
    <s v="Karan "/>
    <x v="2"/>
    <s v="Kolkata"/>
    <x v="0"/>
    <s v="Chair"/>
    <s v="Chair 7"/>
    <n v="8"/>
    <n v="30641.05"/>
    <n v="15"/>
    <x v="4"/>
    <x v="3"/>
  </r>
  <r>
    <s v="ORD1816"/>
    <x v="440"/>
    <x v="500"/>
    <s v="Amit"/>
    <x v="2"/>
    <s v="Kolkata"/>
    <x v="0"/>
    <s v="Table"/>
    <s v="Table 22"/>
    <n v="3"/>
    <n v="7995.69"/>
    <n v="5"/>
    <x v="0"/>
    <x v="0"/>
  </r>
  <r>
    <s v="ORD1817"/>
    <x v="144"/>
    <x v="447"/>
    <s v="Anjali"/>
    <x v="0"/>
    <s v="Mumbai"/>
    <x v="0"/>
    <s v="Chair"/>
    <s v="Chair 2"/>
    <n v="4"/>
    <n v="19089.27"/>
    <n v="15"/>
    <x v="5"/>
    <x v="2"/>
  </r>
  <r>
    <s v="ORD1818"/>
    <x v="441"/>
    <x v="501"/>
    <s v="Anjali"/>
    <x v="3"/>
    <s v="Delhi"/>
    <x v="1"/>
    <s v="Phone"/>
    <s v="Phone 20"/>
    <n v="3"/>
    <n v="4593.22"/>
    <n v="10"/>
    <x v="1"/>
    <x v="2"/>
  </r>
  <r>
    <s v="ORD1819"/>
    <x v="257"/>
    <x v="11"/>
    <s v="Anjali"/>
    <x v="0"/>
    <s v="Jaipur"/>
    <x v="1"/>
    <s v="Laptop"/>
    <s v="Laptop 30"/>
    <n v="4"/>
    <n v="10092.14"/>
    <n v="10"/>
    <x v="0"/>
    <x v="3"/>
  </r>
  <r>
    <s v="ORD1820"/>
    <x v="79"/>
    <x v="502"/>
    <s v="Amit"/>
    <x v="2"/>
    <s v="delhi "/>
    <x v="1"/>
    <s v="Laptop"/>
    <s v="Laptop 20"/>
    <n v="3"/>
    <n v="6642.99"/>
    <n v="10"/>
    <x v="0"/>
    <x v="0"/>
  </r>
  <r>
    <s v="ORD1823"/>
    <x v="442"/>
    <x v="364"/>
    <s v="Karan"/>
    <x v="1"/>
    <s v="Mumbai"/>
    <x v="0"/>
    <s v="Chair"/>
    <s v="Chair 21"/>
    <n v="9"/>
    <n v="20557.53"/>
    <n v="5"/>
    <x v="5"/>
    <x v="0"/>
  </r>
  <r>
    <s v="ORD1825"/>
    <x v="353"/>
    <x v="91"/>
    <s v="Arjun"/>
    <x v="0"/>
    <s v="Mumbai"/>
    <x v="0"/>
    <s v="Table"/>
    <s v="Table 15"/>
    <n v="4"/>
    <n v="4638.04"/>
    <n v="0"/>
    <x v="2"/>
    <x v="0"/>
  </r>
  <r>
    <s v="ORD1826"/>
    <x v="24"/>
    <x v="503"/>
    <s v="Priya"/>
    <x v="4"/>
    <s v="Mumbai"/>
    <x v="0"/>
    <s v="Chair"/>
    <s v="Chair 15"/>
    <n v="1"/>
    <n v="1232.1600000000001"/>
    <n v="20"/>
    <x v="5"/>
    <x v="0"/>
  </r>
  <r>
    <s v="ORD1827"/>
    <x v="101"/>
    <x v="275"/>
    <s v="Vikas"/>
    <x v="4"/>
    <s v="Bengaluru"/>
    <x v="1"/>
    <s v="Phone"/>
    <s v="Phone 29"/>
    <n v="8"/>
    <n v="15640.32"/>
    <n v="5"/>
    <x v="5"/>
    <x v="2"/>
  </r>
  <r>
    <s v="ORD1828"/>
    <x v="399"/>
    <x v="96"/>
    <s v="Amit"/>
    <x v="4"/>
    <s v="Jaipur"/>
    <x v="0"/>
    <s v="Table"/>
    <s v="Table 24"/>
    <n v="4"/>
    <n v="8513.9699999999993"/>
    <n v="20"/>
    <x v="3"/>
    <x v="1"/>
  </r>
  <r>
    <s v="ORD1830"/>
    <x v="443"/>
    <x v="431"/>
    <s v="Riya"/>
    <x v="1"/>
    <s v="Bengaluru"/>
    <x v="0"/>
    <s v="Chair"/>
    <s v="Chair 24"/>
    <n v="7"/>
    <n v="30949.63"/>
    <n v="10"/>
    <x v="5"/>
    <x v="3"/>
  </r>
  <r>
    <s v="ORD1831"/>
    <x v="444"/>
    <x v="381"/>
    <s v="Sneha"/>
    <x v="0"/>
    <s v="Bengaluru"/>
    <x v="0"/>
    <s v="Chair"/>
    <s v="Chair 5"/>
    <n v="2"/>
    <n v="4924.7"/>
    <n v="5"/>
    <x v="3"/>
    <x v="1"/>
  </r>
  <r>
    <s v="ORD1832"/>
    <x v="341"/>
    <x v="18"/>
    <s v="Riya"/>
    <x v="1"/>
    <s v="Delhi"/>
    <x v="0"/>
    <s v="Table"/>
    <s v="Table 11"/>
    <n v="2"/>
    <n v="4301.7"/>
    <n v="20"/>
    <x v="3"/>
    <x v="0"/>
  </r>
  <r>
    <s v="ORD1833"/>
    <x v="312"/>
    <x v="474"/>
    <s v="Amit"/>
    <x v="4"/>
    <s v="delhi "/>
    <x v="0"/>
    <s v="Table"/>
    <s v="Table 1"/>
    <n v="8"/>
    <n v="29889.07"/>
    <n v="0"/>
    <x v="3"/>
    <x v="0"/>
  </r>
  <r>
    <s v="ORD1834"/>
    <x v="175"/>
    <x v="504"/>
    <s v="Karan"/>
    <x v="4"/>
    <s v="Jaipur"/>
    <x v="1"/>
    <s v="Phone"/>
    <s v="Phone 14"/>
    <n v="3"/>
    <n v="12762.84"/>
    <s v="10 %"/>
    <x v="4"/>
    <x v="1"/>
  </r>
  <r>
    <s v="ORD1835"/>
    <x v="445"/>
    <x v="0"/>
    <s v="Riya"/>
    <x v="2"/>
    <s v="delhi "/>
    <x v="2"/>
    <s v="Phone"/>
    <s v="Phone 4"/>
    <n v="7"/>
    <n v="9711.86"/>
    <n v="15"/>
    <x v="5"/>
    <x v="1"/>
  </r>
  <r>
    <s v="ORD1836"/>
    <x v="330"/>
    <x v="195"/>
    <s v="Rahul"/>
    <x v="4"/>
    <s v="Bengaluru"/>
    <x v="3"/>
    <s v="Paper"/>
    <s v="Paper 6"/>
    <n v="6"/>
    <n v="2056"/>
    <n v="0"/>
    <x v="3"/>
    <x v="1"/>
  </r>
  <r>
    <s v="ORD1837"/>
    <x v="109"/>
    <x v="341"/>
    <s v="Anjali"/>
    <x v="1"/>
    <s v="Delhi"/>
    <x v="0"/>
    <s v="Chair"/>
    <s v="Chair 27"/>
    <n v="5"/>
    <n v="23364.9"/>
    <n v="5"/>
    <x v="2"/>
    <x v="0"/>
  </r>
  <r>
    <s v="ORD1838"/>
    <x v="217"/>
    <x v="505"/>
    <s v="Rahul"/>
    <x v="4"/>
    <s v="Kolkata"/>
    <x v="2"/>
    <s v="Phone"/>
    <s v="Phone 20"/>
    <n v="6"/>
    <n v="24290.92"/>
    <n v="15"/>
    <x v="2"/>
    <x v="2"/>
  </r>
  <r>
    <s v="ORD1839"/>
    <x v="57"/>
    <x v="506"/>
    <s v="Anjali"/>
    <x v="4"/>
    <s v="Kolkata"/>
    <x v="3"/>
    <s v="Paper"/>
    <s v="Paper 29"/>
    <n v="7"/>
    <n v="25027.61"/>
    <n v="15"/>
    <x v="4"/>
    <x v="3"/>
  </r>
  <r>
    <s v="ORD1841"/>
    <x v="22"/>
    <x v="507"/>
    <s v="Riya"/>
    <x v="3"/>
    <s v="delhi "/>
    <x v="0"/>
    <s v="Table"/>
    <s v="Table 6"/>
    <n v="5"/>
    <n v="18720.12"/>
    <n v="5"/>
    <x v="2"/>
    <x v="3"/>
  </r>
  <r>
    <s v="ORD1843"/>
    <x v="446"/>
    <x v="429"/>
    <s v="Sneha"/>
    <x v="3"/>
    <s v="Kolkata"/>
    <x v="3"/>
    <s v="Paper"/>
    <s v="Paper 4"/>
    <n v="10"/>
    <n v="49253.08"/>
    <s v="10 %"/>
    <x v="1"/>
    <x v="2"/>
  </r>
  <r>
    <s v="ORD1844"/>
    <x v="447"/>
    <x v="491"/>
    <s v="Neha"/>
    <x v="1"/>
    <s v="Delhi"/>
    <x v="3"/>
    <s v="Paper"/>
    <s v="Paper 19"/>
    <n v="1"/>
    <n v="3387.16"/>
    <s v="10 %"/>
    <x v="0"/>
    <x v="0"/>
  </r>
  <r>
    <s v="ORD1845"/>
    <x v="39"/>
    <x v="240"/>
    <s v="Priya"/>
    <x v="0"/>
    <s v="Mumbai"/>
    <x v="0"/>
    <s v="Chair"/>
    <s v="Chair 10"/>
    <n v="2"/>
    <n v="3699.3"/>
    <n v="20"/>
    <x v="3"/>
    <x v="0"/>
  </r>
  <r>
    <s v="ORD1846"/>
    <x v="448"/>
    <x v="508"/>
    <s v="Neha"/>
    <x v="3"/>
    <s v="Delhi"/>
    <x v="1"/>
    <s v="Laptop"/>
    <s v="Laptop 18"/>
    <n v="2"/>
    <n v="9235.8700000000008"/>
    <n v="5"/>
    <x v="1"/>
    <x v="0"/>
  </r>
  <r>
    <s v="ORD1847"/>
    <x v="449"/>
    <x v="325"/>
    <s v="Riya"/>
    <x v="4"/>
    <s v="Pune"/>
    <x v="2"/>
    <s v="Phone"/>
    <s v="Phone 4"/>
    <n v="5"/>
    <n v="9627.77"/>
    <n v="15"/>
    <x v="0"/>
    <x v="2"/>
  </r>
  <r>
    <s v="ORD1848"/>
    <x v="353"/>
    <x v="509"/>
    <s v="Sneha"/>
    <x v="0"/>
    <s v="delhi "/>
    <x v="1"/>
    <s v="Phone"/>
    <s v="Phone 11"/>
    <n v="8"/>
    <n v="2842.45"/>
    <n v="5"/>
    <x v="5"/>
    <x v="0"/>
  </r>
  <r>
    <s v="ORD1849"/>
    <x v="399"/>
    <x v="463"/>
    <s v="Arjun"/>
    <x v="3"/>
    <s v="delhi "/>
    <x v="1"/>
    <s v="Laptop"/>
    <s v="Laptop 15"/>
    <n v="4"/>
    <n v="13418.29"/>
    <s v="10 %"/>
    <x v="0"/>
    <x v="2"/>
  </r>
  <r>
    <s v="ORD1850"/>
    <x v="212"/>
    <x v="369"/>
    <s v="Vikas"/>
    <x v="0"/>
    <s v="Pune"/>
    <x v="3"/>
    <s v="Paper"/>
    <s v="Paper 3"/>
    <n v="8"/>
    <n v="12783.93"/>
    <s v="10 %"/>
    <x v="0"/>
    <x v="3"/>
  </r>
  <r>
    <s v="ORD1851"/>
    <x v="14"/>
    <x v="465"/>
    <s v="Priya"/>
    <x v="0"/>
    <s v="Kolkata"/>
    <x v="1"/>
    <s v="Phone"/>
    <s v="Phone 10"/>
    <n v="2"/>
    <n v="4359.4399999999996"/>
    <n v="10"/>
    <x v="0"/>
    <x v="0"/>
  </r>
  <r>
    <s v="ORD1852"/>
    <x v="450"/>
    <x v="121"/>
    <s v="Priya"/>
    <x v="3"/>
    <s v="Kolkata"/>
    <x v="3"/>
    <s v="Paper"/>
    <s v="Paper 27"/>
    <n v="3"/>
    <n v="8602.02"/>
    <n v="0"/>
    <x v="2"/>
    <x v="3"/>
  </r>
  <r>
    <s v="ORD1853"/>
    <x v="84"/>
    <x v="82"/>
    <s v="Priya"/>
    <x v="0"/>
    <s v="Delhi"/>
    <x v="1"/>
    <s v="Laptop"/>
    <s v="Laptop 3"/>
    <n v="9"/>
    <n v="16295.4"/>
    <n v="0"/>
    <x v="3"/>
    <x v="1"/>
  </r>
  <r>
    <s v="ORD1854"/>
    <x v="451"/>
    <x v="215"/>
    <s v="Vikas"/>
    <x v="4"/>
    <s v="delhi "/>
    <x v="0"/>
    <s v="Chair"/>
    <s v="Chair 1"/>
    <n v="1"/>
    <n v="1644.07"/>
    <s v="10 %"/>
    <x v="4"/>
    <x v="2"/>
  </r>
  <r>
    <s v="ORD1855"/>
    <x v="418"/>
    <x v="284"/>
    <s v="Riya"/>
    <x v="4"/>
    <s v="delhi "/>
    <x v="1"/>
    <s v="Phone"/>
    <s v="Phone 20"/>
    <n v="9"/>
    <n v="40594.69"/>
    <n v="20"/>
    <x v="2"/>
    <x v="2"/>
  </r>
  <r>
    <s v="ORD1856"/>
    <x v="452"/>
    <x v="510"/>
    <s v="Vikas "/>
    <x v="0"/>
    <s v="Kolkata"/>
    <x v="1"/>
    <s v="Laptop"/>
    <s v="Laptop 16"/>
    <n v="1"/>
    <n v="1470.34"/>
    <n v="15"/>
    <x v="2"/>
    <x v="2"/>
  </r>
  <r>
    <s v="ORD1857"/>
    <x v="453"/>
    <x v="511"/>
    <s v="Priya "/>
    <x v="4"/>
    <s v="Delhi"/>
    <x v="3"/>
    <s v="Paper"/>
    <s v="Paper 11"/>
    <n v="7"/>
    <n v="3671.45"/>
    <n v="10"/>
    <x v="0"/>
    <x v="2"/>
  </r>
  <r>
    <s v="ORD1858"/>
    <x v="57"/>
    <x v="512"/>
    <s v="Sneha"/>
    <x v="4"/>
    <s v="Delhi"/>
    <x v="0"/>
    <s v="Table"/>
    <s v="Table 28"/>
    <n v="10"/>
    <n v="32382.66"/>
    <s v="10 %"/>
    <x v="0"/>
    <x v="3"/>
  </r>
  <r>
    <s v="ORD1859"/>
    <x v="216"/>
    <x v="372"/>
    <s v="Vikas"/>
    <x v="0"/>
    <s v="Pune"/>
    <x v="1"/>
    <s v="Laptop"/>
    <s v="Laptop 20"/>
    <n v="9"/>
    <n v="23947.69"/>
    <n v="0"/>
    <x v="1"/>
    <x v="0"/>
  </r>
  <r>
    <s v="ORD1860"/>
    <x v="454"/>
    <x v="190"/>
    <s v="Anjali"/>
    <x v="2"/>
    <s v="Delhi"/>
    <x v="2"/>
    <s v="Phone"/>
    <s v="Phone 11"/>
    <n v="2"/>
    <n v="4219.24"/>
    <n v="15"/>
    <x v="1"/>
    <x v="1"/>
  </r>
  <r>
    <s v="ORD1861"/>
    <x v="257"/>
    <x v="480"/>
    <s v="Sneha"/>
    <x v="2"/>
    <s v="Delhi"/>
    <x v="1"/>
    <s v="Laptop"/>
    <s v="Laptop 21"/>
    <n v="4"/>
    <n v="7319.07"/>
    <n v="20"/>
    <x v="5"/>
    <x v="0"/>
  </r>
  <r>
    <s v="ORD1862"/>
    <x v="256"/>
    <x v="33"/>
    <s v="Rahul"/>
    <x v="3"/>
    <s v="delhi "/>
    <x v="2"/>
    <s v="Phone"/>
    <s v="Phone 27"/>
    <n v="7"/>
    <n v="34248.949999999997"/>
    <n v="0"/>
    <x v="5"/>
    <x v="0"/>
  </r>
  <r>
    <s v="ORD1863"/>
    <x v="455"/>
    <x v="288"/>
    <s v="Vikas"/>
    <x v="4"/>
    <s v="Kolkata"/>
    <x v="1"/>
    <s v="Laptop"/>
    <s v="Laptop 24"/>
    <n v="6"/>
    <n v="11235.33"/>
    <n v="20"/>
    <x v="4"/>
    <x v="3"/>
  </r>
  <r>
    <s v="ORD1864"/>
    <x v="75"/>
    <x v="513"/>
    <s v="Vikas"/>
    <x v="2"/>
    <s v="Jaipur"/>
    <x v="0"/>
    <s v="Table"/>
    <s v="Table 30"/>
    <n v="7"/>
    <n v="22074.83"/>
    <n v="15"/>
    <x v="0"/>
    <x v="0"/>
  </r>
  <r>
    <s v="ORD1866"/>
    <x v="456"/>
    <x v="293"/>
    <s v="Arjun"/>
    <x v="1"/>
    <s v="Bengaluru"/>
    <x v="1"/>
    <s v="Laptop"/>
    <s v="Laptop 4"/>
    <n v="8"/>
    <n v="19682.650000000001"/>
    <n v="20"/>
    <x v="1"/>
    <x v="0"/>
  </r>
  <r>
    <s v="ORD1867"/>
    <x v="457"/>
    <x v="354"/>
    <s v="Amit"/>
    <x v="0"/>
    <s v="Bengaluru"/>
    <x v="1"/>
    <s v="Laptop"/>
    <s v="Laptop 11"/>
    <n v="10"/>
    <n v="42019.15"/>
    <n v="20"/>
    <x v="5"/>
    <x v="2"/>
  </r>
  <r>
    <s v="ORD1869"/>
    <x v="458"/>
    <x v="514"/>
    <s v="Amit"/>
    <x v="4"/>
    <s v="Jaipur"/>
    <x v="2"/>
    <s v="Phone"/>
    <s v="Phone 23"/>
    <n v="3"/>
    <n v="3920.07"/>
    <n v="0"/>
    <x v="1"/>
    <x v="1"/>
  </r>
  <r>
    <s v="ORD1871"/>
    <x v="118"/>
    <x v="238"/>
    <s v="Arjun"/>
    <x v="2"/>
    <s v="Delhi"/>
    <x v="3"/>
    <s v="Paper"/>
    <s v="Paper 26"/>
    <n v="1"/>
    <n v="203.68"/>
    <n v="5"/>
    <x v="5"/>
    <x v="3"/>
  </r>
  <r>
    <s v="ORD1872"/>
    <x v="459"/>
    <x v="515"/>
    <s v="Priya"/>
    <x v="2"/>
    <s v="Delhi"/>
    <x v="1"/>
    <s v="Laptop"/>
    <s v="Laptop 15"/>
    <n v="10"/>
    <n v="14863.15"/>
    <n v="0"/>
    <x v="0"/>
    <x v="1"/>
  </r>
  <r>
    <s v="ORD1874"/>
    <x v="129"/>
    <x v="207"/>
    <s v="Vikas"/>
    <x v="0"/>
    <s v="delhi "/>
    <x v="2"/>
    <s v="Phone"/>
    <s v="Phone 2"/>
    <n v="7"/>
    <n v="28901.07"/>
    <n v="5"/>
    <x v="4"/>
    <x v="0"/>
  </r>
  <r>
    <s v="ORD1877"/>
    <x v="330"/>
    <x v="516"/>
    <s v="Amit"/>
    <x v="1"/>
    <s v="Bengaluru"/>
    <x v="2"/>
    <s v="Phone"/>
    <s v="Phone 10"/>
    <n v="2"/>
    <n v="2850.86"/>
    <n v="10"/>
    <x v="1"/>
    <x v="0"/>
  </r>
  <r>
    <s v="ORD1878"/>
    <x v="173"/>
    <x v="288"/>
    <s v="Rahul"/>
    <x v="2"/>
    <s v="Kolkata"/>
    <x v="3"/>
    <s v="Paper"/>
    <s v="Paper 3"/>
    <n v="7"/>
    <n v="24705.42"/>
    <s v="10 %"/>
    <x v="5"/>
    <x v="0"/>
  </r>
  <r>
    <s v="ORD1880"/>
    <x v="72"/>
    <x v="371"/>
    <s v="Vikas"/>
    <x v="0"/>
    <s v="Pune"/>
    <x v="2"/>
    <s v="Phone"/>
    <s v="Phone 14"/>
    <n v="4"/>
    <n v="11608.07"/>
    <n v="15"/>
    <x v="0"/>
    <x v="1"/>
  </r>
  <r>
    <s v="ORD1881"/>
    <x v="19"/>
    <x v="517"/>
    <s v="Amit"/>
    <x v="4"/>
    <s v="Kolkata"/>
    <x v="2"/>
    <s v="Phone"/>
    <s v="Phone 25"/>
    <n v="10"/>
    <n v="11923.38"/>
    <s v="10 %"/>
    <x v="5"/>
    <x v="2"/>
  </r>
  <r>
    <s v="ORD1882"/>
    <x v="90"/>
    <x v="518"/>
    <s v="Sneha "/>
    <x v="4"/>
    <s v="Mumbai"/>
    <x v="1"/>
    <s v="Phone"/>
    <s v="Phone 24"/>
    <n v="9"/>
    <n v="7323.06"/>
    <s v="10 %"/>
    <x v="0"/>
    <x v="3"/>
  </r>
  <r>
    <s v="ORD1883"/>
    <x v="460"/>
    <x v="19"/>
    <s v="Sneha"/>
    <x v="0"/>
    <s v="Kolkata"/>
    <x v="0"/>
    <s v="Table"/>
    <s v="Table 28"/>
    <n v="3"/>
    <n v="2080.25"/>
    <n v="0"/>
    <x v="1"/>
    <x v="2"/>
  </r>
  <r>
    <s v="ORD1885"/>
    <x v="185"/>
    <x v="219"/>
    <s v="Rahul"/>
    <x v="4"/>
    <s v="delhi "/>
    <x v="2"/>
    <s v="Phone"/>
    <s v="Phone 7"/>
    <n v="10"/>
    <n v="33814.22"/>
    <n v="10"/>
    <x v="4"/>
    <x v="3"/>
  </r>
  <r>
    <s v="ORD1886"/>
    <x v="461"/>
    <x v="519"/>
    <s v="Arjun"/>
    <x v="0"/>
    <s v="Pune"/>
    <x v="1"/>
    <s v="Laptop"/>
    <s v="Laptop 4"/>
    <n v="8"/>
    <n v="18347.28"/>
    <n v="5"/>
    <x v="4"/>
    <x v="3"/>
  </r>
  <r>
    <s v="ORD1887"/>
    <x v="462"/>
    <x v="375"/>
    <s v="Neha"/>
    <x v="3"/>
    <s v="Bengaluru"/>
    <x v="1"/>
    <s v="Phone"/>
    <s v="Phone 14"/>
    <n v="3"/>
    <n v="11284.47"/>
    <s v="10 %"/>
    <x v="1"/>
    <x v="0"/>
  </r>
  <r>
    <s v="ORD1888"/>
    <x v="274"/>
    <x v="8"/>
    <s v="Neha"/>
    <x v="2"/>
    <s v="delhi "/>
    <x v="0"/>
    <s v="Table"/>
    <s v="Table 20"/>
    <n v="9"/>
    <n v="9037.69"/>
    <n v="5"/>
    <x v="1"/>
    <x v="3"/>
  </r>
  <r>
    <s v="ORD1890"/>
    <x v="166"/>
    <x v="520"/>
    <s v="Sneha"/>
    <x v="3"/>
    <s v="Pune"/>
    <x v="2"/>
    <s v="Phone"/>
    <s v="Phone 29"/>
    <n v="9"/>
    <n v="5595.51"/>
    <s v="10 %"/>
    <x v="4"/>
    <x v="1"/>
  </r>
  <r>
    <s v="ORD1891"/>
    <x v="463"/>
    <x v="478"/>
    <s v="Priya "/>
    <x v="4"/>
    <s v="Delhi"/>
    <x v="0"/>
    <s v="Table"/>
    <s v="Table 18"/>
    <n v="10"/>
    <n v="42843.17"/>
    <s v="10 %"/>
    <x v="1"/>
    <x v="0"/>
  </r>
  <r>
    <s v="ORD1892"/>
    <x v="157"/>
    <x v="340"/>
    <s v="Vikas"/>
    <x v="2"/>
    <s v="Mumbai"/>
    <x v="1"/>
    <s v="Laptop"/>
    <s v="Laptop 27"/>
    <n v="6"/>
    <n v="4065.14"/>
    <n v="15"/>
    <x v="1"/>
    <x v="0"/>
  </r>
  <r>
    <s v="ORD1893"/>
    <x v="214"/>
    <x v="96"/>
    <s v="Arjun"/>
    <x v="1"/>
    <s v="Delhi"/>
    <x v="1"/>
    <s v="Phone"/>
    <s v="Phone 16"/>
    <n v="10"/>
    <n v="27771.71"/>
    <n v="0"/>
    <x v="4"/>
    <x v="3"/>
  </r>
  <r>
    <s v="ORD1895"/>
    <x v="464"/>
    <x v="280"/>
    <s v="Anjali"/>
    <x v="4"/>
    <s v="Mumbai"/>
    <x v="2"/>
    <s v="Phone"/>
    <s v="Phone 14"/>
    <n v="10"/>
    <n v="4623.45"/>
    <n v="15"/>
    <x v="1"/>
    <x v="0"/>
  </r>
  <r>
    <s v="ORD1896"/>
    <x v="465"/>
    <x v="22"/>
    <s v="Riya"/>
    <x v="3"/>
    <s v="Kolkata"/>
    <x v="2"/>
    <s v="Phone"/>
    <s v="Phone 29"/>
    <n v="3"/>
    <n v="7038.28"/>
    <n v="15"/>
    <x v="0"/>
    <x v="0"/>
  </r>
  <r>
    <s v="ORD1897"/>
    <x v="145"/>
    <x v="521"/>
    <s v="Rahul"/>
    <x v="3"/>
    <s v="delhi "/>
    <x v="0"/>
    <s v="Table"/>
    <s v="Table 11"/>
    <n v="10"/>
    <n v="11839.93"/>
    <n v="15"/>
    <x v="5"/>
    <x v="0"/>
  </r>
  <r>
    <s v="ORD1898"/>
    <x v="65"/>
    <x v="522"/>
    <s v="Vikas"/>
    <x v="1"/>
    <s v="Delhi"/>
    <x v="0"/>
    <s v="Table"/>
    <s v="Table 12"/>
    <n v="4"/>
    <n v="16013.89"/>
    <n v="20"/>
    <x v="4"/>
    <x v="1"/>
  </r>
  <r>
    <s v="ORD1899"/>
    <x v="466"/>
    <x v="523"/>
    <s v="Vikas"/>
    <x v="0"/>
    <s v="Kolkata"/>
    <x v="1"/>
    <s v="Laptop"/>
    <s v="Laptop 12"/>
    <n v="4"/>
    <n v="13264.44"/>
    <n v="5"/>
    <x v="3"/>
    <x v="0"/>
  </r>
  <r>
    <s v="ORD1900"/>
    <x v="467"/>
    <x v="86"/>
    <s v="Priya "/>
    <x v="0"/>
    <s v="Kolkata"/>
    <x v="3"/>
    <s v="Paper"/>
    <s v="Paper 9"/>
    <n v="10"/>
    <n v="39249.74"/>
    <n v="10"/>
    <x v="0"/>
    <x v="3"/>
  </r>
  <r>
    <s v="ORD1901"/>
    <x v="116"/>
    <x v="524"/>
    <s v="Riya "/>
    <x v="1"/>
    <s v="delhi "/>
    <x v="1"/>
    <s v="Laptop"/>
    <s v="Laptop 25"/>
    <n v="9"/>
    <n v="6266.4"/>
    <n v="20"/>
    <x v="1"/>
    <x v="0"/>
  </r>
  <r>
    <s v="ORD1902"/>
    <x v="380"/>
    <x v="525"/>
    <s v="Neha"/>
    <x v="2"/>
    <s v="Jaipur"/>
    <x v="1"/>
    <s v="Laptop"/>
    <s v="Laptop 17"/>
    <n v="9"/>
    <n v="26718.42"/>
    <n v="10"/>
    <x v="4"/>
    <x v="0"/>
  </r>
  <r>
    <s v="ORD1903"/>
    <x v="379"/>
    <x v="526"/>
    <s v="Karan"/>
    <x v="0"/>
    <s v="Bengaluru"/>
    <x v="1"/>
    <s v="Phone"/>
    <s v="Phone 13"/>
    <n v="1"/>
    <n v="3153.82"/>
    <n v="15"/>
    <x v="0"/>
    <x v="1"/>
  </r>
  <r>
    <s v="ORD1904"/>
    <x v="419"/>
    <x v="210"/>
    <s v="Sneha"/>
    <x v="0"/>
    <s v="Kolkata"/>
    <x v="0"/>
    <s v="Table"/>
    <s v="Table 20"/>
    <n v="8"/>
    <n v="22623.08"/>
    <n v="5"/>
    <x v="1"/>
    <x v="0"/>
  </r>
  <r>
    <s v="ORD1906"/>
    <x v="341"/>
    <x v="341"/>
    <s v="Vikas"/>
    <x v="3"/>
    <s v="Delhi"/>
    <x v="0"/>
    <s v="Chair"/>
    <s v="Chair 5"/>
    <n v="4"/>
    <n v="13100.97"/>
    <n v="5"/>
    <x v="4"/>
    <x v="3"/>
  </r>
  <r>
    <s v="ORD1907"/>
    <x v="468"/>
    <x v="278"/>
    <s v="Priya"/>
    <x v="1"/>
    <s v="delhi "/>
    <x v="0"/>
    <s v="Table"/>
    <s v="Table 30"/>
    <n v="5"/>
    <n v="23499.4"/>
    <n v="20"/>
    <x v="0"/>
    <x v="2"/>
  </r>
  <r>
    <s v="ORD1909"/>
    <x v="469"/>
    <x v="527"/>
    <s v="Riya"/>
    <x v="0"/>
    <s v="Mumbai"/>
    <x v="0"/>
    <s v="Chair"/>
    <s v="Chair 13"/>
    <n v="8"/>
    <n v="13225.53"/>
    <n v="10"/>
    <x v="1"/>
    <x v="2"/>
  </r>
  <r>
    <s v="ORD1910"/>
    <x v="470"/>
    <x v="421"/>
    <s v="Rahul"/>
    <x v="0"/>
    <s v="delhi "/>
    <x v="1"/>
    <s v="Laptop"/>
    <s v="Laptop 8"/>
    <n v="8"/>
    <n v="31086.52"/>
    <n v="5"/>
    <x v="4"/>
    <x v="3"/>
  </r>
  <r>
    <s v="ORD1911"/>
    <x v="471"/>
    <x v="31"/>
    <s v="Amit"/>
    <x v="2"/>
    <s v="Mumbai"/>
    <x v="2"/>
    <s v="Phone"/>
    <s v="Phone 21"/>
    <n v="5"/>
    <n v="3480.39"/>
    <s v="10 %"/>
    <x v="5"/>
    <x v="2"/>
  </r>
  <r>
    <s v="ORD1913"/>
    <x v="318"/>
    <x v="528"/>
    <s v="Sneha"/>
    <x v="4"/>
    <s v="Delhi"/>
    <x v="0"/>
    <s v="Table"/>
    <s v="Table 10"/>
    <n v="4"/>
    <n v="3530.86"/>
    <n v="20"/>
    <x v="0"/>
    <x v="3"/>
  </r>
  <r>
    <s v="ORD1915"/>
    <x v="208"/>
    <x v="421"/>
    <s v="Arjun"/>
    <x v="0"/>
    <s v="Jaipur"/>
    <x v="2"/>
    <s v="Phone"/>
    <s v="Phone 9"/>
    <n v="2"/>
    <n v="6153.77"/>
    <s v="10 %"/>
    <x v="4"/>
    <x v="3"/>
  </r>
  <r>
    <s v="ORD1916"/>
    <x v="159"/>
    <x v="529"/>
    <s v="Sneha "/>
    <x v="3"/>
    <s v="Pune"/>
    <x v="1"/>
    <s v="Phone"/>
    <s v="Phone 22"/>
    <n v="2"/>
    <n v="3176.34"/>
    <n v="15"/>
    <x v="3"/>
    <x v="3"/>
  </r>
  <r>
    <s v="ORD1917"/>
    <x v="122"/>
    <x v="530"/>
    <s v="Anjali"/>
    <x v="1"/>
    <s v="Delhi"/>
    <x v="1"/>
    <s v="Phone"/>
    <s v="Phone 11"/>
    <n v="5"/>
    <n v="24769.81"/>
    <n v="5"/>
    <x v="1"/>
    <x v="0"/>
  </r>
  <r>
    <s v="ORD1918"/>
    <x v="472"/>
    <x v="531"/>
    <s v="Rahul"/>
    <x v="0"/>
    <s v="Mumbai"/>
    <x v="1"/>
    <s v="Laptop"/>
    <s v="Laptop 27"/>
    <n v="6"/>
    <n v="6366.02"/>
    <n v="5"/>
    <x v="2"/>
    <x v="2"/>
  </r>
  <r>
    <s v="ORD1919"/>
    <x v="473"/>
    <x v="183"/>
    <s v="Priya"/>
    <x v="0"/>
    <s v="Bengaluru"/>
    <x v="3"/>
    <s v="Paper"/>
    <s v="Paper 20"/>
    <n v="5"/>
    <n v="10223.15"/>
    <s v="10 %"/>
    <x v="0"/>
    <x v="0"/>
  </r>
  <r>
    <s v="ORD1920"/>
    <x v="474"/>
    <x v="532"/>
    <s v="Sneha"/>
    <x v="1"/>
    <s v="Mumbai"/>
    <x v="1"/>
    <s v="Phone"/>
    <s v="Phone 23"/>
    <n v="8"/>
    <n v="18606.43"/>
    <n v="10"/>
    <x v="0"/>
    <x v="3"/>
  </r>
  <r>
    <s v="ORD1921"/>
    <x v="250"/>
    <x v="154"/>
    <s v="Arjun "/>
    <x v="0"/>
    <s v="Bengaluru"/>
    <x v="0"/>
    <s v="Table"/>
    <s v="Table 10"/>
    <n v="4"/>
    <n v="19298.66"/>
    <n v="0"/>
    <x v="4"/>
    <x v="3"/>
  </r>
  <r>
    <s v="ORD1922"/>
    <x v="47"/>
    <x v="533"/>
    <s v="Priya"/>
    <x v="2"/>
    <s v="Delhi"/>
    <x v="2"/>
    <s v="Phone"/>
    <s v="Phone 6"/>
    <n v="6"/>
    <n v="11974.29"/>
    <n v="10"/>
    <x v="1"/>
    <x v="2"/>
  </r>
  <r>
    <s v="ORD1923"/>
    <x v="137"/>
    <x v="534"/>
    <s v="Karan"/>
    <x v="1"/>
    <s v="Kolkata"/>
    <x v="1"/>
    <s v="Laptop"/>
    <s v="Laptop 28"/>
    <n v="10"/>
    <n v="8958.2000000000007"/>
    <n v="15"/>
    <x v="2"/>
    <x v="3"/>
  </r>
  <r>
    <s v="ORD1924"/>
    <x v="475"/>
    <x v="270"/>
    <s v="Arjun"/>
    <x v="0"/>
    <s v="Delhi"/>
    <x v="3"/>
    <s v="Paper"/>
    <s v="Paper 6"/>
    <n v="-10"/>
    <n v="39814.86"/>
    <n v="20"/>
    <x v="4"/>
    <x v="3"/>
  </r>
  <r>
    <s v="ORD1925"/>
    <x v="267"/>
    <x v="297"/>
    <s v="Sneha"/>
    <x v="4"/>
    <s v="Kolkata"/>
    <x v="0"/>
    <s v="Table"/>
    <s v="Table 18"/>
    <n v="7"/>
    <n v="13603.54"/>
    <n v="10"/>
    <x v="0"/>
    <x v="0"/>
  </r>
  <r>
    <s v="ORD1926"/>
    <x v="312"/>
    <x v="77"/>
    <s v="Priya"/>
    <x v="1"/>
    <s v="Kolkata"/>
    <x v="1"/>
    <s v="Laptop"/>
    <s v="Laptop 7"/>
    <n v="5"/>
    <n v="10412.36"/>
    <n v="20"/>
    <x v="0"/>
    <x v="0"/>
  </r>
  <r>
    <s v="ORD1927"/>
    <x v="26"/>
    <x v="535"/>
    <s v="Karan"/>
    <x v="0"/>
    <s v="Delhi"/>
    <x v="0"/>
    <s v="Table"/>
    <s v="Table 9"/>
    <n v="7"/>
    <n v="13834.55"/>
    <n v="20"/>
    <x v="3"/>
    <x v="1"/>
  </r>
  <r>
    <s v="ORD1928"/>
    <x v="384"/>
    <x v="96"/>
    <s v="Vikas"/>
    <x v="4"/>
    <s v="Bengaluru"/>
    <x v="3"/>
    <s v="Paper"/>
    <s v="Paper 22"/>
    <n v="6"/>
    <n v="25937.21"/>
    <n v="5"/>
    <x v="3"/>
    <x v="3"/>
  </r>
  <r>
    <s v="ORD1929"/>
    <x v="476"/>
    <x v="536"/>
    <s v="Riya"/>
    <x v="0"/>
    <s v="Kolkata"/>
    <x v="1"/>
    <s v="Phone"/>
    <s v="Phone 24"/>
    <n v="1"/>
    <n v="645.55999999999995"/>
    <n v="5"/>
    <x v="2"/>
    <x v="3"/>
  </r>
  <r>
    <s v="ORD1930"/>
    <x v="50"/>
    <x v="65"/>
    <s v="Priya"/>
    <x v="0"/>
    <s v="Mumbai"/>
    <x v="0"/>
    <s v="Table"/>
    <s v="Table 7"/>
    <n v="3"/>
    <n v="12485.53"/>
    <n v="15"/>
    <x v="5"/>
    <x v="0"/>
  </r>
  <r>
    <s v="ORD1931"/>
    <x v="244"/>
    <x v="480"/>
    <s v="Amit"/>
    <x v="2"/>
    <s v="Pune"/>
    <x v="0"/>
    <s v="Chair"/>
    <s v="Chair 7"/>
    <n v="2"/>
    <n v="4637.34"/>
    <n v="5"/>
    <x v="3"/>
    <x v="1"/>
  </r>
  <r>
    <s v="ORD1932"/>
    <x v="154"/>
    <x v="422"/>
    <s v="Karan"/>
    <x v="1"/>
    <s v="Kolkata"/>
    <x v="3"/>
    <s v="Paper"/>
    <s v="Paper 13"/>
    <n v="8"/>
    <n v="20196.29"/>
    <s v="10 %"/>
    <x v="0"/>
    <x v="0"/>
  </r>
  <r>
    <s v="ORD1933"/>
    <x v="383"/>
    <x v="519"/>
    <s v="Priya"/>
    <x v="3"/>
    <s v="Mumbai"/>
    <x v="3"/>
    <s v="Paper"/>
    <s v="Paper 2"/>
    <n v="9"/>
    <n v="41368.67"/>
    <n v="10"/>
    <x v="4"/>
    <x v="2"/>
  </r>
  <r>
    <s v="ORD1935"/>
    <x v="477"/>
    <x v="388"/>
    <s v="Priya"/>
    <x v="2"/>
    <s v="Delhi"/>
    <x v="0"/>
    <s v="Table"/>
    <s v="Table 7"/>
    <n v="1"/>
    <n v="2257.5700000000002"/>
    <s v="10 %"/>
    <x v="2"/>
    <x v="2"/>
  </r>
  <r>
    <s v="ORD1936"/>
    <x v="261"/>
    <x v="172"/>
    <s v="Arjun"/>
    <x v="3"/>
    <s v="Pune"/>
    <x v="3"/>
    <s v="Paper"/>
    <s v="Paper 2"/>
    <n v="10"/>
    <n v="18382.66"/>
    <n v="15"/>
    <x v="0"/>
    <x v="3"/>
  </r>
  <r>
    <s v="ORD1937"/>
    <x v="478"/>
    <x v="453"/>
    <s v="Arjun"/>
    <x v="1"/>
    <s v="Delhi"/>
    <x v="1"/>
    <s v="Phone"/>
    <s v="Phone 22"/>
    <n v="10"/>
    <n v="15743.4"/>
    <n v="20"/>
    <x v="4"/>
    <x v="3"/>
  </r>
  <r>
    <s v="ORD1938"/>
    <x v="102"/>
    <x v="316"/>
    <s v="Rahul"/>
    <x v="0"/>
    <s v="Delhi"/>
    <x v="0"/>
    <s v="Table"/>
    <s v="Table 24"/>
    <n v="10"/>
    <n v="21697.03"/>
    <s v="10 %"/>
    <x v="0"/>
    <x v="3"/>
  </r>
  <r>
    <s v="ORD1940"/>
    <x v="68"/>
    <x v="167"/>
    <s v="Anjali"/>
    <x v="2"/>
    <s v="Jaipur"/>
    <x v="0"/>
    <s v="Chair"/>
    <s v="Chair 16"/>
    <n v="8"/>
    <n v="19075.46"/>
    <n v="0"/>
    <x v="1"/>
    <x v="2"/>
  </r>
  <r>
    <s v="ORD1941"/>
    <x v="182"/>
    <x v="537"/>
    <s v="Anjali "/>
    <x v="0"/>
    <s v="Pune"/>
    <x v="0"/>
    <s v="Chair"/>
    <s v="Chair 21"/>
    <n v="9"/>
    <n v="11313.48"/>
    <n v="5"/>
    <x v="1"/>
    <x v="2"/>
  </r>
  <r>
    <s v="ORD1942"/>
    <x v="229"/>
    <x v="524"/>
    <s v="Anjali"/>
    <x v="0"/>
    <s v="Delhi"/>
    <x v="3"/>
    <s v="Paper"/>
    <s v="Paper 7"/>
    <n v="7"/>
    <n v="8161.49"/>
    <n v="15"/>
    <x v="0"/>
    <x v="0"/>
  </r>
  <r>
    <s v="ORD1945"/>
    <x v="124"/>
    <x v="87"/>
    <s v="Vikas"/>
    <x v="0"/>
    <s v="Pune"/>
    <x v="0"/>
    <s v="Table"/>
    <s v="Table 29"/>
    <n v="3"/>
    <n v="2907.39"/>
    <s v="10 %"/>
    <x v="3"/>
    <x v="0"/>
  </r>
  <r>
    <s v="ORD1946"/>
    <x v="112"/>
    <x v="538"/>
    <s v="Sneha"/>
    <x v="4"/>
    <s v="Mumbai"/>
    <x v="1"/>
    <s v="Phone"/>
    <s v="Phone 23"/>
    <n v="3"/>
    <n v="10798.82"/>
    <n v="0"/>
    <x v="0"/>
    <x v="2"/>
  </r>
  <r>
    <s v="ORD1947"/>
    <x v="313"/>
    <x v="539"/>
    <s v="Neha"/>
    <x v="1"/>
    <s v="Mumbai"/>
    <x v="0"/>
    <s v="Table"/>
    <s v="Table 13"/>
    <n v="6"/>
    <n v="9150.7099999999991"/>
    <s v="10 %"/>
    <x v="0"/>
    <x v="2"/>
  </r>
  <r>
    <s v="ORD1948"/>
    <x v="289"/>
    <x v="419"/>
    <s v="Vikas"/>
    <x v="0"/>
    <s v="Kolkata"/>
    <x v="0"/>
    <s v="Chair"/>
    <s v="Chair 25"/>
    <n v="1"/>
    <n v="1717.15"/>
    <n v="5"/>
    <x v="3"/>
    <x v="2"/>
  </r>
  <r>
    <s v="ORD1949"/>
    <x v="352"/>
    <x v="24"/>
    <s v="Vikas"/>
    <x v="4"/>
    <s v="delhi "/>
    <x v="3"/>
    <s v="Paper"/>
    <s v="Paper 29"/>
    <n v="-7"/>
    <n v="12994.74"/>
    <n v="10"/>
    <x v="2"/>
    <x v="0"/>
  </r>
  <r>
    <s v="ORD1950"/>
    <x v="479"/>
    <x v="540"/>
    <s v="Karan"/>
    <x v="2"/>
    <s v="delhi "/>
    <x v="1"/>
    <s v="Laptop"/>
    <s v="Laptop 2"/>
    <n v="1"/>
    <n v="3052.69"/>
    <n v="5"/>
    <x v="3"/>
    <x v="3"/>
  </r>
  <r>
    <s v="ORD1951"/>
    <x v="14"/>
    <x v="151"/>
    <s v="Arjun"/>
    <x v="4"/>
    <s v="Kolkata"/>
    <x v="0"/>
    <s v="Table"/>
    <s v="Table 4"/>
    <n v="4"/>
    <n v="12830.06"/>
    <n v="5"/>
    <x v="1"/>
    <x v="3"/>
  </r>
  <r>
    <s v="ORD1953"/>
    <x v="430"/>
    <x v="541"/>
    <s v="Anjali "/>
    <x v="2"/>
    <s v="Mumbai"/>
    <x v="0"/>
    <s v="Table"/>
    <s v="Table 14"/>
    <n v="4"/>
    <n v="3016.97"/>
    <n v="10"/>
    <x v="0"/>
    <x v="2"/>
  </r>
  <r>
    <s v="ORD1954"/>
    <x v="480"/>
    <x v="395"/>
    <s v="Riya"/>
    <x v="4"/>
    <s v="delhi "/>
    <x v="0"/>
    <s v="Table"/>
    <s v="Table 25"/>
    <n v="10"/>
    <n v="33028.019999999997"/>
    <n v="15"/>
    <x v="2"/>
    <x v="0"/>
  </r>
  <r>
    <s v="ORD1955"/>
    <x v="204"/>
    <x v="248"/>
    <s v="Neha"/>
    <x v="4"/>
    <s v="delhi "/>
    <x v="0"/>
    <s v="Chair"/>
    <s v="Chair 3"/>
    <n v="1"/>
    <n v="2271.29"/>
    <n v="20"/>
    <x v="1"/>
    <x v="0"/>
  </r>
  <r>
    <s v="ORD1956"/>
    <x v="283"/>
    <x v="542"/>
    <s v="Neha"/>
    <x v="0"/>
    <s v="Delhi"/>
    <x v="0"/>
    <s v="Table"/>
    <s v="Table 22"/>
    <n v="1"/>
    <n v="1063.79"/>
    <s v="10 %"/>
    <x v="4"/>
    <x v="1"/>
  </r>
  <r>
    <s v="ORD1959"/>
    <x v="481"/>
    <x v="218"/>
    <s v="Anjali"/>
    <x v="4"/>
    <s v="Jaipur"/>
    <x v="0"/>
    <s v="Chair"/>
    <s v="Chair 19"/>
    <n v="9"/>
    <n v="40230.94"/>
    <s v="10 %"/>
    <x v="4"/>
    <x v="0"/>
  </r>
  <r>
    <s v="ORD1960"/>
    <x v="482"/>
    <x v="543"/>
    <s v="Sneha"/>
    <x v="0"/>
    <s v="Delhi"/>
    <x v="0"/>
    <s v="Chair"/>
    <s v="Chair 26"/>
    <n v="4"/>
    <n v="3890.01"/>
    <n v="15"/>
    <x v="0"/>
    <x v="3"/>
  </r>
  <r>
    <s v="ORD1961"/>
    <x v="300"/>
    <x v="544"/>
    <s v="Rahul "/>
    <x v="2"/>
    <s v="Mumbai"/>
    <x v="0"/>
    <s v="Table"/>
    <s v="Table 16"/>
    <n v="8"/>
    <n v="30354.36"/>
    <s v="10 %"/>
    <x v="0"/>
    <x v="3"/>
  </r>
  <r>
    <s v="ORD1962"/>
    <x v="95"/>
    <x v="545"/>
    <s v="Rahul"/>
    <x v="2"/>
    <s v="Pune"/>
    <x v="0"/>
    <s v="Chair"/>
    <s v="Chair 11"/>
    <n v="8"/>
    <n v="15817.85"/>
    <n v="20"/>
    <x v="2"/>
    <x v="0"/>
  </r>
  <r>
    <s v="ORD1964"/>
    <x v="483"/>
    <x v="546"/>
    <s v="Karan "/>
    <x v="0"/>
    <s v="delhi "/>
    <x v="1"/>
    <s v="Laptop"/>
    <s v="Laptop 28"/>
    <n v="2"/>
    <n v="5039.99"/>
    <n v="20"/>
    <x v="5"/>
    <x v="1"/>
  </r>
  <r>
    <s v="ORD1965"/>
    <x v="235"/>
    <x v="547"/>
    <s v="Riya"/>
    <x v="0"/>
    <s v="Kolkata"/>
    <x v="3"/>
    <s v="Paper"/>
    <s v="Paper 26"/>
    <n v="6"/>
    <n v="15724.83"/>
    <n v="0"/>
    <x v="0"/>
    <x v="2"/>
  </r>
  <r>
    <s v="ORD1966"/>
    <x v="484"/>
    <x v="491"/>
    <s v="Rahul"/>
    <x v="0"/>
    <s v="Mumbai"/>
    <x v="3"/>
    <s v="Paper"/>
    <s v="Paper 29"/>
    <n v="1"/>
    <n v="2460.08"/>
    <s v="10 %"/>
    <x v="4"/>
    <x v="2"/>
  </r>
  <r>
    <s v="ORD1967"/>
    <x v="177"/>
    <x v="548"/>
    <s v="Neha"/>
    <x v="0"/>
    <s v="delhi "/>
    <x v="1"/>
    <s v="Laptop"/>
    <s v="Laptop 29"/>
    <n v="7"/>
    <n v="3645.75"/>
    <s v="10 %"/>
    <x v="0"/>
    <x v="3"/>
  </r>
  <r>
    <s v="ORD1968"/>
    <x v="347"/>
    <x v="549"/>
    <s v="Amit"/>
    <x v="0"/>
    <s v="Kolkata"/>
    <x v="0"/>
    <s v="Table"/>
    <s v="Table 27"/>
    <n v="1"/>
    <n v="2380.83"/>
    <n v="0"/>
    <x v="2"/>
    <x v="2"/>
  </r>
  <r>
    <s v="ORD1969"/>
    <x v="481"/>
    <x v="231"/>
    <s v="Karan"/>
    <x v="3"/>
    <s v="Bengaluru"/>
    <x v="2"/>
    <s v="Phone"/>
    <s v="Phone 6"/>
    <n v="3"/>
    <n v="10445.200000000001"/>
    <n v="10"/>
    <x v="0"/>
    <x v="3"/>
  </r>
  <r>
    <s v="ORD1971"/>
    <x v="131"/>
    <x v="356"/>
    <s v="Neha"/>
    <x v="0"/>
    <s v="Jaipur"/>
    <x v="3"/>
    <s v="Paper"/>
    <s v="Paper 9"/>
    <n v="4"/>
    <n v="11003.51"/>
    <n v="15"/>
    <x v="0"/>
    <x v="0"/>
  </r>
  <r>
    <s v="ORD1972"/>
    <x v="190"/>
    <x v="550"/>
    <s v="Riya "/>
    <x v="1"/>
    <s v="Jaipur"/>
    <x v="0"/>
    <s v="Chair"/>
    <s v="Chair 27"/>
    <n v="9"/>
    <n v="4845.6099999999997"/>
    <n v="5"/>
    <x v="0"/>
    <x v="3"/>
  </r>
  <r>
    <s v="ORD1973"/>
    <x v="485"/>
    <x v="462"/>
    <s v="Priya"/>
    <x v="0"/>
    <s v="Pune"/>
    <x v="0"/>
    <s v="Table"/>
    <s v="Table 11"/>
    <n v="9"/>
    <n v="27281.13"/>
    <n v="20"/>
    <x v="0"/>
    <x v="0"/>
  </r>
  <r>
    <s v="ORD1974"/>
    <x v="24"/>
    <x v="551"/>
    <s v="Karan"/>
    <x v="1"/>
    <s v="Pune"/>
    <x v="0"/>
    <s v="Chair"/>
    <s v="Chair 19"/>
    <n v="7"/>
    <n v="31599.15"/>
    <n v="20"/>
    <x v="3"/>
    <x v="3"/>
  </r>
  <r>
    <s v="ORD1975"/>
    <x v="436"/>
    <x v="552"/>
    <s v="Amit"/>
    <x v="4"/>
    <s v="Delhi"/>
    <x v="3"/>
    <s v="Paper"/>
    <s v="Paper 20"/>
    <n v="4"/>
    <n v="10219.030000000001"/>
    <n v="5"/>
    <x v="4"/>
    <x v="0"/>
  </r>
  <r>
    <s v="ORD1976"/>
    <x v="28"/>
    <x v="264"/>
    <s v="Karan"/>
    <x v="2"/>
    <s v="Jaipur"/>
    <x v="0"/>
    <s v="Table"/>
    <s v="Table 23"/>
    <n v="7"/>
    <n v="33360.269999999997"/>
    <n v="10"/>
    <x v="3"/>
    <x v="1"/>
  </r>
  <r>
    <s v="ORD1977"/>
    <x v="173"/>
    <x v="261"/>
    <s v="Karan"/>
    <x v="2"/>
    <s v="Pune"/>
    <x v="0"/>
    <s v="Chair"/>
    <s v="Chair 1"/>
    <n v="10"/>
    <n v="46111.07"/>
    <s v="10 %"/>
    <x v="1"/>
    <x v="1"/>
  </r>
  <r>
    <s v="ORD1978"/>
    <x v="486"/>
    <x v="191"/>
    <s v="Priya"/>
    <x v="2"/>
    <s v="Delhi"/>
    <x v="3"/>
    <s v="Paper"/>
    <s v="Paper 3"/>
    <n v="10"/>
    <n v="4548.26"/>
    <n v="15"/>
    <x v="3"/>
    <x v="0"/>
  </r>
  <r>
    <s v="ORD1979"/>
    <x v="86"/>
    <x v="251"/>
    <s v="Priya"/>
    <x v="1"/>
    <s v="Bengaluru"/>
    <x v="1"/>
    <s v="Phone"/>
    <s v="Phone 9"/>
    <n v="5"/>
    <n v="20951.169999999998"/>
    <n v="10"/>
    <x v="3"/>
    <x v="0"/>
  </r>
  <r>
    <s v="ORD1980"/>
    <x v="487"/>
    <x v="130"/>
    <s v="Amit"/>
    <x v="4"/>
    <s v="Mumbai"/>
    <x v="0"/>
    <s v="Table"/>
    <s v="Table 2"/>
    <n v="7"/>
    <n v="14215.52"/>
    <s v="10 %"/>
    <x v="3"/>
    <x v="2"/>
  </r>
  <r>
    <s v="ORD1981"/>
    <x v="395"/>
    <x v="553"/>
    <s v="Vikas"/>
    <x v="0"/>
    <s v="Jaipur"/>
    <x v="0"/>
    <s v="Chair"/>
    <s v="Chair 30"/>
    <n v="8"/>
    <n v="31217.89"/>
    <n v="20"/>
    <x v="2"/>
    <x v="0"/>
  </r>
  <r>
    <s v="ORD1982"/>
    <x v="123"/>
    <x v="473"/>
    <s v="Rahul"/>
    <x v="2"/>
    <s v="Delhi"/>
    <x v="0"/>
    <s v="Chair"/>
    <s v="Chair 13"/>
    <n v="2"/>
    <n v="6307.89"/>
    <n v="5"/>
    <x v="0"/>
    <x v="0"/>
  </r>
  <r>
    <s v="ORD1984"/>
    <x v="309"/>
    <x v="402"/>
    <s v="Sneha"/>
    <x v="0"/>
    <s v="Jaipur"/>
    <x v="2"/>
    <s v="Phone"/>
    <s v="Phone 13"/>
    <n v="4"/>
    <n v="6352.97"/>
    <s v="10 %"/>
    <x v="5"/>
    <x v="3"/>
  </r>
  <r>
    <s v="ORD1986"/>
    <x v="307"/>
    <x v="374"/>
    <s v="Karan"/>
    <x v="4"/>
    <s v="Delhi"/>
    <x v="2"/>
    <s v="Phone"/>
    <s v="Phone 28"/>
    <n v="8"/>
    <n v="33632.120000000003"/>
    <n v="15"/>
    <x v="0"/>
    <x v="3"/>
  </r>
  <r>
    <s v="ORD1987"/>
    <x v="128"/>
    <x v="554"/>
    <s v="Karan"/>
    <x v="4"/>
    <s v="delhi "/>
    <x v="3"/>
    <s v="Paper"/>
    <s v="Paper 5"/>
    <n v="8"/>
    <n v="5879.2"/>
    <n v="15"/>
    <x v="0"/>
    <x v="3"/>
  </r>
  <r>
    <s v="ORD1988"/>
    <x v="272"/>
    <x v="555"/>
    <s v="Amit"/>
    <x v="1"/>
    <s v="Jaipur"/>
    <x v="1"/>
    <s v="Phone"/>
    <s v="Phone 30"/>
    <n v="4"/>
    <n v="9311.82"/>
    <s v="10 %"/>
    <x v="5"/>
    <x v="2"/>
  </r>
  <r>
    <s v="ORD1989"/>
    <x v="488"/>
    <x v="556"/>
    <s v="Anjali"/>
    <x v="4"/>
    <s v="Delhi"/>
    <x v="3"/>
    <s v="Paper"/>
    <s v="Paper 7"/>
    <n v="10"/>
    <n v="19943.509999999998"/>
    <n v="0"/>
    <x v="2"/>
    <x v="2"/>
  </r>
  <r>
    <s v="ORD1990"/>
    <x v="489"/>
    <x v="557"/>
    <s v="Sneha"/>
    <x v="1"/>
    <s v="Bengaluru"/>
    <x v="1"/>
    <s v="Phone"/>
    <s v="Phone 11"/>
    <n v="1"/>
    <n v="2500.54"/>
    <n v="20"/>
    <x v="3"/>
    <x v="3"/>
  </r>
  <r>
    <s v="ORD1991"/>
    <x v="490"/>
    <x v="509"/>
    <s v="Arjun"/>
    <x v="0"/>
    <s v="Mumbai"/>
    <x v="0"/>
    <s v="Table"/>
    <s v="Table 1"/>
    <n v="2"/>
    <n v="4708.3100000000004"/>
    <n v="5"/>
    <x v="1"/>
    <x v="0"/>
  </r>
  <r>
    <s v="ORD1992"/>
    <x v="297"/>
    <x v="180"/>
    <s v="Karan"/>
    <x v="0"/>
    <s v="delhi "/>
    <x v="3"/>
    <s v="Paper"/>
    <s v="Paper 13"/>
    <n v="10"/>
    <n v="4350.3500000000004"/>
    <s v="10 %"/>
    <x v="4"/>
    <x v="1"/>
  </r>
  <r>
    <s v="ORD1993"/>
    <x v="394"/>
    <x v="182"/>
    <s v="Rahul"/>
    <x v="1"/>
    <s v="Mumbai"/>
    <x v="0"/>
    <s v="Chair"/>
    <s v="Chair 30"/>
    <n v="5"/>
    <n v="3438.77"/>
    <s v="10 %"/>
    <x v="2"/>
    <x v="1"/>
  </r>
  <r>
    <s v="ORD1995"/>
    <x v="194"/>
    <x v="406"/>
    <s v="Rahul"/>
    <x v="0"/>
    <s v="Bengaluru"/>
    <x v="0"/>
    <s v="Table"/>
    <s v="Table 28"/>
    <n v="10"/>
    <n v="33117.730000000003"/>
    <n v="10"/>
    <x v="5"/>
    <x v="3"/>
  </r>
  <r>
    <s v="ORD1996"/>
    <x v="225"/>
    <x v="222"/>
    <s v="Sneha"/>
    <x v="4"/>
    <s v="Pune"/>
    <x v="2"/>
    <s v="Phone"/>
    <s v="Phone 26"/>
    <n v="10"/>
    <n v="20541.47"/>
    <s v="10 %"/>
    <x v="1"/>
    <x v="0"/>
  </r>
  <r>
    <s v="ORD1997"/>
    <x v="137"/>
    <x v="558"/>
    <s v="Arjun"/>
    <x v="3"/>
    <s v="Bengaluru"/>
    <x v="0"/>
    <s v="Chair"/>
    <s v="Chair 8"/>
    <n v="3"/>
    <n v="12194.59"/>
    <n v="20"/>
    <x v="4"/>
    <x v="1"/>
  </r>
  <r>
    <s v="ORD1998"/>
    <x v="401"/>
    <x v="199"/>
    <s v="Vikas"/>
    <x v="0"/>
    <s v="Pune"/>
    <x v="1"/>
    <s v="Laptop"/>
    <s v="Laptop 7"/>
    <n v="10"/>
    <n v="23440.89"/>
    <n v="5"/>
    <x v="2"/>
    <x v="3"/>
  </r>
  <r>
    <s v="ORD1999"/>
    <x v="332"/>
    <x v="559"/>
    <s v="Karan"/>
    <x v="0"/>
    <s v="delhi "/>
    <x v="1"/>
    <s v="Laptop"/>
    <s v="Laptop 28"/>
    <n v="3"/>
    <n v="14330.89"/>
    <n v="15"/>
    <x v="1"/>
    <x v="3"/>
  </r>
  <r>
    <s v="ORD2000"/>
    <x v="491"/>
    <x v="272"/>
    <s v="Vikas"/>
    <x v="0"/>
    <s v="Delhi"/>
    <x v="3"/>
    <s v="Paper"/>
    <s v="Paper 14"/>
    <n v="6"/>
    <n v="14609.91"/>
    <s v="10 %"/>
    <x v="3"/>
    <x v="3"/>
  </r>
  <r>
    <s v="ORD2001"/>
    <x v="453"/>
    <x v="560"/>
    <s v="Anjali"/>
    <x v="1"/>
    <s v="Jaipur"/>
    <x v="1"/>
    <s v="Laptop"/>
    <s v="Laptop 28"/>
    <n v="9"/>
    <n v="30515.89"/>
    <n v="20"/>
    <x v="2"/>
    <x v="3"/>
  </r>
  <r>
    <s v="ORD2003"/>
    <x v="378"/>
    <x v="561"/>
    <s v="Neha"/>
    <x v="1"/>
    <s v="delhi "/>
    <x v="0"/>
    <s v="Chair"/>
    <s v="Chair 18"/>
    <n v="2"/>
    <n v="7626.71"/>
    <n v="5"/>
    <x v="3"/>
    <x v="1"/>
  </r>
  <r>
    <s v="ORD2004"/>
    <x v="492"/>
    <x v="32"/>
    <s v="Anjali"/>
    <x v="0"/>
    <s v="Jaipur"/>
    <x v="3"/>
    <s v="Paper"/>
    <s v="Paper 1"/>
    <n v="5"/>
    <n v="19074.91"/>
    <n v="20"/>
    <x v="2"/>
    <x v="0"/>
  </r>
  <r>
    <s v="ORD2005"/>
    <x v="493"/>
    <x v="562"/>
    <s v="Sneha"/>
    <x v="2"/>
    <s v="Delhi"/>
    <x v="0"/>
    <s v="Chair"/>
    <s v="Chair 1"/>
    <n v="3"/>
    <n v="8765.27"/>
    <n v="5"/>
    <x v="0"/>
    <x v="3"/>
  </r>
  <r>
    <s v="ORD2008"/>
    <x v="494"/>
    <x v="168"/>
    <s v="Priya"/>
    <x v="0"/>
    <s v="Jaipur"/>
    <x v="3"/>
    <s v="Paper"/>
    <s v="Paper 16"/>
    <n v="3"/>
    <n v="12197.58"/>
    <n v="5"/>
    <x v="2"/>
    <x v="0"/>
  </r>
  <r>
    <s v="ORD2009"/>
    <x v="388"/>
    <x v="563"/>
    <s v="Sneha "/>
    <x v="1"/>
    <s v="Kolkata"/>
    <x v="1"/>
    <s v="Laptop"/>
    <s v="Laptop 4"/>
    <n v="3"/>
    <n v="4744.32"/>
    <n v="10"/>
    <x v="2"/>
    <x v="1"/>
  </r>
  <r>
    <s v="ORD2010"/>
    <x v="407"/>
    <x v="564"/>
    <s v="Karan"/>
    <x v="3"/>
    <s v="Bengaluru"/>
    <x v="2"/>
    <s v="Phone"/>
    <s v="Phone 2"/>
    <n v="5"/>
    <n v="12325.51"/>
    <n v="10"/>
    <x v="2"/>
    <x v="1"/>
  </r>
  <r>
    <s v="ORD2011"/>
    <x v="495"/>
    <x v="565"/>
    <s v="Anjali"/>
    <x v="3"/>
    <s v="Kolkata"/>
    <x v="1"/>
    <s v="Laptop"/>
    <s v="Laptop 10"/>
    <n v="4"/>
    <n v="13144.72"/>
    <n v="5"/>
    <x v="4"/>
    <x v="0"/>
  </r>
  <r>
    <s v="ORD2012"/>
    <x v="411"/>
    <x v="553"/>
    <s v="Karan"/>
    <x v="1"/>
    <s v="Mumbai"/>
    <x v="2"/>
    <s v="Phone"/>
    <s v="Phone 26"/>
    <n v="7"/>
    <n v="21585.439999999999"/>
    <n v="10"/>
    <x v="4"/>
    <x v="3"/>
  </r>
  <r>
    <s v="ORD2013"/>
    <x v="389"/>
    <x v="122"/>
    <s v="Sneha"/>
    <x v="1"/>
    <s v="Pune"/>
    <x v="1"/>
    <s v="Phone"/>
    <s v="Phone 22"/>
    <n v="4"/>
    <n v="7823.54"/>
    <n v="0"/>
    <x v="1"/>
    <x v="2"/>
  </r>
  <r>
    <s v="ORD2014"/>
    <x v="168"/>
    <x v="349"/>
    <s v="Anjali"/>
    <x v="3"/>
    <s v="Kolkata"/>
    <x v="2"/>
    <s v="Phone"/>
    <s v="Phone 2"/>
    <n v="2"/>
    <n v="8657.5499999999993"/>
    <n v="0"/>
    <x v="4"/>
    <x v="2"/>
  </r>
  <r>
    <s v="ORD2016"/>
    <x v="447"/>
    <x v="427"/>
    <s v="Sneha "/>
    <x v="1"/>
    <s v="Mumbai"/>
    <x v="0"/>
    <s v="Table"/>
    <s v="Table 28"/>
    <n v="10"/>
    <n v="12044.08"/>
    <n v="0"/>
    <x v="1"/>
    <x v="3"/>
  </r>
  <r>
    <s v="ORD2017"/>
    <x v="496"/>
    <x v="350"/>
    <s v="Rahul"/>
    <x v="0"/>
    <s v="Bengaluru"/>
    <x v="3"/>
    <s v="Paper"/>
    <s v="Paper 1"/>
    <n v="10"/>
    <n v="2975.34"/>
    <s v="10 %"/>
    <x v="2"/>
    <x v="3"/>
  </r>
  <r>
    <s v="ORD2018"/>
    <x v="71"/>
    <x v="566"/>
    <s v="Riya"/>
    <x v="4"/>
    <s v="Jaipur"/>
    <x v="1"/>
    <s v="Laptop"/>
    <s v="Laptop 8"/>
    <n v="3"/>
    <n v="10918.62"/>
    <s v="10 %"/>
    <x v="1"/>
    <x v="3"/>
  </r>
  <r>
    <s v="ORD2020"/>
    <x v="462"/>
    <x v="554"/>
    <s v="Karan"/>
    <x v="0"/>
    <s v="delhi "/>
    <x v="0"/>
    <s v="Table"/>
    <s v="Table 6"/>
    <n v="6"/>
    <n v="19407.71"/>
    <n v="10"/>
    <x v="2"/>
    <x v="2"/>
  </r>
  <r>
    <s v="ORD2021"/>
    <x v="338"/>
    <x v="380"/>
    <s v="Anjali"/>
    <x v="4"/>
    <s v="Pune"/>
    <x v="1"/>
    <s v="Phone"/>
    <s v="Phone 2"/>
    <n v="10"/>
    <n v="1165.9100000000001"/>
    <n v="10"/>
    <x v="2"/>
    <x v="3"/>
  </r>
  <r>
    <s v="ORD2022"/>
    <x v="316"/>
    <x v="567"/>
    <s v="Karan"/>
    <x v="2"/>
    <s v="delhi "/>
    <x v="2"/>
    <s v="Phone"/>
    <s v="Phone 19"/>
    <n v="4"/>
    <n v="13068.74"/>
    <n v="5"/>
    <x v="5"/>
    <x v="0"/>
  </r>
  <r>
    <s v="ORD2023"/>
    <x v="497"/>
    <x v="172"/>
    <s v="Karan"/>
    <x v="2"/>
    <s v="Delhi"/>
    <x v="3"/>
    <s v="Paper"/>
    <s v="Paper 27"/>
    <n v="5"/>
    <n v="3717.93"/>
    <n v="10"/>
    <x v="4"/>
    <x v="3"/>
  </r>
  <r>
    <s v="ORD2024"/>
    <x v="423"/>
    <x v="267"/>
    <s v="Karan"/>
    <x v="1"/>
    <s v="Bengaluru"/>
    <x v="1"/>
    <s v="Laptop"/>
    <s v="Laptop 22"/>
    <n v="3"/>
    <n v="3225.25"/>
    <s v="10 %"/>
    <x v="0"/>
    <x v="3"/>
  </r>
  <r>
    <s v="ORD2025"/>
    <x v="255"/>
    <x v="204"/>
    <s v="Priya"/>
    <x v="0"/>
    <s v="Kolkata"/>
    <x v="3"/>
    <s v="Paper"/>
    <s v="Paper 26"/>
    <n v="6"/>
    <n v="23152.95"/>
    <s v="10 %"/>
    <x v="1"/>
    <x v="3"/>
  </r>
  <r>
    <s v="ORD2026"/>
    <x v="252"/>
    <x v="568"/>
    <s v="Riya"/>
    <x v="0"/>
    <s v="Jaipur"/>
    <x v="3"/>
    <s v="Paper"/>
    <s v="Paper 16"/>
    <n v="10"/>
    <n v="26914.77"/>
    <n v="15"/>
    <x v="0"/>
    <x v="1"/>
  </r>
  <r>
    <s v="ORD2028"/>
    <x v="311"/>
    <x v="446"/>
    <s v="Rahul"/>
    <x v="0"/>
    <s v="Bengaluru"/>
    <x v="3"/>
    <s v="Paper"/>
    <s v="Paper 14"/>
    <n v="9"/>
    <n v="7796.82"/>
    <n v="10"/>
    <x v="4"/>
    <x v="3"/>
  </r>
  <r>
    <s v="ORD2029"/>
    <x v="498"/>
    <x v="569"/>
    <s v="Vikas "/>
    <x v="0"/>
    <s v="Pune"/>
    <x v="0"/>
    <s v="Table"/>
    <s v="Table 28"/>
    <n v="3"/>
    <n v="9422.98"/>
    <n v="20"/>
    <x v="0"/>
    <x v="2"/>
  </r>
  <r>
    <s v="ORD2030"/>
    <x v="248"/>
    <x v="32"/>
    <s v="Neha"/>
    <x v="3"/>
    <s v="Jaipur"/>
    <x v="1"/>
    <s v="Laptop"/>
    <s v="Laptop 23"/>
    <n v="4"/>
    <n v="8343.52"/>
    <n v="20"/>
    <x v="1"/>
    <x v="3"/>
  </r>
  <r>
    <s v="ORD2031"/>
    <x v="499"/>
    <x v="18"/>
    <s v="Priya"/>
    <x v="0"/>
    <s v="delhi "/>
    <x v="0"/>
    <s v="Chair"/>
    <s v="Chair 1"/>
    <n v="8"/>
    <n v="35300.86"/>
    <s v="10 %"/>
    <x v="2"/>
    <x v="1"/>
  </r>
  <r>
    <s v="ORD2033"/>
    <x v="294"/>
    <x v="570"/>
    <s v="Riya"/>
    <x v="0"/>
    <s v="Jaipur"/>
    <x v="2"/>
    <s v="Phone"/>
    <s v="Phone 8"/>
    <n v="7"/>
    <n v="25827.43"/>
    <n v="5"/>
    <x v="2"/>
    <x v="1"/>
  </r>
  <r>
    <s v="ORD2034"/>
    <x v="500"/>
    <x v="571"/>
    <s v="Karan"/>
    <x v="0"/>
    <s v="Pune"/>
    <x v="0"/>
    <s v="Chair"/>
    <s v="Chair 26"/>
    <n v="5"/>
    <n v="18896.89"/>
    <n v="15"/>
    <x v="3"/>
    <x v="3"/>
  </r>
  <r>
    <s v="ORD2035"/>
    <x v="501"/>
    <x v="572"/>
    <s v="Anjali"/>
    <x v="2"/>
    <s v="delhi "/>
    <x v="2"/>
    <s v="Phone"/>
    <s v="Phone 21"/>
    <n v="4"/>
    <n v="15133.01"/>
    <n v="5"/>
    <x v="1"/>
    <x v="3"/>
  </r>
  <r>
    <s v="ORD2036"/>
    <x v="502"/>
    <x v="573"/>
    <s v="Karan"/>
    <x v="0"/>
    <s v="Kolkata"/>
    <x v="2"/>
    <s v="Phone"/>
    <s v="Phone 30"/>
    <n v="10"/>
    <n v="3914.79"/>
    <n v="15"/>
    <x v="5"/>
    <x v="3"/>
  </r>
  <r>
    <s v="ORD2037"/>
    <x v="19"/>
    <x v="574"/>
    <s v="Priya"/>
    <x v="0"/>
    <s v="Pune"/>
    <x v="3"/>
    <s v="Paper"/>
    <s v="Paper 22"/>
    <n v="6"/>
    <n v="662.29"/>
    <s v="10 %"/>
    <x v="1"/>
    <x v="3"/>
  </r>
  <r>
    <s v="ORD2038"/>
    <x v="88"/>
    <x v="480"/>
    <s v="Priya"/>
    <x v="2"/>
    <s v="Delhi"/>
    <x v="3"/>
    <s v="Paper"/>
    <s v="Paper 20"/>
    <n v="4"/>
    <n v="1841.2"/>
    <s v="10 %"/>
    <x v="2"/>
    <x v="3"/>
  </r>
  <r>
    <s v="ORD2039"/>
    <x v="227"/>
    <x v="575"/>
    <s v="Anjali"/>
    <x v="0"/>
    <s v="Delhi"/>
    <x v="2"/>
    <s v="Phone"/>
    <s v="Phone 19"/>
    <n v="8"/>
    <n v="34792.17"/>
    <n v="5"/>
    <x v="5"/>
    <x v="1"/>
  </r>
  <r>
    <s v="ORD2040"/>
    <x v="72"/>
    <x v="576"/>
    <s v="Neha"/>
    <x v="0"/>
    <s v="Pune"/>
    <x v="0"/>
    <s v="Chair"/>
    <s v="Chair 20"/>
    <n v="4"/>
    <n v="1029.17"/>
    <n v="5"/>
    <x v="0"/>
    <x v="0"/>
  </r>
  <r>
    <s v="ORD2041"/>
    <x v="410"/>
    <x v="577"/>
    <s v="Riya"/>
    <x v="0"/>
    <s v="Mumbai"/>
    <x v="0"/>
    <s v="Table"/>
    <s v="Table 9"/>
    <n v="7"/>
    <n v="24020.23"/>
    <s v="10 %"/>
    <x v="5"/>
    <x v="3"/>
  </r>
  <r>
    <s v="ORD2042"/>
    <x v="379"/>
    <x v="578"/>
    <s v="Rahul"/>
    <x v="1"/>
    <s v="Kolkata"/>
    <x v="0"/>
    <s v="Table"/>
    <s v="Table 28"/>
    <n v="7"/>
    <n v="5148.1000000000004"/>
    <s v="10 %"/>
    <x v="2"/>
    <x v="3"/>
  </r>
  <r>
    <s v="ORD2043"/>
    <x v="503"/>
    <x v="90"/>
    <s v="Priya"/>
    <x v="4"/>
    <s v="Mumbai"/>
    <x v="0"/>
    <s v="Table"/>
    <s v="Table 8"/>
    <n v="9"/>
    <n v="21361.67"/>
    <n v="5"/>
    <x v="4"/>
    <x v="2"/>
  </r>
  <r>
    <s v="ORD2044"/>
    <x v="504"/>
    <x v="579"/>
    <s v="Karan"/>
    <x v="3"/>
    <s v="delhi "/>
    <x v="3"/>
    <s v="Paper"/>
    <s v="Paper 21"/>
    <n v="5"/>
    <n v="23281.71"/>
    <n v="5"/>
    <x v="3"/>
    <x v="2"/>
  </r>
  <r>
    <s v="ORD2045"/>
    <x v="340"/>
    <x v="416"/>
    <s v="Riya"/>
    <x v="2"/>
    <s v="Mumbai"/>
    <x v="0"/>
    <s v="Table"/>
    <s v="Table 18"/>
    <n v="9"/>
    <n v="44659.96"/>
    <n v="10"/>
    <x v="0"/>
    <x v="3"/>
  </r>
  <r>
    <s v="ORD2046"/>
    <x v="116"/>
    <x v="540"/>
    <s v="Rahul"/>
    <x v="1"/>
    <s v="Mumbai"/>
    <x v="1"/>
    <s v="Laptop"/>
    <s v="Laptop 29"/>
    <n v="4"/>
    <n v="14266.6"/>
    <n v="15"/>
    <x v="3"/>
    <x v="2"/>
  </r>
  <r>
    <s v="ORD2047"/>
    <x v="155"/>
    <x v="580"/>
    <s v="Rahul"/>
    <x v="2"/>
    <s v="delhi "/>
    <x v="1"/>
    <s v="Laptop"/>
    <s v="Laptop 11"/>
    <n v="10"/>
    <n v="19717.11"/>
    <n v="15"/>
    <x v="1"/>
    <x v="3"/>
  </r>
  <r>
    <s v="ORD2048"/>
    <x v="117"/>
    <x v="371"/>
    <s v="Rahul"/>
    <x v="1"/>
    <s v="Delhi"/>
    <x v="0"/>
    <s v="Chair"/>
    <s v="Chair 5"/>
    <n v="5"/>
    <n v="6368.26"/>
    <n v="5"/>
    <x v="3"/>
    <x v="3"/>
  </r>
  <r>
    <s v="ORD2050"/>
    <x v="480"/>
    <x v="491"/>
    <s v="Vikas"/>
    <x v="4"/>
    <s v="Jaipur"/>
    <x v="2"/>
    <s v="Phone"/>
    <s v="Phone 19"/>
    <n v="5"/>
    <n v="15328.84"/>
    <n v="20"/>
    <x v="1"/>
    <x v="2"/>
  </r>
  <r>
    <s v="ORD2052"/>
    <x v="44"/>
    <x v="303"/>
    <s v="Amit"/>
    <x v="0"/>
    <s v="delhi "/>
    <x v="1"/>
    <s v="Laptop"/>
    <s v="Laptop 28"/>
    <n v="5"/>
    <n v="20862.349999999999"/>
    <n v="10"/>
    <x v="2"/>
    <x v="1"/>
  </r>
  <r>
    <s v="ORD2053"/>
    <x v="73"/>
    <x v="305"/>
    <s v="Amit"/>
    <x v="4"/>
    <s v="Delhi"/>
    <x v="3"/>
    <s v="Paper"/>
    <s v="Paper 2"/>
    <n v="10"/>
    <n v="8042.45"/>
    <n v="15"/>
    <x v="3"/>
    <x v="3"/>
  </r>
  <r>
    <s v="ORD2054"/>
    <x v="505"/>
    <x v="581"/>
    <s v="Anjali"/>
    <x v="0"/>
    <s v="Delhi"/>
    <x v="1"/>
    <s v="Phone"/>
    <s v="Phone 26"/>
    <n v="3"/>
    <n v="1333.08"/>
    <s v="10 %"/>
    <x v="0"/>
    <x v="2"/>
  </r>
  <r>
    <s v="ORD2055"/>
    <x v="402"/>
    <x v="582"/>
    <s v="Rahul"/>
    <x v="2"/>
    <s v="Mumbai"/>
    <x v="3"/>
    <s v="Paper"/>
    <s v="Paper 18"/>
    <n v="8"/>
    <n v="28507.95"/>
    <n v="5"/>
    <x v="5"/>
    <x v="3"/>
  </r>
  <r>
    <s v="ORD2056"/>
    <x v="367"/>
    <x v="88"/>
    <s v="Arjun"/>
    <x v="4"/>
    <s v="Kolkata"/>
    <x v="2"/>
    <s v="Phone"/>
    <s v="Phone 12"/>
    <n v="6"/>
    <n v="6852.73"/>
    <n v="5"/>
    <x v="3"/>
    <x v="0"/>
  </r>
  <r>
    <s v="ORD2057"/>
    <x v="193"/>
    <x v="445"/>
    <s v="Karan"/>
    <x v="2"/>
    <s v="Jaipur"/>
    <x v="0"/>
    <s v="Chair"/>
    <s v="Chair 25"/>
    <n v="7"/>
    <n v="32432.28"/>
    <n v="10"/>
    <x v="3"/>
    <x v="2"/>
  </r>
  <r>
    <s v="ORD2058"/>
    <x v="506"/>
    <x v="224"/>
    <s v="Riya"/>
    <x v="4"/>
    <s v="Bengaluru"/>
    <x v="3"/>
    <s v="Paper"/>
    <s v="Paper 2"/>
    <n v="2"/>
    <n v="6377.09"/>
    <n v="15"/>
    <x v="0"/>
    <x v="2"/>
  </r>
  <r>
    <s v="ORD2059"/>
    <x v="452"/>
    <x v="583"/>
    <s v="Rahul"/>
    <x v="0"/>
    <s v="Delhi"/>
    <x v="0"/>
    <s v="Chair"/>
    <s v="Chair 28"/>
    <n v="6"/>
    <n v="8999.5"/>
    <n v="20"/>
    <x v="1"/>
    <x v="3"/>
  </r>
  <r>
    <s v="ORD2060"/>
    <x v="507"/>
    <x v="584"/>
    <s v="Rahul "/>
    <x v="3"/>
    <s v="Jaipur"/>
    <x v="0"/>
    <s v="Chair"/>
    <s v="Chair 15"/>
    <n v="5"/>
    <n v="22979.11"/>
    <n v="5"/>
    <x v="4"/>
    <x v="2"/>
  </r>
  <r>
    <s v="ORD2061"/>
    <x v="405"/>
    <x v="110"/>
    <s v="Amit "/>
    <x v="0"/>
    <s v="Jaipur"/>
    <x v="0"/>
    <s v="Chair"/>
    <s v="Chair 17"/>
    <n v="1"/>
    <n v="2478.9899999999998"/>
    <n v="5"/>
    <x v="0"/>
    <x v="1"/>
  </r>
  <r>
    <s v="ORD2062"/>
    <x v="192"/>
    <x v="91"/>
    <s v="Amit"/>
    <x v="0"/>
    <s v="delhi "/>
    <x v="1"/>
    <s v="Laptop"/>
    <s v="Laptop 26"/>
    <n v="2"/>
    <n v="4899.8100000000004"/>
    <n v="20"/>
    <x v="5"/>
    <x v="0"/>
  </r>
  <r>
    <s v="ORD2064"/>
    <x v="426"/>
    <x v="585"/>
    <s v="Arjun"/>
    <x v="3"/>
    <s v="Delhi"/>
    <x v="1"/>
    <s v="Phone"/>
    <s v="Phone 21"/>
    <n v="9"/>
    <n v="29502.09"/>
    <s v="10 %"/>
    <x v="1"/>
    <x v="3"/>
  </r>
  <r>
    <s v="ORD2067"/>
    <x v="508"/>
    <x v="586"/>
    <s v="Arjun"/>
    <x v="1"/>
    <s v="Pune"/>
    <x v="2"/>
    <s v="Phone"/>
    <s v="Phone 24"/>
    <n v="4"/>
    <n v="11149.08"/>
    <s v="10 %"/>
    <x v="2"/>
    <x v="2"/>
  </r>
  <r>
    <s v="ORD2068"/>
    <x v="364"/>
    <x v="534"/>
    <s v="Anjali"/>
    <x v="4"/>
    <s v="Delhi"/>
    <x v="2"/>
    <s v="Phone"/>
    <s v="Phone 13"/>
    <n v="10"/>
    <n v="7199.24"/>
    <n v="20"/>
    <x v="1"/>
    <x v="3"/>
  </r>
  <r>
    <s v="ORD2069"/>
    <x v="434"/>
    <x v="286"/>
    <s v="Anjali"/>
    <x v="3"/>
    <s v="Jaipur"/>
    <x v="1"/>
    <s v="Phone"/>
    <s v="Phone 30"/>
    <n v="1"/>
    <n v="2398.23"/>
    <n v="20"/>
    <x v="3"/>
    <x v="0"/>
  </r>
  <r>
    <s v="ORD2070"/>
    <x v="261"/>
    <x v="41"/>
    <s v="Rahul"/>
    <x v="0"/>
    <s v="Mumbai"/>
    <x v="3"/>
    <s v="Paper"/>
    <s v="Paper 17"/>
    <n v="5"/>
    <n v="7423.79"/>
    <n v="5"/>
    <x v="2"/>
    <x v="3"/>
  </r>
  <r>
    <s v="ORD2071"/>
    <x v="509"/>
    <x v="262"/>
    <s v="Neha"/>
    <x v="1"/>
    <s v="Delhi"/>
    <x v="1"/>
    <s v="Phone"/>
    <s v="Phone 22"/>
    <n v="1"/>
    <n v="1288.19"/>
    <n v="20"/>
    <x v="0"/>
    <x v="1"/>
  </r>
  <r>
    <s v="ORD2072"/>
    <x v="510"/>
    <x v="359"/>
    <s v="Priya"/>
    <x v="0"/>
    <s v="delhi "/>
    <x v="2"/>
    <s v="Phone"/>
    <s v="Phone 24"/>
    <n v="1"/>
    <n v="4890.28"/>
    <n v="5"/>
    <x v="5"/>
    <x v="3"/>
  </r>
  <r>
    <s v="ORD2073"/>
    <x v="262"/>
    <x v="443"/>
    <s v="Riya"/>
    <x v="0"/>
    <s v="Delhi"/>
    <x v="0"/>
    <s v="Chair"/>
    <s v="Chair 15"/>
    <n v="5"/>
    <n v="13794.9"/>
    <n v="15"/>
    <x v="2"/>
    <x v="3"/>
  </r>
  <r>
    <s v="ORD2074"/>
    <x v="365"/>
    <x v="587"/>
    <s v="Arjun"/>
    <x v="0"/>
    <s v="Pune"/>
    <x v="1"/>
    <s v="Laptop"/>
    <s v="Laptop 6"/>
    <n v="8"/>
    <n v="22163.65"/>
    <n v="10"/>
    <x v="4"/>
    <x v="0"/>
  </r>
  <r>
    <s v="ORD2075"/>
    <x v="438"/>
    <x v="574"/>
    <s v="Arjun"/>
    <x v="4"/>
    <s v="delhi "/>
    <x v="0"/>
    <s v="Chair"/>
    <s v="Chair 15"/>
    <n v="9"/>
    <n v="13275.74"/>
    <s v="10 %"/>
    <x v="0"/>
    <x v="3"/>
  </r>
  <r>
    <s v="ORD2076"/>
    <x v="458"/>
    <x v="588"/>
    <s v="Karan "/>
    <x v="1"/>
    <s v="Delhi"/>
    <x v="0"/>
    <s v="Table"/>
    <s v="Table 23"/>
    <n v="2"/>
    <n v="8373.4699999999993"/>
    <n v="15"/>
    <x v="3"/>
    <x v="2"/>
  </r>
  <r>
    <s v="ORD2077"/>
    <x v="161"/>
    <x v="353"/>
    <s v="Neha"/>
    <x v="3"/>
    <s v="delhi "/>
    <x v="3"/>
    <s v="Paper"/>
    <s v="Paper 17"/>
    <n v="8"/>
    <n v="6620.62"/>
    <n v="0"/>
    <x v="2"/>
    <x v="1"/>
  </r>
  <r>
    <s v="ORD2078"/>
    <x v="258"/>
    <x v="13"/>
    <s v="Vikas"/>
    <x v="1"/>
    <s v="Delhi"/>
    <x v="1"/>
    <s v="Phone"/>
    <s v="Phone 21"/>
    <n v="2"/>
    <n v="8742.65"/>
    <n v="5"/>
    <x v="0"/>
    <x v="0"/>
  </r>
  <r>
    <s v="ORD2079"/>
    <x v="29"/>
    <x v="433"/>
    <s v="Karan"/>
    <x v="0"/>
    <s v="Mumbai"/>
    <x v="0"/>
    <s v="Chair"/>
    <s v="Chair 18"/>
    <n v="9"/>
    <n v="35404.910000000003"/>
    <n v="15"/>
    <x v="1"/>
    <x v="1"/>
  </r>
  <r>
    <s v="ORD2080"/>
    <x v="167"/>
    <x v="144"/>
    <s v="Anjali"/>
    <x v="1"/>
    <s v="Kolkata"/>
    <x v="3"/>
    <s v="Paper"/>
    <s v="Paper 4"/>
    <n v="2"/>
    <n v="7299.44"/>
    <n v="5"/>
    <x v="5"/>
    <x v="1"/>
  </r>
  <r>
    <s v="ORD2081"/>
    <x v="128"/>
    <x v="91"/>
    <s v="Priya"/>
    <x v="0"/>
    <s v="Bengaluru"/>
    <x v="1"/>
    <s v="Phone"/>
    <s v="Phone 7"/>
    <n v="1"/>
    <n v="990.75"/>
    <n v="0"/>
    <x v="2"/>
    <x v="0"/>
  </r>
  <r>
    <s v="ORD2082"/>
    <x v="382"/>
    <x v="509"/>
    <s v="Priya"/>
    <x v="4"/>
    <s v="Jaipur"/>
    <x v="1"/>
    <s v="Laptop"/>
    <s v="Laptop 13"/>
    <n v="4"/>
    <n v="13921.73"/>
    <s v="10 %"/>
    <x v="0"/>
    <x v="0"/>
  </r>
  <r>
    <s v="ORD2083"/>
    <x v="294"/>
    <x v="212"/>
    <s v="Vikas"/>
    <x v="4"/>
    <s v="delhi "/>
    <x v="0"/>
    <s v="Table"/>
    <s v="Table 2"/>
    <n v="4"/>
    <n v="9328.9500000000007"/>
    <n v="10"/>
    <x v="1"/>
    <x v="1"/>
  </r>
  <r>
    <s v="ORD2084"/>
    <x v="74"/>
    <x v="414"/>
    <s v="Arjun"/>
    <x v="3"/>
    <s v="Jaipur"/>
    <x v="2"/>
    <s v="Phone"/>
    <s v="Phone 23"/>
    <n v="7"/>
    <n v="18363.900000000001"/>
    <n v="0"/>
    <x v="3"/>
    <x v="2"/>
  </r>
  <r>
    <s v="ORD2085"/>
    <x v="312"/>
    <x v="589"/>
    <s v="Anjali"/>
    <x v="0"/>
    <s v="Bengaluru"/>
    <x v="1"/>
    <s v="Phone"/>
    <s v="Phone 26"/>
    <n v="4"/>
    <n v="6509.1"/>
    <n v="20"/>
    <x v="2"/>
    <x v="0"/>
  </r>
  <r>
    <s v="ORD2086"/>
    <x v="301"/>
    <x v="590"/>
    <s v="Riya"/>
    <x v="0"/>
    <s v="delhi "/>
    <x v="0"/>
    <s v="Table"/>
    <s v="Table 12"/>
    <n v="9"/>
    <n v="4575.0600000000004"/>
    <n v="10"/>
    <x v="5"/>
    <x v="3"/>
  </r>
  <r>
    <s v="ORD2087"/>
    <x v="511"/>
    <x v="591"/>
    <s v="Vikas "/>
    <x v="1"/>
    <s v="Delhi"/>
    <x v="1"/>
    <s v="Phone"/>
    <s v="Phone 20"/>
    <n v="3"/>
    <n v="14108.71"/>
    <s v="10 %"/>
    <x v="4"/>
    <x v="3"/>
  </r>
  <r>
    <s v="ORD2088"/>
    <x v="148"/>
    <x v="592"/>
    <s v="Sneha"/>
    <x v="2"/>
    <s v="Pune"/>
    <x v="2"/>
    <s v="Phone"/>
    <s v="Phone 11"/>
    <n v="4"/>
    <n v="5215.6000000000004"/>
    <n v="20"/>
    <x v="3"/>
    <x v="2"/>
  </r>
  <r>
    <s v="ORD2089"/>
    <x v="512"/>
    <x v="299"/>
    <s v="Sneha "/>
    <x v="3"/>
    <s v="delhi "/>
    <x v="1"/>
    <s v="Laptop"/>
    <s v="Laptop 11"/>
    <n v="7"/>
    <n v="9922.1299999999992"/>
    <n v="15"/>
    <x v="0"/>
    <x v="1"/>
  </r>
  <r>
    <s v="ORD2090"/>
    <x v="255"/>
    <x v="481"/>
    <s v="Neha"/>
    <x v="3"/>
    <s v="delhi "/>
    <x v="0"/>
    <s v="Chair"/>
    <s v="Chair 25"/>
    <n v="5"/>
    <n v="17730.63"/>
    <n v="10"/>
    <x v="2"/>
    <x v="2"/>
  </r>
  <r>
    <s v="ORD2091"/>
    <x v="307"/>
    <x v="110"/>
    <s v="Arjun"/>
    <x v="4"/>
    <s v="Bengaluru"/>
    <x v="0"/>
    <s v="Chair"/>
    <s v="Chair 18"/>
    <n v="8"/>
    <n v="5707.25"/>
    <n v="20"/>
    <x v="0"/>
    <x v="3"/>
  </r>
  <r>
    <s v="ORD2092"/>
    <x v="148"/>
    <x v="340"/>
    <s v="Amit "/>
    <x v="1"/>
    <s v="Bengaluru"/>
    <x v="1"/>
    <s v="Phone"/>
    <s v="Phone 26"/>
    <n v="7"/>
    <n v="24848.35"/>
    <n v="20"/>
    <x v="0"/>
    <x v="0"/>
  </r>
  <r>
    <s v="ORD2093"/>
    <x v="513"/>
    <x v="179"/>
    <s v="Neha"/>
    <x v="2"/>
    <s v="Mumbai"/>
    <x v="0"/>
    <s v="Chair"/>
    <s v="Chair 26"/>
    <n v="1"/>
    <n v="2537.21"/>
    <n v="10"/>
    <x v="3"/>
    <x v="3"/>
  </r>
  <r>
    <s v="ORD2094"/>
    <x v="472"/>
    <x v="391"/>
    <s v="Amit"/>
    <x v="1"/>
    <s v="delhi "/>
    <x v="1"/>
    <s v="Phone"/>
    <s v="Phone 10"/>
    <n v="1"/>
    <n v="2973.44"/>
    <s v="10 %"/>
    <x v="2"/>
    <x v="2"/>
  </r>
  <r>
    <s v="ORD2095"/>
    <x v="9"/>
    <x v="256"/>
    <s v="Neha"/>
    <x v="2"/>
    <s v="Delhi"/>
    <x v="0"/>
    <s v="Table"/>
    <s v="Table 23"/>
    <n v="1"/>
    <n v="378.38"/>
    <n v="5"/>
    <x v="1"/>
    <x v="0"/>
  </r>
  <r>
    <s v="ORD2096"/>
    <x v="110"/>
    <x v="593"/>
    <s v="Anjali "/>
    <x v="1"/>
    <s v="Bengaluru"/>
    <x v="3"/>
    <s v="Paper"/>
    <s v="Paper 8"/>
    <n v="6"/>
    <n v="6144.4"/>
    <n v="10"/>
    <x v="0"/>
    <x v="2"/>
  </r>
  <r>
    <s v="ORD2097"/>
    <x v="514"/>
    <x v="585"/>
    <s v="Sneha"/>
    <x v="0"/>
    <s v="Jaipur"/>
    <x v="3"/>
    <s v="Paper"/>
    <s v="Paper 25"/>
    <n v="8"/>
    <n v="30099.35"/>
    <n v="15"/>
    <x v="1"/>
    <x v="2"/>
  </r>
  <r>
    <s v="ORD2098"/>
    <x v="116"/>
    <x v="587"/>
    <s v="Riya"/>
    <x v="1"/>
    <s v="Jaipur"/>
    <x v="0"/>
    <s v="Chair"/>
    <s v="Chair 30"/>
    <n v="5"/>
    <n v="21016.53"/>
    <n v="5"/>
    <x v="5"/>
    <x v="3"/>
  </r>
  <r>
    <s v="ORD2100"/>
    <x v="515"/>
    <x v="594"/>
    <s v="Vikas"/>
    <x v="0"/>
    <s v="Delhi"/>
    <x v="1"/>
    <s v="Phone"/>
    <s v="Phone 7"/>
    <n v="3"/>
    <n v="5095.91"/>
    <n v="10"/>
    <x v="0"/>
    <x v="3"/>
  </r>
  <r>
    <s v="ORD2101"/>
    <x v="202"/>
    <x v="541"/>
    <s v="Sneha"/>
    <x v="3"/>
    <s v="Pune"/>
    <x v="0"/>
    <s v="Chair"/>
    <s v="Chair 22"/>
    <n v="5"/>
    <n v="2674.39"/>
    <n v="0"/>
    <x v="0"/>
    <x v="1"/>
  </r>
  <r>
    <s v="ORD2102"/>
    <x v="516"/>
    <x v="364"/>
    <s v="Rahul"/>
    <x v="3"/>
    <s v="Bengaluru"/>
    <x v="3"/>
    <s v="Paper"/>
    <s v="Paper 8"/>
    <n v="8"/>
    <n v="9865.2000000000007"/>
    <n v="5"/>
    <x v="0"/>
    <x v="1"/>
  </r>
  <r>
    <s v="ORD2104"/>
    <x v="227"/>
    <x v="164"/>
    <s v="Anjali"/>
    <x v="0"/>
    <s v="Bengaluru"/>
    <x v="1"/>
    <s v="Phone"/>
    <s v="Phone 6"/>
    <n v="5"/>
    <n v="1543.48"/>
    <n v="5"/>
    <x v="4"/>
    <x v="0"/>
  </r>
  <r>
    <s v="ORD2105"/>
    <x v="369"/>
    <x v="0"/>
    <s v="Amit"/>
    <x v="1"/>
    <s v="delhi "/>
    <x v="1"/>
    <s v="Laptop"/>
    <s v="Laptop 3"/>
    <n v="2"/>
    <n v="2245.83"/>
    <n v="15"/>
    <x v="3"/>
    <x v="3"/>
  </r>
  <r>
    <s v="ORD2106"/>
    <x v="267"/>
    <x v="42"/>
    <s v="Amit "/>
    <x v="2"/>
    <s v="delhi "/>
    <x v="1"/>
    <s v="Laptop"/>
    <s v="Laptop 21"/>
    <n v="9"/>
    <n v="34371.26"/>
    <n v="10"/>
    <x v="0"/>
    <x v="0"/>
  </r>
  <r>
    <s v="ORD2107"/>
    <x v="517"/>
    <x v="302"/>
    <s v="Arjun"/>
    <x v="3"/>
    <s v="Bengaluru"/>
    <x v="3"/>
    <s v="Paper"/>
    <s v="Paper 11"/>
    <n v="10"/>
    <n v="2999.58"/>
    <n v="20"/>
    <x v="4"/>
    <x v="2"/>
  </r>
  <r>
    <s v="ORD2108"/>
    <x v="360"/>
    <x v="292"/>
    <s v="Neha"/>
    <x v="4"/>
    <s v="Pune"/>
    <x v="0"/>
    <s v="Table"/>
    <s v="Table 29"/>
    <n v="9"/>
    <n v="8848.19"/>
    <s v="10 %"/>
    <x v="5"/>
    <x v="2"/>
  </r>
  <r>
    <s v="ORD2109"/>
    <x v="325"/>
    <x v="7"/>
    <s v="Anjali"/>
    <x v="1"/>
    <s v="delhi "/>
    <x v="0"/>
    <s v="Chair"/>
    <s v="Chair 17"/>
    <n v="8"/>
    <n v="19284.97"/>
    <n v="10"/>
    <x v="4"/>
    <x v="0"/>
  </r>
  <r>
    <s v="ORD2112"/>
    <x v="359"/>
    <x v="595"/>
    <s v="Amit"/>
    <x v="0"/>
    <s v="Bengaluru"/>
    <x v="0"/>
    <s v="Chair"/>
    <s v="Chair 4"/>
    <n v="6"/>
    <n v="7101.74"/>
    <n v="10"/>
    <x v="1"/>
    <x v="3"/>
  </r>
  <r>
    <s v="ORD2113"/>
    <x v="518"/>
    <x v="487"/>
    <s v="Vikas"/>
    <x v="0"/>
    <s v="delhi "/>
    <x v="1"/>
    <s v="Phone"/>
    <s v="Phone 13"/>
    <n v="8"/>
    <n v="38039.79"/>
    <n v="15"/>
    <x v="4"/>
    <x v="0"/>
  </r>
  <r>
    <s v="ORD2114"/>
    <x v="299"/>
    <x v="173"/>
    <s v="Rahul"/>
    <x v="0"/>
    <s v="Jaipur"/>
    <x v="1"/>
    <s v="Laptop"/>
    <s v="Laptop 28"/>
    <n v="7"/>
    <n v="10921.53"/>
    <n v="20"/>
    <x v="3"/>
    <x v="3"/>
  </r>
  <r>
    <s v="ORD2116"/>
    <x v="247"/>
    <x v="596"/>
    <s v="Karan"/>
    <x v="2"/>
    <s v="Mumbai"/>
    <x v="3"/>
    <s v="Paper"/>
    <s v="Paper 20"/>
    <n v="5"/>
    <n v="15543.42"/>
    <n v="5"/>
    <x v="3"/>
    <x v="3"/>
  </r>
  <r>
    <s v="ORD2117"/>
    <x v="74"/>
    <x v="597"/>
    <s v="Amit"/>
    <x v="0"/>
    <s v="Jaipur"/>
    <x v="0"/>
    <s v="Table"/>
    <s v="Table 20"/>
    <n v="6"/>
    <n v="26886.06"/>
    <n v="5"/>
    <x v="4"/>
    <x v="3"/>
  </r>
  <r>
    <s v="ORD2118"/>
    <x v="390"/>
    <x v="598"/>
    <s v="Riya"/>
    <x v="4"/>
    <s v="Mumbai"/>
    <x v="1"/>
    <s v="Laptop"/>
    <s v="Laptop 2"/>
    <n v="8"/>
    <n v="24050.34"/>
    <s v="10 %"/>
    <x v="5"/>
    <x v="0"/>
  </r>
  <r>
    <s v="ORD2119"/>
    <x v="158"/>
    <x v="82"/>
    <s v="Riya"/>
    <x v="0"/>
    <s v="delhi "/>
    <x v="2"/>
    <s v="Phone"/>
    <s v="Phone 25"/>
    <n v="4"/>
    <n v="14204.39"/>
    <n v="10"/>
    <x v="0"/>
    <x v="0"/>
  </r>
  <r>
    <s v="ORD2120"/>
    <x v="462"/>
    <x v="388"/>
    <s v="Arjun"/>
    <x v="4"/>
    <s v="Kolkata"/>
    <x v="0"/>
    <s v="Chair"/>
    <s v="Chair 17"/>
    <n v="8"/>
    <n v="17511.560000000001"/>
    <n v="10"/>
    <x v="3"/>
    <x v="2"/>
  </r>
  <r>
    <s v="ORD2121"/>
    <x v="465"/>
    <x v="599"/>
    <s v="Amit"/>
    <x v="0"/>
    <s v="Bengaluru"/>
    <x v="0"/>
    <s v="Table"/>
    <s v="Table 1"/>
    <n v="10"/>
    <n v="15513.78"/>
    <n v="10"/>
    <x v="0"/>
    <x v="1"/>
  </r>
  <r>
    <s v="ORD2122"/>
    <x v="460"/>
    <x v="81"/>
    <s v="Priya"/>
    <x v="1"/>
    <s v="Mumbai"/>
    <x v="0"/>
    <s v="Table"/>
    <s v="Table 18"/>
    <n v="6"/>
    <n v="11364.46"/>
    <s v="10 %"/>
    <x v="3"/>
    <x v="0"/>
  </r>
  <r>
    <s v="ORD1173"/>
    <x v="228"/>
    <x v="531"/>
    <s v="Amit"/>
    <x v="1"/>
    <s v="Pune"/>
    <x v="2"/>
    <s v="Phone"/>
    <s v="Phone 8"/>
    <n v="10"/>
    <n v="39614.43"/>
    <n v="15"/>
    <x v="1"/>
    <x v="3"/>
  </r>
  <r>
    <s v="ORD2124"/>
    <x v="164"/>
    <x v="600"/>
    <s v="Anjali"/>
    <x v="3"/>
    <s v="Pune"/>
    <x v="1"/>
    <s v="Laptop"/>
    <s v="Laptop 17"/>
    <n v="10"/>
    <n v="11269.75"/>
    <s v="10 %"/>
    <x v="1"/>
    <x v="3"/>
  </r>
  <r>
    <s v="ORD2126"/>
    <x v="346"/>
    <x v="116"/>
    <s v="Riya"/>
    <x v="4"/>
    <s v="Mumbai"/>
    <x v="1"/>
    <s v="Laptop"/>
    <s v="Laptop 18"/>
    <n v="9"/>
    <n v="5869.04"/>
    <n v="0"/>
    <x v="4"/>
    <x v="3"/>
  </r>
  <r>
    <s v="ORD2127"/>
    <x v="433"/>
    <x v="94"/>
    <s v="Anjali"/>
    <x v="0"/>
    <s v="Bengaluru"/>
    <x v="1"/>
    <s v="Laptop"/>
    <s v="Laptop 18"/>
    <n v="10"/>
    <n v="1282.5999999999999"/>
    <s v="10 %"/>
    <x v="5"/>
    <x v="1"/>
  </r>
  <r>
    <s v="ORD2128"/>
    <x v="495"/>
    <x v="601"/>
    <s v="Arjun"/>
    <x v="3"/>
    <s v="Jaipur"/>
    <x v="0"/>
    <s v="Chair"/>
    <s v="Chair 20"/>
    <n v="9"/>
    <n v="24494.99"/>
    <s v="10 %"/>
    <x v="1"/>
    <x v="1"/>
  </r>
  <r>
    <s v="ORD2129"/>
    <x v="516"/>
    <x v="3"/>
    <s v="Arjun"/>
    <x v="0"/>
    <s v="Delhi"/>
    <x v="2"/>
    <s v="Phone"/>
    <s v="Phone 13"/>
    <n v="5"/>
    <n v="6544.7"/>
    <n v="20"/>
    <x v="3"/>
    <x v="3"/>
  </r>
  <r>
    <s v="ORD2130"/>
    <x v="519"/>
    <x v="307"/>
    <s v="Sneha"/>
    <x v="0"/>
    <s v="Kolkata"/>
    <x v="0"/>
    <s v="Chair"/>
    <s v="Chair 15"/>
    <n v="10"/>
    <n v="22948.6"/>
    <n v="15"/>
    <x v="2"/>
    <x v="3"/>
  </r>
  <r>
    <s v="ORD2132"/>
    <x v="520"/>
    <x v="602"/>
    <s v="Amit"/>
    <x v="0"/>
    <s v="Delhi"/>
    <x v="1"/>
    <s v="Laptop"/>
    <s v="Laptop 29"/>
    <n v="3"/>
    <n v="840.84"/>
    <n v="5"/>
    <x v="4"/>
    <x v="3"/>
  </r>
  <r>
    <s v="ORD2133"/>
    <x v="521"/>
    <x v="505"/>
    <s v="Priya"/>
    <x v="2"/>
    <s v="Bengaluru"/>
    <x v="2"/>
    <s v="Phone"/>
    <s v="Phone 16"/>
    <n v="5"/>
    <n v="20326.38"/>
    <n v="15"/>
    <x v="3"/>
    <x v="1"/>
  </r>
  <r>
    <s v="ORD2134"/>
    <x v="522"/>
    <x v="603"/>
    <s v="Neha "/>
    <x v="4"/>
    <s v="Pune"/>
    <x v="1"/>
    <s v="Laptop"/>
    <s v="Laptop 4"/>
    <n v="5"/>
    <n v="5875.5"/>
    <n v="10"/>
    <x v="5"/>
    <x v="0"/>
  </r>
  <r>
    <s v="ORD2135"/>
    <x v="401"/>
    <x v="439"/>
    <s v="Riya"/>
    <x v="0"/>
    <s v="Kolkata"/>
    <x v="3"/>
    <s v="Paper"/>
    <s v="Paper 14"/>
    <n v="10"/>
    <n v="46245.5"/>
    <n v="15"/>
    <x v="1"/>
    <x v="1"/>
  </r>
  <r>
    <s v="ORD2136"/>
    <x v="71"/>
    <x v="311"/>
    <s v="Karan"/>
    <x v="1"/>
    <s v="delhi "/>
    <x v="0"/>
    <s v="Chair"/>
    <s v="Chair 8"/>
    <n v="10"/>
    <n v="42512.53"/>
    <n v="5"/>
    <x v="4"/>
    <x v="1"/>
  </r>
  <r>
    <s v="ORD2137"/>
    <x v="41"/>
    <x v="604"/>
    <s v="Karan"/>
    <x v="1"/>
    <s v="delhi "/>
    <x v="0"/>
    <s v="Table"/>
    <s v="Table 23"/>
    <n v="9"/>
    <n v="33711.03"/>
    <n v="20"/>
    <x v="2"/>
    <x v="3"/>
  </r>
  <r>
    <s v="ORD2138"/>
    <x v="385"/>
    <x v="605"/>
    <s v="Riya"/>
    <x v="0"/>
    <s v="Delhi"/>
    <x v="3"/>
    <s v="Paper"/>
    <s v="Paper 25"/>
    <n v="3"/>
    <n v="12948.89"/>
    <n v="0"/>
    <x v="2"/>
    <x v="2"/>
  </r>
  <r>
    <s v="ORD2139"/>
    <x v="478"/>
    <x v="525"/>
    <s v="Anjali"/>
    <x v="3"/>
    <s v="Bengaluru"/>
    <x v="3"/>
    <s v="Paper"/>
    <s v="Paper 30"/>
    <n v="5"/>
    <n v="7352.24"/>
    <n v="10"/>
    <x v="2"/>
    <x v="0"/>
  </r>
  <r>
    <s v="ORD2140"/>
    <x v="523"/>
    <x v="465"/>
    <s v="Arjun"/>
    <x v="1"/>
    <s v="Bengaluru"/>
    <x v="1"/>
    <s v="Phone"/>
    <s v="Phone 23"/>
    <n v="4"/>
    <n v="4608.38"/>
    <n v="10"/>
    <x v="1"/>
    <x v="2"/>
  </r>
  <r>
    <s v="ORD2141"/>
    <x v="524"/>
    <x v="606"/>
    <s v="Sneha"/>
    <x v="1"/>
    <s v="delhi "/>
    <x v="2"/>
    <s v="Phone"/>
    <s v="Phone 30"/>
    <n v="2"/>
    <n v="8936.1299999999992"/>
    <n v="5"/>
    <x v="4"/>
    <x v="3"/>
  </r>
  <r>
    <s v="ORD2142"/>
    <x v="384"/>
    <x v="607"/>
    <s v="Priya"/>
    <x v="1"/>
    <s v="Delhi"/>
    <x v="1"/>
    <s v="Laptop"/>
    <s v="Laptop 30"/>
    <n v="7"/>
    <n v="19269.63"/>
    <n v="15"/>
    <x v="0"/>
    <x v="3"/>
  </r>
  <r>
    <s v="ORD2143"/>
    <x v="275"/>
    <x v="608"/>
    <s v="Neha"/>
    <x v="0"/>
    <s v="Pune"/>
    <x v="1"/>
    <s v="Phone"/>
    <s v="Phone 9"/>
    <n v="2"/>
    <n v="8657.75"/>
    <n v="15"/>
    <x v="0"/>
    <x v="0"/>
  </r>
  <r>
    <s v="ORD2144"/>
    <x v="525"/>
    <x v="57"/>
    <s v="Sneha"/>
    <x v="0"/>
    <s v="Jaipur"/>
    <x v="3"/>
    <s v="Paper"/>
    <s v="Paper 13"/>
    <n v="2"/>
    <n v="8607.91"/>
    <n v="20"/>
    <x v="4"/>
    <x v="0"/>
  </r>
  <r>
    <s v="ORD2146"/>
    <x v="293"/>
    <x v="69"/>
    <s v="Amit"/>
    <x v="0"/>
    <s v="Kolkata"/>
    <x v="0"/>
    <s v="Chair"/>
    <s v="Chair 24"/>
    <n v="5"/>
    <n v="12045.77"/>
    <n v="5"/>
    <x v="4"/>
    <x v="3"/>
  </r>
  <r>
    <s v="ORD2147"/>
    <x v="480"/>
    <x v="609"/>
    <s v="Anjali"/>
    <x v="0"/>
    <s v="Pune"/>
    <x v="0"/>
    <s v="Table"/>
    <s v="Table 2"/>
    <n v="2"/>
    <n v="8284.44"/>
    <n v="15"/>
    <x v="1"/>
    <x v="0"/>
  </r>
  <r>
    <s v="ORD2148"/>
    <x v="29"/>
    <x v="507"/>
    <s v="Anjali"/>
    <x v="3"/>
    <s v="Mumbai"/>
    <x v="1"/>
    <s v="Phone"/>
    <s v="Phone 5"/>
    <n v="1"/>
    <n v="3057.42"/>
    <n v="5"/>
    <x v="4"/>
    <x v="3"/>
  </r>
  <r>
    <s v="ORD2149"/>
    <x v="526"/>
    <x v="214"/>
    <s v="Riya"/>
    <x v="3"/>
    <s v="Jaipur"/>
    <x v="0"/>
    <s v="Chair"/>
    <s v="Chair 30"/>
    <n v="5"/>
    <n v="11731.81"/>
    <n v="10"/>
    <x v="4"/>
    <x v="1"/>
  </r>
  <r>
    <s v="ORD2150"/>
    <x v="364"/>
    <x v="140"/>
    <s v="Neha"/>
    <x v="1"/>
    <s v="Mumbai"/>
    <x v="2"/>
    <s v="Phone"/>
    <s v="Phone 28"/>
    <n v="6"/>
    <n v="10488.35"/>
    <s v="10 %"/>
    <x v="3"/>
    <x v="1"/>
  </r>
  <r>
    <s v="ORD2151"/>
    <x v="319"/>
    <x v="256"/>
    <s v="Arjun"/>
    <x v="4"/>
    <s v="Mumbai"/>
    <x v="1"/>
    <s v="Laptop"/>
    <s v="Laptop 7"/>
    <n v="1"/>
    <n v="1219.8800000000001"/>
    <s v="10 %"/>
    <x v="5"/>
    <x v="0"/>
  </r>
  <r>
    <s v="ORD2152"/>
    <x v="186"/>
    <x v="610"/>
    <s v="Karan"/>
    <x v="3"/>
    <s v="Pune"/>
    <x v="2"/>
    <s v="Phone"/>
    <s v="Phone 11"/>
    <n v="3"/>
    <n v="7096.96"/>
    <n v="0"/>
    <x v="2"/>
    <x v="3"/>
  </r>
  <r>
    <s v="ORD2153"/>
    <x v="527"/>
    <x v="358"/>
    <s v="Karan"/>
    <x v="3"/>
    <s v="Jaipur"/>
    <x v="0"/>
    <s v="Table"/>
    <s v="Table 17"/>
    <n v="9"/>
    <n v="16143.28"/>
    <n v="0"/>
    <x v="5"/>
    <x v="1"/>
  </r>
  <r>
    <s v="ORD2154"/>
    <x v="528"/>
    <x v="611"/>
    <s v="Priya"/>
    <x v="1"/>
    <s v="delhi "/>
    <x v="1"/>
    <s v="Laptop"/>
    <s v="Laptop 13"/>
    <n v="4"/>
    <n v="14339.97"/>
    <n v="0"/>
    <x v="5"/>
    <x v="0"/>
  </r>
  <r>
    <s v="ORD2155"/>
    <x v="529"/>
    <x v="133"/>
    <s v="Sneha"/>
    <x v="4"/>
    <s v="delhi "/>
    <x v="3"/>
    <s v="Paper"/>
    <s v="Paper 25"/>
    <n v="2"/>
    <n v="9542.07"/>
    <n v="10"/>
    <x v="2"/>
    <x v="0"/>
  </r>
  <r>
    <s v="ORD2156"/>
    <x v="340"/>
    <x v="487"/>
    <s v="Riya"/>
    <x v="3"/>
    <s v="Delhi"/>
    <x v="2"/>
    <s v="Phone"/>
    <s v="Phone 26"/>
    <n v="5"/>
    <n v="12681.92"/>
    <n v="10"/>
    <x v="3"/>
    <x v="2"/>
  </r>
  <r>
    <s v="ORD2158"/>
    <x v="371"/>
    <x v="299"/>
    <s v="Amit "/>
    <x v="3"/>
    <s v="Delhi"/>
    <x v="1"/>
    <s v="Phone"/>
    <s v="Phone 5"/>
    <n v="10"/>
    <n v="2481.37"/>
    <n v="20"/>
    <x v="3"/>
    <x v="0"/>
  </r>
  <r>
    <s v="ORD2160"/>
    <x v="109"/>
    <x v="521"/>
    <s v="Karan"/>
    <x v="0"/>
    <s v="Pune"/>
    <x v="0"/>
    <s v="Table"/>
    <s v="Table 24"/>
    <n v="9"/>
    <n v="37019.5"/>
    <n v="0"/>
    <x v="2"/>
    <x v="2"/>
  </r>
  <r>
    <s v="ORD2161"/>
    <x v="381"/>
    <x v="54"/>
    <s v="Arjun"/>
    <x v="0"/>
    <s v="Bengaluru"/>
    <x v="1"/>
    <s v="Laptop"/>
    <s v="Laptop 25"/>
    <n v="7"/>
    <n v="7660.76"/>
    <s v="10 %"/>
    <x v="5"/>
    <x v="0"/>
  </r>
  <r>
    <s v="ORD2163"/>
    <x v="46"/>
    <x v="23"/>
    <s v="Vikas"/>
    <x v="4"/>
    <s v="Bengaluru"/>
    <x v="1"/>
    <s v="Phone"/>
    <s v="Phone 15"/>
    <n v="5"/>
    <n v="13347.32"/>
    <n v="20"/>
    <x v="3"/>
    <x v="3"/>
  </r>
  <r>
    <s v="ORD2164"/>
    <x v="336"/>
    <x v="415"/>
    <s v="Amit"/>
    <x v="3"/>
    <s v="delhi "/>
    <x v="3"/>
    <s v="Paper"/>
    <s v="Paper 7"/>
    <n v="2"/>
    <n v="8855.9"/>
    <n v="10"/>
    <x v="4"/>
    <x v="3"/>
  </r>
  <r>
    <s v="ORD2165"/>
    <x v="530"/>
    <x v="545"/>
    <s v="Priya"/>
    <x v="2"/>
    <s v="Kolkata"/>
    <x v="3"/>
    <s v="Paper"/>
    <s v="Paper 5"/>
    <n v="5"/>
    <n v="943"/>
    <s v="10 %"/>
    <x v="1"/>
    <x v="0"/>
  </r>
  <r>
    <s v="ORD2167"/>
    <x v="109"/>
    <x v="612"/>
    <s v="Karan"/>
    <x v="1"/>
    <s v="Kolkata"/>
    <x v="1"/>
    <s v="Phone"/>
    <s v="Phone 21"/>
    <n v="5"/>
    <n v="16358.2"/>
    <n v="5"/>
    <x v="0"/>
    <x v="3"/>
  </r>
  <r>
    <s v="ORD2168"/>
    <x v="472"/>
    <x v="313"/>
    <s v="Priya"/>
    <x v="1"/>
    <s v="Kolkata"/>
    <x v="3"/>
    <s v="Paper"/>
    <s v="Paper 21"/>
    <n v="4"/>
    <n v="7680.26"/>
    <n v="10"/>
    <x v="5"/>
    <x v="1"/>
  </r>
  <r>
    <s v="ORD2169"/>
    <x v="531"/>
    <x v="192"/>
    <s v="Sneha"/>
    <x v="2"/>
    <s v="Kolkata"/>
    <x v="3"/>
    <s v="Paper"/>
    <s v="Paper 30"/>
    <n v="8"/>
    <n v="7578.33"/>
    <n v="5"/>
    <x v="3"/>
    <x v="0"/>
  </r>
  <r>
    <s v="ORD2170"/>
    <x v="137"/>
    <x v="27"/>
    <s v="Arjun"/>
    <x v="0"/>
    <s v="Mumbai"/>
    <x v="1"/>
    <s v="Phone"/>
    <s v="Phone 5"/>
    <n v="8"/>
    <n v="28129.71"/>
    <n v="20"/>
    <x v="5"/>
    <x v="1"/>
  </r>
  <r>
    <s v="ORD2171"/>
    <x v="532"/>
    <x v="566"/>
    <s v="Rahul"/>
    <x v="4"/>
    <s v="Delhi"/>
    <x v="3"/>
    <s v="Paper"/>
    <s v="Paper 13"/>
    <n v="7"/>
    <n v="9389.57"/>
    <s v="10 %"/>
    <x v="2"/>
    <x v="0"/>
  </r>
  <r>
    <s v="ORD2172"/>
    <x v="533"/>
    <x v="468"/>
    <s v="Vikas "/>
    <x v="0"/>
    <s v="Mumbai"/>
    <x v="0"/>
    <s v="Chair"/>
    <s v="Chair 13"/>
    <n v="4"/>
    <n v="941.04"/>
    <n v="5"/>
    <x v="4"/>
    <x v="1"/>
  </r>
  <r>
    <s v="ORD2173"/>
    <x v="342"/>
    <x v="32"/>
    <s v="Vikas"/>
    <x v="0"/>
    <s v="Jaipur"/>
    <x v="1"/>
    <s v="Laptop"/>
    <s v="Laptop 30"/>
    <n v="8"/>
    <n v="11859.39"/>
    <n v="20"/>
    <x v="4"/>
    <x v="0"/>
  </r>
  <r>
    <s v="ORD2174"/>
    <x v="449"/>
    <x v="613"/>
    <s v="Anjali"/>
    <x v="3"/>
    <s v="Kolkata"/>
    <x v="0"/>
    <s v="Chair"/>
    <s v="Chair 9"/>
    <n v="6"/>
    <n v="19536.13"/>
    <n v="10"/>
    <x v="4"/>
    <x v="3"/>
  </r>
  <r>
    <s v="ORD2175"/>
    <x v="459"/>
    <x v="264"/>
    <s v="Priya"/>
    <x v="4"/>
    <s v="Jaipur"/>
    <x v="1"/>
    <s v="Phone"/>
    <s v="Phone 9"/>
    <n v="7"/>
    <n v="1989.88"/>
    <n v="0"/>
    <x v="0"/>
    <x v="2"/>
  </r>
  <r>
    <s v="ORD2176"/>
    <x v="534"/>
    <x v="114"/>
    <s v="Karan"/>
    <x v="0"/>
    <s v="Delhi"/>
    <x v="3"/>
    <s v="Paper"/>
    <s v="Paper 8"/>
    <n v="8"/>
    <n v="7599.9"/>
    <n v="5"/>
    <x v="5"/>
    <x v="3"/>
  </r>
  <r>
    <s v="ORD2177"/>
    <x v="497"/>
    <x v="132"/>
    <s v="Rahul "/>
    <x v="3"/>
    <s v="Bengaluru"/>
    <x v="3"/>
    <s v="Paper"/>
    <s v="Paper 27"/>
    <n v="3"/>
    <n v="11394.01"/>
    <n v="10"/>
    <x v="2"/>
    <x v="2"/>
  </r>
  <r>
    <s v="ORD2178"/>
    <x v="535"/>
    <x v="614"/>
    <s v="Vikas"/>
    <x v="0"/>
    <s v="Bengaluru"/>
    <x v="0"/>
    <s v="Table"/>
    <s v="Table 9"/>
    <n v="6"/>
    <n v="12181.72"/>
    <n v="15"/>
    <x v="4"/>
    <x v="0"/>
  </r>
  <r>
    <s v="ORD2179"/>
    <x v="536"/>
    <x v="615"/>
    <s v="Sneha"/>
    <x v="0"/>
    <s v="Jaipur"/>
    <x v="0"/>
    <s v="Table"/>
    <s v="Table 29"/>
    <n v="8"/>
    <n v="7833.47"/>
    <n v="15"/>
    <x v="1"/>
    <x v="1"/>
  </r>
  <r>
    <s v="ORD2180"/>
    <x v="157"/>
    <x v="616"/>
    <s v="Riya"/>
    <x v="0"/>
    <s v="delhi "/>
    <x v="1"/>
    <s v="Phone"/>
    <s v="Phone 30"/>
    <n v="5"/>
    <n v="8913.77"/>
    <n v="0"/>
    <x v="1"/>
    <x v="0"/>
  </r>
  <r>
    <s v="ORD2183"/>
    <x v="146"/>
    <x v="617"/>
    <s v="Karan"/>
    <x v="0"/>
    <s v="Pune"/>
    <x v="1"/>
    <s v="Phone"/>
    <s v="Phone 29"/>
    <n v="4"/>
    <n v="15385.64"/>
    <n v="0"/>
    <x v="1"/>
    <x v="2"/>
  </r>
  <r>
    <s v="ORD2184"/>
    <x v="344"/>
    <x v="618"/>
    <s v="Arjun"/>
    <x v="1"/>
    <s v="Delhi"/>
    <x v="1"/>
    <s v="Phone"/>
    <s v="Phone 26"/>
    <n v="6"/>
    <n v="16886.830000000002"/>
    <s v="10 %"/>
    <x v="1"/>
    <x v="1"/>
  </r>
  <r>
    <s v="ORD2185"/>
    <x v="537"/>
    <x v="444"/>
    <s v="Amit"/>
    <x v="3"/>
    <s v="Jaipur"/>
    <x v="0"/>
    <s v="Chair"/>
    <s v="Chair 27"/>
    <n v="3"/>
    <n v="3045.94"/>
    <s v="10 %"/>
    <x v="3"/>
    <x v="0"/>
  </r>
  <r>
    <s v="ORD2186"/>
    <x v="538"/>
    <x v="619"/>
    <s v="Anjali"/>
    <x v="2"/>
    <s v="Mumbai"/>
    <x v="3"/>
    <s v="Paper"/>
    <s v="Paper 27"/>
    <n v="5"/>
    <n v="4648.79"/>
    <n v="10"/>
    <x v="5"/>
    <x v="2"/>
  </r>
  <r>
    <s v="ORD2187"/>
    <x v="387"/>
    <x v="189"/>
    <s v="Riya"/>
    <x v="0"/>
    <s v="Jaipur"/>
    <x v="1"/>
    <s v="Laptop"/>
    <s v="Laptop 1"/>
    <n v="-4"/>
    <n v="9683.84"/>
    <n v="10"/>
    <x v="1"/>
    <x v="0"/>
  </r>
  <r>
    <s v="ORD2188"/>
    <x v="488"/>
    <x v="37"/>
    <s v="Anjali"/>
    <x v="3"/>
    <s v="Pune"/>
    <x v="0"/>
    <s v="Table"/>
    <s v="Table 18"/>
    <n v="10"/>
    <n v="26932.95"/>
    <n v="10"/>
    <x v="3"/>
    <x v="0"/>
  </r>
  <r>
    <s v="ORD2189"/>
    <x v="173"/>
    <x v="342"/>
    <s v="Vikas"/>
    <x v="3"/>
    <s v="Delhi"/>
    <x v="0"/>
    <s v="Chair"/>
    <s v="Chair 27"/>
    <n v="4"/>
    <n v="17560.439999999999"/>
    <n v="0"/>
    <x v="2"/>
    <x v="3"/>
  </r>
  <r>
    <s v="ORD2190"/>
    <x v="446"/>
    <x v="193"/>
    <s v="Priya"/>
    <x v="4"/>
    <s v="Jaipur"/>
    <x v="1"/>
    <s v="Phone"/>
    <s v="Phone 14"/>
    <n v="2"/>
    <n v="6474.13"/>
    <s v="10 %"/>
    <x v="1"/>
    <x v="1"/>
  </r>
  <r>
    <s v="ORD2191"/>
    <x v="230"/>
    <x v="194"/>
    <s v="Neha "/>
    <x v="4"/>
    <s v="Kolkata"/>
    <x v="0"/>
    <s v="Table"/>
    <s v="Table 27"/>
    <n v="7"/>
    <n v="10506.24"/>
    <s v="10 %"/>
    <x v="5"/>
    <x v="3"/>
  </r>
  <r>
    <s v="ORD2193"/>
    <x v="100"/>
    <x v="374"/>
    <s v="Arjun"/>
    <x v="4"/>
    <s v="Mumbai"/>
    <x v="2"/>
    <s v="Phone"/>
    <s v="Phone 23"/>
    <n v="5"/>
    <n v="16614.21"/>
    <n v="20"/>
    <x v="3"/>
    <x v="3"/>
  </r>
  <r>
    <s v="ORD2195"/>
    <x v="539"/>
    <x v="620"/>
    <s v="Sneha"/>
    <x v="2"/>
    <s v="Delhi"/>
    <x v="1"/>
    <s v="Laptop"/>
    <s v="Laptop 6"/>
    <n v="1"/>
    <n v="3687.6"/>
    <n v="15"/>
    <x v="0"/>
    <x v="0"/>
  </r>
  <r>
    <s v="ORD2196"/>
    <x v="94"/>
    <x v="152"/>
    <s v="Anjali"/>
    <x v="4"/>
    <s v="delhi "/>
    <x v="2"/>
    <s v="Phone"/>
    <s v="Phone 23"/>
    <n v="10"/>
    <n v="12963.08"/>
    <n v="15"/>
    <x v="2"/>
    <x v="3"/>
  </r>
  <r>
    <s v="ORD2197"/>
    <x v="255"/>
    <x v="35"/>
    <s v="Vikas"/>
    <x v="0"/>
    <s v="Jaipur"/>
    <x v="0"/>
    <s v="Table"/>
    <s v="Table 13"/>
    <n v="1"/>
    <n v="2025.06"/>
    <n v="0"/>
    <x v="1"/>
    <x v="0"/>
  </r>
  <r>
    <s v="ORD2198"/>
    <x v="439"/>
    <x v="266"/>
    <s v="Vikas"/>
    <x v="0"/>
    <s v="Bengaluru"/>
    <x v="2"/>
    <s v="Phone"/>
    <s v="Phone 4"/>
    <n v="1"/>
    <n v="618.04999999999995"/>
    <n v="0"/>
    <x v="0"/>
    <x v="0"/>
  </r>
  <r>
    <s v="ORD2200"/>
    <x v="90"/>
    <x v="188"/>
    <s v="Priya"/>
    <x v="1"/>
    <s v="Jaipur"/>
    <x v="0"/>
    <s v="Chair"/>
    <s v="Chair 12"/>
    <n v="9"/>
    <n v="8963.49"/>
    <n v="15"/>
    <x v="3"/>
    <x v="3"/>
  </r>
  <r>
    <s v="ORD2202"/>
    <x v="417"/>
    <x v="533"/>
    <s v="Priya"/>
    <x v="0"/>
    <s v="Jaipur"/>
    <x v="2"/>
    <s v="Phone"/>
    <s v="Phone 9"/>
    <n v="3"/>
    <n v="9970"/>
    <n v="5"/>
    <x v="1"/>
    <x v="3"/>
  </r>
  <r>
    <s v="ORD2203"/>
    <x v="247"/>
    <x v="55"/>
    <s v="Priya"/>
    <x v="4"/>
    <s v="Mumbai"/>
    <x v="2"/>
    <s v="Phone"/>
    <s v="Phone 15"/>
    <n v="7"/>
    <n v="9889.74"/>
    <n v="15"/>
    <x v="0"/>
    <x v="3"/>
  </r>
  <r>
    <s v="ORD2204"/>
    <x v="540"/>
    <x v="586"/>
    <s v="Priya"/>
    <x v="3"/>
    <s v="delhi "/>
    <x v="1"/>
    <s v="Phone"/>
    <s v="Phone 28"/>
    <n v="3"/>
    <n v="4844.0600000000004"/>
    <n v="5"/>
    <x v="2"/>
    <x v="0"/>
  </r>
  <r>
    <s v="ORD2206"/>
    <x v="336"/>
    <x v="349"/>
    <s v="Riya"/>
    <x v="2"/>
    <s v="Bengaluru"/>
    <x v="3"/>
    <s v="Paper"/>
    <s v="Paper 18"/>
    <n v="1"/>
    <n v="1878.12"/>
    <s v="10 %"/>
    <x v="4"/>
    <x v="1"/>
  </r>
  <r>
    <s v="ORD2207"/>
    <x v="541"/>
    <x v="256"/>
    <s v="Karan"/>
    <x v="3"/>
    <s v="Delhi"/>
    <x v="2"/>
    <s v="Phone"/>
    <s v="Phone 28"/>
    <n v="6"/>
    <n v="16020.81"/>
    <n v="20"/>
    <x v="3"/>
    <x v="1"/>
  </r>
  <r>
    <s v="ORD2208"/>
    <x v="542"/>
    <x v="621"/>
    <s v="Rahul"/>
    <x v="4"/>
    <s v="Jaipur"/>
    <x v="2"/>
    <s v="Phone"/>
    <s v="Phone 4"/>
    <n v="8"/>
    <n v="4085.29"/>
    <s v="10 %"/>
    <x v="4"/>
    <x v="3"/>
  </r>
  <r>
    <s v="ORD2210"/>
    <x v="235"/>
    <x v="65"/>
    <s v="Rahul"/>
    <x v="0"/>
    <s v="Kolkata"/>
    <x v="2"/>
    <s v="Phone"/>
    <s v="Phone 8"/>
    <n v="1"/>
    <n v="485.11"/>
    <s v="10 %"/>
    <x v="0"/>
    <x v="3"/>
  </r>
  <r>
    <s v="ORD2211"/>
    <x v="308"/>
    <x v="622"/>
    <s v="Amit"/>
    <x v="0"/>
    <s v="Bengaluru"/>
    <x v="2"/>
    <s v="Phone"/>
    <s v="Phone 18"/>
    <n v="5"/>
    <n v="15429.89"/>
    <n v="10"/>
    <x v="0"/>
    <x v="0"/>
  </r>
  <r>
    <s v="ORD2212"/>
    <x v="146"/>
    <x v="617"/>
    <s v="Priya"/>
    <x v="3"/>
    <s v="Bengaluru"/>
    <x v="0"/>
    <s v="Chair"/>
    <s v="Chair 28"/>
    <n v="7"/>
    <n v="14475.34"/>
    <n v="10"/>
    <x v="5"/>
    <x v="1"/>
  </r>
  <r>
    <s v="ORD2213"/>
    <x v="303"/>
    <x v="539"/>
    <s v="Vikas"/>
    <x v="4"/>
    <s v="delhi "/>
    <x v="0"/>
    <s v="Chair"/>
    <s v="Chair 22"/>
    <n v="9"/>
    <n v="1286.58"/>
    <n v="20"/>
    <x v="0"/>
    <x v="1"/>
  </r>
  <r>
    <s v="ORD2214"/>
    <x v="474"/>
    <x v="623"/>
    <s v="Neha"/>
    <x v="0"/>
    <s v="Mumbai"/>
    <x v="2"/>
    <s v="Phone"/>
    <s v="Phone 3"/>
    <n v="1"/>
    <n v="3750.37"/>
    <n v="20"/>
    <x v="0"/>
    <x v="3"/>
  </r>
  <r>
    <s v="ORD2216"/>
    <x v="416"/>
    <x v="40"/>
    <s v="Amit"/>
    <x v="3"/>
    <s v="Pune"/>
    <x v="1"/>
    <s v="Laptop"/>
    <s v="Laptop 15"/>
    <n v="4"/>
    <n v="12194.88"/>
    <n v="10"/>
    <x v="3"/>
    <x v="1"/>
  </r>
  <r>
    <s v="ORD2217"/>
    <x v="543"/>
    <x v="624"/>
    <s v="Vikas"/>
    <x v="0"/>
    <s v="delhi "/>
    <x v="1"/>
    <s v="Phone"/>
    <s v="Phone 24"/>
    <n v="10"/>
    <n v="36211.29"/>
    <n v="5"/>
    <x v="1"/>
    <x v="3"/>
  </r>
  <r>
    <s v="ORD2218"/>
    <x v="55"/>
    <x v="625"/>
    <s v="Arjun"/>
    <x v="1"/>
    <s v="Bengaluru"/>
    <x v="3"/>
    <s v="Paper"/>
    <s v="Paper 7"/>
    <n v="2"/>
    <n v="236.11"/>
    <s v="10 %"/>
    <x v="4"/>
    <x v="3"/>
  </r>
  <r>
    <s v="ORD2220"/>
    <x v="467"/>
    <x v="626"/>
    <s v="Neha"/>
    <x v="0"/>
    <s v="Jaipur"/>
    <x v="0"/>
    <s v="Table"/>
    <s v="Table 12"/>
    <n v="5"/>
    <n v="21572.9"/>
    <n v="20"/>
    <x v="4"/>
    <x v="0"/>
  </r>
  <r>
    <s v="ORD2221"/>
    <x v="360"/>
    <x v="627"/>
    <s v="Anjali"/>
    <x v="0"/>
    <s v="Delhi"/>
    <x v="2"/>
    <s v="Phone"/>
    <s v="Phone 27"/>
    <n v="6"/>
    <n v="27409.55"/>
    <n v="5"/>
    <x v="3"/>
    <x v="0"/>
  </r>
  <r>
    <s v="ORD2222"/>
    <x v="229"/>
    <x v="628"/>
    <s v="Anjali"/>
    <x v="0"/>
    <s v="Kolkata"/>
    <x v="0"/>
    <s v="Chair"/>
    <s v="Chair 30"/>
    <n v="6"/>
    <n v="16695.099999999999"/>
    <n v="15"/>
    <x v="3"/>
    <x v="1"/>
  </r>
  <r>
    <s v="ORD2223"/>
    <x v="18"/>
    <x v="65"/>
    <s v="Rahul"/>
    <x v="1"/>
    <s v="delhi "/>
    <x v="0"/>
    <s v="Chair"/>
    <s v="Chair 18"/>
    <n v="9"/>
    <n v="7782.69"/>
    <n v="10"/>
    <x v="4"/>
    <x v="0"/>
  </r>
  <r>
    <s v="ORD2226"/>
    <x v="232"/>
    <x v="411"/>
    <s v="Neha"/>
    <x v="0"/>
    <s v="Pune"/>
    <x v="0"/>
    <s v="Chair"/>
    <s v="Chair 22"/>
    <n v="10"/>
    <n v="13859.66"/>
    <n v="0"/>
    <x v="1"/>
    <x v="0"/>
  </r>
  <r>
    <s v="ORD2229"/>
    <x v="211"/>
    <x v="609"/>
    <s v="Sneha "/>
    <x v="0"/>
    <s v="Jaipur"/>
    <x v="2"/>
    <s v="Phone"/>
    <s v="Phone 30"/>
    <n v="2"/>
    <n v="5219.37"/>
    <n v="5"/>
    <x v="1"/>
    <x v="0"/>
  </r>
  <r>
    <s v="ORD2230"/>
    <x v="467"/>
    <x v="139"/>
    <s v="Arjun"/>
    <x v="0"/>
    <s v="Delhi"/>
    <x v="1"/>
    <s v="Phone"/>
    <s v="Phone 18"/>
    <n v="3"/>
    <n v="10238.69"/>
    <s v="10 %"/>
    <x v="5"/>
    <x v="1"/>
  </r>
  <r>
    <s v="ORD2231"/>
    <x v="472"/>
    <x v="331"/>
    <s v="Amit"/>
    <x v="2"/>
    <s v="Jaipur"/>
    <x v="2"/>
    <s v="Phone"/>
    <s v="Phone 3"/>
    <n v="7"/>
    <n v="19510.63"/>
    <n v="20"/>
    <x v="3"/>
    <x v="1"/>
  </r>
  <r>
    <s v="ORD2233"/>
    <x v="544"/>
    <x v="152"/>
    <s v="Vikas"/>
    <x v="2"/>
    <s v="Jaipur"/>
    <x v="0"/>
    <s v="Table"/>
    <s v="Table 13"/>
    <n v="8"/>
    <n v="5677.66"/>
    <s v="10 %"/>
    <x v="1"/>
    <x v="0"/>
  </r>
  <r>
    <s v="ORD2234"/>
    <x v="181"/>
    <x v="353"/>
    <s v="Neha"/>
    <x v="2"/>
    <s v="Kolkata"/>
    <x v="0"/>
    <s v="Table"/>
    <s v="Table 19"/>
    <n v="5"/>
    <n v="18672.77"/>
    <n v="15"/>
    <x v="0"/>
    <x v="2"/>
  </r>
  <r>
    <s v="ORD2235"/>
    <x v="11"/>
    <x v="443"/>
    <s v="Priya"/>
    <x v="1"/>
    <s v="Delhi"/>
    <x v="1"/>
    <s v="Laptop"/>
    <s v="Laptop 26"/>
    <n v="3"/>
    <n v="10110.85"/>
    <n v="0"/>
    <x v="3"/>
    <x v="2"/>
  </r>
  <r>
    <s v="ORD2236"/>
    <x v="536"/>
    <x v="629"/>
    <s v="Rahul"/>
    <x v="1"/>
    <s v="Jaipur"/>
    <x v="0"/>
    <s v="Chair"/>
    <s v="Chair 19"/>
    <n v="9"/>
    <n v="7530.24"/>
    <n v="20"/>
    <x v="0"/>
    <x v="1"/>
  </r>
  <r>
    <s v="ORD2237"/>
    <x v="98"/>
    <x v="630"/>
    <s v="Priya"/>
    <x v="3"/>
    <s v="Kolkata"/>
    <x v="2"/>
    <s v="Phone"/>
    <s v="Phone 12"/>
    <n v="7"/>
    <n v="1441.31"/>
    <n v="0"/>
    <x v="5"/>
    <x v="2"/>
  </r>
  <r>
    <s v="ORD2239"/>
    <x v="534"/>
    <x v="404"/>
    <s v="Karan"/>
    <x v="2"/>
    <s v="Mumbai"/>
    <x v="2"/>
    <s v="Phone"/>
    <s v="Phone 8"/>
    <n v="3"/>
    <n v="11475.84"/>
    <n v="10"/>
    <x v="2"/>
    <x v="3"/>
  </r>
  <r>
    <s v="ORD2240"/>
    <x v="2"/>
    <x v="191"/>
    <s v="Amit"/>
    <x v="2"/>
    <s v="Bengaluru"/>
    <x v="1"/>
    <s v="Phone"/>
    <s v="Phone 21"/>
    <n v="7"/>
    <n v="16834.8"/>
    <s v="10 %"/>
    <x v="2"/>
    <x v="2"/>
  </r>
  <r>
    <s v="ORD2241"/>
    <x v="545"/>
    <x v="631"/>
    <s v="Arjun"/>
    <x v="3"/>
    <s v="Kolkata"/>
    <x v="1"/>
    <s v="Phone"/>
    <s v="Phone 29"/>
    <n v="6"/>
    <n v="26497.200000000001"/>
    <n v="0"/>
    <x v="4"/>
    <x v="0"/>
  </r>
  <r>
    <s v="ORD2242"/>
    <x v="63"/>
    <x v="294"/>
    <s v="Priya"/>
    <x v="1"/>
    <s v="Jaipur"/>
    <x v="3"/>
    <s v="Paper"/>
    <s v="Paper 13"/>
    <n v="4"/>
    <n v="2492.12"/>
    <n v="5"/>
    <x v="1"/>
    <x v="1"/>
  </r>
  <r>
    <s v="ORD2243"/>
    <x v="526"/>
    <x v="632"/>
    <s v="Arjun"/>
    <x v="4"/>
    <s v="Mumbai"/>
    <x v="0"/>
    <s v="Table"/>
    <s v="Table 15"/>
    <n v="5"/>
    <n v="20636.05"/>
    <n v="20"/>
    <x v="4"/>
    <x v="0"/>
  </r>
  <r>
    <s v="ORD2245"/>
    <x v="336"/>
    <x v="633"/>
    <s v="Amit"/>
    <x v="1"/>
    <s v="Kolkata"/>
    <x v="0"/>
    <s v="Chair"/>
    <s v="Chair 5"/>
    <n v="5"/>
    <n v="17220.11"/>
    <s v="10 %"/>
    <x v="0"/>
    <x v="2"/>
  </r>
  <r>
    <s v="ORD2247"/>
    <x v="546"/>
    <x v="104"/>
    <s v="Sneha"/>
    <x v="4"/>
    <s v="Delhi"/>
    <x v="0"/>
    <s v="Table"/>
    <s v="Table 16"/>
    <n v="10"/>
    <n v="29486.36"/>
    <n v="5"/>
    <x v="1"/>
    <x v="3"/>
  </r>
  <r>
    <s v="ORD2248"/>
    <x v="123"/>
    <x v="214"/>
    <s v="Karan "/>
    <x v="0"/>
    <s v="Delhi"/>
    <x v="2"/>
    <s v="Phone"/>
    <s v="Phone 18"/>
    <n v="5"/>
    <n v="16309.98"/>
    <s v="10 %"/>
    <x v="0"/>
    <x v="3"/>
  </r>
  <r>
    <s v="ORD2249"/>
    <x v="463"/>
    <x v="26"/>
    <s v="Vikas"/>
    <x v="0"/>
    <s v="Delhi"/>
    <x v="0"/>
    <s v="Table"/>
    <s v="Table 23"/>
    <n v="8"/>
    <n v="20526.32"/>
    <n v="20"/>
    <x v="2"/>
    <x v="0"/>
  </r>
  <r>
    <s v="ORD2250"/>
    <x v="246"/>
    <x v="634"/>
    <s v="Vikas"/>
    <x v="0"/>
    <s v="Pune"/>
    <x v="1"/>
    <s v="Phone"/>
    <s v="Phone 16"/>
    <n v="9"/>
    <n v="22426.080000000002"/>
    <n v="5"/>
    <x v="0"/>
    <x v="0"/>
  </r>
  <r>
    <s v="ORD2251"/>
    <x v="547"/>
    <x v="635"/>
    <s v="Anjali"/>
    <x v="1"/>
    <s v="Bengaluru"/>
    <x v="0"/>
    <s v="Table"/>
    <s v="Table 6"/>
    <n v="10"/>
    <n v="35630.639999999999"/>
    <n v="0"/>
    <x v="5"/>
    <x v="0"/>
  </r>
  <r>
    <s v="ORD2252"/>
    <x v="522"/>
    <x v="43"/>
    <s v="Rahul"/>
    <x v="0"/>
    <s v="Delhi"/>
    <x v="1"/>
    <s v="Laptop"/>
    <s v="Laptop 5"/>
    <n v="1"/>
    <n v="3535.19"/>
    <n v="10"/>
    <x v="0"/>
    <x v="3"/>
  </r>
  <r>
    <s v="ORD2253"/>
    <x v="88"/>
    <x v="338"/>
    <s v="Riya"/>
    <x v="2"/>
    <s v="Delhi"/>
    <x v="2"/>
    <s v="Phone"/>
    <s v="Phone 9"/>
    <n v="8"/>
    <n v="2594.08"/>
    <n v="20"/>
    <x v="4"/>
    <x v="1"/>
  </r>
  <r>
    <s v="ORD2254"/>
    <x v="548"/>
    <x v="625"/>
    <s v="Anjali"/>
    <x v="0"/>
    <s v="Delhi"/>
    <x v="0"/>
    <s v="Table"/>
    <s v="Table 10"/>
    <n v="5"/>
    <n v="2596.36"/>
    <n v="0"/>
    <x v="3"/>
    <x v="3"/>
  </r>
  <r>
    <s v="ORD2255"/>
    <x v="344"/>
    <x v="358"/>
    <s v="Karan"/>
    <x v="0"/>
    <s v="Mumbai"/>
    <x v="1"/>
    <s v="Phone"/>
    <s v="Phone 26"/>
    <n v="8"/>
    <n v="26309.97"/>
    <s v="10 %"/>
    <x v="2"/>
    <x v="3"/>
  </r>
  <r>
    <s v="ORD2256"/>
    <x v="527"/>
    <x v="636"/>
    <s v="Anjali"/>
    <x v="2"/>
    <s v="Pune"/>
    <x v="1"/>
    <s v="Laptop"/>
    <s v="Laptop 30"/>
    <n v="6"/>
    <n v="7332.53"/>
    <n v="0"/>
    <x v="2"/>
    <x v="3"/>
  </r>
  <r>
    <s v="ORD2257"/>
    <x v="466"/>
    <x v="637"/>
    <s v="Neha"/>
    <x v="4"/>
    <s v="Mumbai"/>
    <x v="0"/>
    <s v="Chair"/>
    <s v="Chair 15"/>
    <n v="8"/>
    <n v="27616.48"/>
    <n v="0"/>
    <x v="5"/>
    <x v="3"/>
  </r>
  <r>
    <s v="ORD2258"/>
    <x v="549"/>
    <x v="618"/>
    <s v="Rahul"/>
    <x v="2"/>
    <s v="Pune"/>
    <x v="3"/>
    <s v="Paper"/>
    <s v="Paper 6"/>
    <n v="6"/>
    <n v="23440.48"/>
    <n v="20"/>
    <x v="0"/>
    <x v="0"/>
  </r>
  <r>
    <s v="ORD2259"/>
    <x v="550"/>
    <x v="638"/>
    <s v="Vikas"/>
    <x v="2"/>
    <s v="Jaipur"/>
    <x v="0"/>
    <s v="Chair"/>
    <s v="Chair 28"/>
    <n v="5"/>
    <n v="5212.28"/>
    <n v="0"/>
    <x v="3"/>
    <x v="0"/>
  </r>
  <r>
    <s v="ORD2260"/>
    <x v="0"/>
    <x v="5"/>
    <s v="Sneha"/>
    <x v="2"/>
    <s v="Delhi"/>
    <x v="1"/>
    <s v="Phone"/>
    <s v="Phone 16"/>
    <n v="8"/>
    <n v="7567.07"/>
    <n v="0"/>
    <x v="1"/>
    <x v="3"/>
  </r>
  <r>
    <s v="ORD2261"/>
    <x v="551"/>
    <x v="639"/>
    <s v="Sneha"/>
    <x v="0"/>
    <s v="delhi "/>
    <x v="0"/>
    <s v="Chair"/>
    <s v="Chair 15"/>
    <n v="6"/>
    <n v="11975.7"/>
    <n v="20"/>
    <x v="3"/>
    <x v="0"/>
  </r>
  <r>
    <s v="ORD2262"/>
    <x v="384"/>
    <x v="640"/>
    <s v="Anjali"/>
    <x v="3"/>
    <s v="Kolkata"/>
    <x v="2"/>
    <s v="Phone"/>
    <s v="Phone 4"/>
    <n v="5"/>
    <n v="13312.23"/>
    <n v="0"/>
    <x v="3"/>
    <x v="0"/>
  </r>
  <r>
    <s v="ORD2263"/>
    <x v="459"/>
    <x v="61"/>
    <s v="Riya"/>
    <x v="0"/>
    <s v="Pune"/>
    <x v="0"/>
    <s v="Chair"/>
    <s v="Chair 18"/>
    <n v="3"/>
    <n v="3190.81"/>
    <n v="0"/>
    <x v="5"/>
    <x v="0"/>
  </r>
  <r>
    <s v="ORD2264"/>
    <x v="375"/>
    <x v="574"/>
    <s v="Riya"/>
    <x v="3"/>
    <s v="Jaipur"/>
    <x v="1"/>
    <s v="Phone"/>
    <s v="Phone 17"/>
    <n v="6"/>
    <n v="21989.22"/>
    <n v="0"/>
    <x v="0"/>
    <x v="3"/>
  </r>
  <r>
    <s v="ORD2266"/>
    <x v="439"/>
    <x v="443"/>
    <s v="Arjun"/>
    <x v="0"/>
    <s v="Kolkata"/>
    <x v="0"/>
    <s v="Chair"/>
    <s v="Chair 1"/>
    <n v="9"/>
    <n v="35602.78"/>
    <n v="20"/>
    <x v="0"/>
    <x v="3"/>
  </r>
  <r>
    <s v="ORD2268"/>
    <x v="114"/>
    <x v="333"/>
    <s v="Anjali"/>
    <x v="2"/>
    <s v="Bengaluru"/>
    <x v="2"/>
    <s v="Phone"/>
    <s v="Phone 25"/>
    <n v="10"/>
    <n v="24998.61"/>
    <s v="10 %"/>
    <x v="2"/>
    <x v="3"/>
  </r>
  <r>
    <s v="ORD2269"/>
    <x v="436"/>
    <x v="126"/>
    <s v="Rahul"/>
    <x v="1"/>
    <s v="Kolkata"/>
    <x v="0"/>
    <s v="Chair"/>
    <s v="Chair 27"/>
    <n v="7"/>
    <n v="22617.87"/>
    <n v="20"/>
    <x v="4"/>
    <x v="2"/>
  </r>
  <r>
    <s v="ORD2271"/>
    <x v="552"/>
    <x v="332"/>
    <s v="Priya"/>
    <x v="1"/>
    <s v="Delhi"/>
    <x v="3"/>
    <s v="Paper"/>
    <s v="Paper 27"/>
    <n v="7"/>
    <n v="19007.169999999998"/>
    <n v="5"/>
    <x v="3"/>
    <x v="1"/>
  </r>
  <r>
    <s v="ORD2272"/>
    <x v="494"/>
    <x v="564"/>
    <s v="Neha"/>
    <x v="1"/>
    <s v="Delhi"/>
    <x v="1"/>
    <s v="Phone"/>
    <s v="Phone 18"/>
    <n v="-2"/>
    <n v="9763.7800000000007"/>
    <s v="10 %"/>
    <x v="4"/>
    <x v="0"/>
  </r>
  <r>
    <s v="ORD2273"/>
    <x v="553"/>
    <x v="91"/>
    <s v="Anjali"/>
    <x v="4"/>
    <s v="Delhi"/>
    <x v="1"/>
    <s v="Laptop"/>
    <s v="Laptop 3"/>
    <n v="5"/>
    <n v="23940.11"/>
    <n v="15"/>
    <x v="1"/>
    <x v="0"/>
  </r>
  <r>
    <s v="ORD2275"/>
    <x v="554"/>
    <x v="585"/>
    <s v="Arjun"/>
    <x v="0"/>
    <s v="delhi "/>
    <x v="0"/>
    <s v="Table"/>
    <s v="Table 26"/>
    <n v="5"/>
    <n v="12335.62"/>
    <n v="0"/>
    <x v="1"/>
    <x v="3"/>
  </r>
  <r>
    <s v="ORD2276"/>
    <x v="533"/>
    <x v="641"/>
    <s v="Karan"/>
    <x v="4"/>
    <s v="Delhi"/>
    <x v="0"/>
    <s v="Table"/>
    <s v="Table 2"/>
    <n v="1"/>
    <n v="3947.92"/>
    <n v="5"/>
    <x v="3"/>
    <x v="0"/>
  </r>
  <r>
    <s v="ORD2277"/>
    <x v="555"/>
    <x v="226"/>
    <s v="Priya "/>
    <x v="4"/>
    <s v="Delhi"/>
    <x v="0"/>
    <s v="Table"/>
    <s v="Table 23"/>
    <n v="1"/>
    <n v="2404.12"/>
    <n v="15"/>
    <x v="0"/>
    <x v="3"/>
  </r>
  <r>
    <s v="ORD2278"/>
    <x v="20"/>
    <x v="642"/>
    <s v="Neha"/>
    <x v="0"/>
    <s v="Bengaluru"/>
    <x v="0"/>
    <s v="Table"/>
    <s v="Table 18"/>
    <n v="3"/>
    <n v="768"/>
    <n v="10"/>
    <x v="1"/>
    <x v="2"/>
  </r>
  <r>
    <s v="ORD1464"/>
    <x v="339"/>
    <x v="621"/>
    <s v="Sneha"/>
    <x v="2"/>
    <s v="Jaipur"/>
    <x v="1"/>
    <s v="Laptop"/>
    <s v="Laptop 20"/>
    <n v="7"/>
    <n v="22659.75"/>
    <n v="20"/>
    <x v="4"/>
    <x v="3"/>
  </r>
  <r>
    <s v="ORD2281"/>
    <x v="556"/>
    <x v="371"/>
    <s v="Amit"/>
    <x v="4"/>
    <s v="Pune"/>
    <x v="1"/>
    <s v="Phone"/>
    <s v="Phone 7"/>
    <n v="3"/>
    <n v="14874.95"/>
    <n v="10"/>
    <x v="0"/>
    <x v="1"/>
  </r>
  <r>
    <s v="ORD2282"/>
    <x v="557"/>
    <x v="177"/>
    <s v="Sneha"/>
    <x v="3"/>
    <s v="Delhi"/>
    <x v="1"/>
    <s v="Laptop"/>
    <s v="Laptop 30"/>
    <n v="7"/>
    <n v="13692.32"/>
    <n v="20"/>
    <x v="1"/>
    <x v="1"/>
  </r>
  <r>
    <s v="ORD2283"/>
    <x v="347"/>
    <x v="643"/>
    <s v="Vikas"/>
    <x v="2"/>
    <s v="Pune"/>
    <x v="3"/>
    <s v="Paper"/>
    <s v="Paper 12"/>
    <n v="4"/>
    <n v="8986.92"/>
    <s v="10 %"/>
    <x v="0"/>
    <x v="2"/>
  </r>
  <r>
    <s v="ORD2284"/>
    <x v="328"/>
    <x v="644"/>
    <s v="Arjun"/>
    <x v="0"/>
    <s v="Jaipur"/>
    <x v="1"/>
    <s v="Laptop"/>
    <s v="Laptop 24"/>
    <n v="8"/>
    <n v="10296.09"/>
    <n v="0"/>
    <x v="2"/>
    <x v="2"/>
  </r>
  <r>
    <s v="ORD2285"/>
    <x v="166"/>
    <x v="243"/>
    <s v="Anjali "/>
    <x v="3"/>
    <s v="Pune"/>
    <x v="0"/>
    <s v="Chair"/>
    <s v="Chair 16"/>
    <n v="3"/>
    <n v="5096.0600000000004"/>
    <n v="0"/>
    <x v="1"/>
    <x v="3"/>
  </r>
  <r>
    <s v="ORD2286"/>
    <x v="255"/>
    <x v="104"/>
    <s v="Anjali"/>
    <x v="1"/>
    <s v="delhi "/>
    <x v="0"/>
    <s v="Chair"/>
    <s v="Chair 23"/>
    <n v="2"/>
    <n v="6894.7"/>
    <n v="20"/>
    <x v="2"/>
    <x v="1"/>
  </r>
  <r>
    <s v="ORD2287"/>
    <x v="463"/>
    <x v="584"/>
    <s v="Sneha"/>
    <x v="3"/>
    <s v="Pune"/>
    <x v="0"/>
    <s v="Chair"/>
    <s v="Chair 14"/>
    <n v="8"/>
    <n v="29249.91"/>
    <n v="5"/>
    <x v="2"/>
    <x v="2"/>
  </r>
  <r>
    <s v="ORD2288"/>
    <x v="266"/>
    <x v="341"/>
    <s v="Arjun"/>
    <x v="0"/>
    <s v="delhi "/>
    <x v="2"/>
    <s v="Phone"/>
    <s v="Phone 5"/>
    <n v="10"/>
    <n v="22446.21"/>
    <n v="10"/>
    <x v="2"/>
    <x v="0"/>
  </r>
  <r>
    <s v="ORD2289"/>
    <x v="556"/>
    <x v="463"/>
    <s v="Vikas"/>
    <x v="3"/>
    <s v="Mumbai"/>
    <x v="0"/>
    <s v="Chair"/>
    <s v="Chair 19"/>
    <n v="5"/>
    <n v="16734.03"/>
    <n v="10"/>
    <x v="3"/>
    <x v="1"/>
  </r>
  <r>
    <s v="ORD2291"/>
    <x v="519"/>
    <x v="567"/>
    <s v="Anjali"/>
    <x v="0"/>
    <s v="delhi "/>
    <x v="1"/>
    <s v="Phone"/>
    <s v="Phone 12"/>
    <n v="10"/>
    <n v="3418.97"/>
    <s v="10 %"/>
    <x v="3"/>
    <x v="2"/>
  </r>
  <r>
    <s v="ORD2292"/>
    <x v="455"/>
    <x v="32"/>
    <s v="Karan "/>
    <x v="1"/>
    <s v="Bengaluru"/>
    <x v="0"/>
    <s v="Table"/>
    <s v="Table 12"/>
    <n v="2"/>
    <n v="7816.03"/>
    <n v="20"/>
    <x v="5"/>
    <x v="3"/>
  </r>
  <r>
    <s v="ORD2294"/>
    <x v="234"/>
    <x v="645"/>
    <s v="Riya"/>
    <x v="1"/>
    <s v="Delhi"/>
    <x v="1"/>
    <s v="Phone"/>
    <s v="Phone 22"/>
    <n v="7"/>
    <n v="5985.55"/>
    <n v="15"/>
    <x v="3"/>
    <x v="3"/>
  </r>
  <r>
    <s v="ORD2295"/>
    <x v="459"/>
    <x v="634"/>
    <s v="Amit"/>
    <x v="0"/>
    <s v="Pune"/>
    <x v="0"/>
    <s v="Chair"/>
    <s v="Chair 9"/>
    <n v="1"/>
    <n v="538.80999999999995"/>
    <n v="20"/>
    <x v="0"/>
    <x v="3"/>
  </r>
  <r>
    <s v="ORD2296"/>
    <x v="192"/>
    <x v="556"/>
    <s v="Rahul"/>
    <x v="0"/>
    <s v="Pune"/>
    <x v="3"/>
    <s v="Paper"/>
    <s v="Paper 22"/>
    <n v="10"/>
    <n v="30369.72"/>
    <n v="10"/>
    <x v="5"/>
    <x v="0"/>
  </r>
  <r>
    <s v="ORD2297"/>
    <x v="328"/>
    <x v="17"/>
    <s v="Karan"/>
    <x v="3"/>
    <s v="Delhi"/>
    <x v="1"/>
    <s v="Phone"/>
    <s v="Phone 19"/>
    <n v="3"/>
    <n v="3937.54"/>
    <n v="0"/>
    <x v="0"/>
    <x v="3"/>
  </r>
  <r>
    <s v="ORD2298"/>
    <x v="202"/>
    <x v="532"/>
    <s v="Arjun "/>
    <x v="4"/>
    <s v="Jaipur"/>
    <x v="0"/>
    <s v="Table"/>
    <s v="Table 22"/>
    <n v="5"/>
    <n v="13643.28"/>
    <n v="0"/>
    <x v="5"/>
    <x v="1"/>
  </r>
  <r>
    <s v="ORD2299"/>
    <x v="0"/>
    <x v="231"/>
    <s v="Rahul"/>
    <x v="4"/>
    <s v="Jaipur"/>
    <x v="0"/>
    <s v="Chair"/>
    <s v="Chair 30"/>
    <n v="2"/>
    <n v="2478.2199999999998"/>
    <n v="5"/>
    <x v="2"/>
    <x v="3"/>
  </r>
  <r>
    <s v="ORD2300"/>
    <x v="521"/>
    <x v="233"/>
    <s v="Sneha"/>
    <x v="2"/>
    <s v="Jaipur"/>
    <x v="1"/>
    <s v="Phone"/>
    <s v="Phone 22"/>
    <n v="4"/>
    <n v="18078.11"/>
    <n v="15"/>
    <x v="4"/>
    <x v="1"/>
  </r>
  <r>
    <s v="ORD2301"/>
    <x v="130"/>
    <x v="646"/>
    <s v="Arjun"/>
    <x v="2"/>
    <s v="Mumbai"/>
    <x v="1"/>
    <s v="Phone"/>
    <s v="Phone 12"/>
    <n v="6"/>
    <n v="29363.64"/>
    <n v="0"/>
    <x v="0"/>
    <x v="0"/>
  </r>
  <r>
    <s v="ORD2302"/>
    <x v="177"/>
    <x v="280"/>
    <s v="Amit"/>
    <x v="1"/>
    <s v="Pune"/>
    <x v="0"/>
    <s v="Chair"/>
    <s v="Chair 12"/>
    <n v="4"/>
    <n v="14713.1"/>
    <n v="5"/>
    <x v="0"/>
    <x v="1"/>
  </r>
  <r>
    <s v="ORD2303"/>
    <x v="558"/>
    <x v="178"/>
    <s v="Anjali"/>
    <x v="3"/>
    <s v="Jaipur"/>
    <x v="0"/>
    <s v="Table"/>
    <s v="Table 28"/>
    <n v="-2"/>
    <n v="876.54"/>
    <n v="5"/>
    <x v="3"/>
    <x v="3"/>
  </r>
  <r>
    <s v="ORD2304"/>
    <x v="559"/>
    <x v="560"/>
    <s v="Sneha"/>
    <x v="0"/>
    <s v="Bengaluru"/>
    <x v="2"/>
    <s v="Phone"/>
    <s v="Phone 6"/>
    <n v="9"/>
    <n v="15632.64"/>
    <n v="20"/>
    <x v="4"/>
    <x v="3"/>
  </r>
  <r>
    <s v="ORD2306"/>
    <x v="560"/>
    <x v="75"/>
    <s v="Karan"/>
    <x v="2"/>
    <s v="Mumbai"/>
    <x v="2"/>
    <s v="Phone"/>
    <s v="Phone 14"/>
    <n v="1"/>
    <n v="743.78"/>
    <n v="0"/>
    <x v="1"/>
    <x v="3"/>
  </r>
  <r>
    <s v="ORD2307"/>
    <x v="254"/>
    <x v="60"/>
    <s v="Anjali"/>
    <x v="1"/>
    <s v="Bengaluru"/>
    <x v="1"/>
    <s v="Laptop"/>
    <s v="Laptop 24"/>
    <n v="2"/>
    <n v="3078.23"/>
    <n v="0"/>
    <x v="3"/>
    <x v="1"/>
  </r>
  <r>
    <s v="ORD2308"/>
    <x v="370"/>
    <x v="128"/>
    <s v="Arjun"/>
    <x v="1"/>
    <s v="Kolkata"/>
    <x v="1"/>
    <s v="Phone"/>
    <s v="Phone 25"/>
    <n v="-9"/>
    <n v="14792.13"/>
    <n v="10"/>
    <x v="5"/>
    <x v="3"/>
  </r>
  <r>
    <s v="ORD2310"/>
    <x v="44"/>
    <x v="70"/>
    <s v="Amit"/>
    <x v="4"/>
    <s v="Kolkata"/>
    <x v="0"/>
    <s v="Chair"/>
    <s v="Chair 23"/>
    <n v="3"/>
    <n v="9102.5499999999993"/>
    <s v="10 %"/>
    <x v="5"/>
    <x v="2"/>
  </r>
  <r>
    <s v="ORD2311"/>
    <x v="502"/>
    <x v="346"/>
    <s v="Sneha"/>
    <x v="3"/>
    <s v="Pune"/>
    <x v="1"/>
    <s v="Phone"/>
    <s v="Phone 29"/>
    <n v="10"/>
    <n v="48872.42"/>
    <n v="15"/>
    <x v="2"/>
    <x v="0"/>
  </r>
  <r>
    <s v="ORD2312"/>
    <x v="307"/>
    <x v="647"/>
    <s v="Karan"/>
    <x v="0"/>
    <s v="Jaipur"/>
    <x v="3"/>
    <s v="Paper"/>
    <s v="Paper 17"/>
    <n v="1"/>
    <n v="3809.87"/>
    <n v="5"/>
    <x v="5"/>
    <x v="3"/>
  </r>
  <r>
    <s v="ORD2313"/>
    <x v="561"/>
    <x v="153"/>
    <s v="Amit"/>
    <x v="3"/>
    <s v="Pune"/>
    <x v="3"/>
    <s v="Paper"/>
    <s v="Paper 20"/>
    <n v="4"/>
    <n v="15954.42"/>
    <n v="20"/>
    <x v="2"/>
    <x v="0"/>
  </r>
  <r>
    <s v="ORD2314"/>
    <x v="75"/>
    <x v="354"/>
    <s v="Vikas"/>
    <x v="4"/>
    <s v="Delhi"/>
    <x v="3"/>
    <s v="Paper"/>
    <s v="Paper 28"/>
    <n v="1"/>
    <n v="3177.97"/>
    <n v="10"/>
    <x v="0"/>
    <x v="3"/>
  </r>
  <r>
    <s v="ORD2315"/>
    <x v="211"/>
    <x v="78"/>
    <s v="Amit"/>
    <x v="2"/>
    <s v="delhi "/>
    <x v="3"/>
    <s v="Paper"/>
    <s v="Paper 26"/>
    <n v="10"/>
    <n v="18793.849999999999"/>
    <n v="15"/>
    <x v="5"/>
    <x v="3"/>
  </r>
  <r>
    <s v="ORD2316"/>
    <x v="127"/>
    <x v="223"/>
    <s v="Anjali"/>
    <x v="0"/>
    <s v="Kolkata"/>
    <x v="0"/>
    <s v="Chair"/>
    <s v="Chair 29"/>
    <n v="1"/>
    <n v="383.09"/>
    <s v="10 %"/>
    <x v="0"/>
    <x v="3"/>
  </r>
  <r>
    <s v="ORD2317"/>
    <x v="115"/>
    <x v="648"/>
    <s v="Karan"/>
    <x v="0"/>
    <s v="Bengaluru"/>
    <x v="0"/>
    <s v="Chair"/>
    <s v="Chair 30"/>
    <n v="8"/>
    <n v="29650.11"/>
    <n v="15"/>
    <x v="3"/>
    <x v="1"/>
  </r>
  <r>
    <s v="ORD2318"/>
    <x v="95"/>
    <x v="649"/>
    <s v="Riya"/>
    <x v="0"/>
    <s v="Pune"/>
    <x v="2"/>
    <s v="Phone"/>
    <s v="Phone 18"/>
    <n v="9"/>
    <n v="14750.94"/>
    <n v="20"/>
    <x v="5"/>
    <x v="0"/>
  </r>
  <r>
    <s v="ORD2319"/>
    <x v="190"/>
    <x v="650"/>
    <s v="Rahul"/>
    <x v="3"/>
    <s v="Bengaluru"/>
    <x v="0"/>
    <s v="Table"/>
    <s v="Table 5"/>
    <n v="2"/>
    <n v="2551.67"/>
    <n v="0"/>
    <x v="2"/>
    <x v="1"/>
  </r>
  <r>
    <s v="ORD2321"/>
    <x v="505"/>
    <x v="651"/>
    <s v="Karan"/>
    <x v="3"/>
    <s v="Mumbai"/>
    <x v="3"/>
    <s v="Paper"/>
    <s v="Paper 18"/>
    <n v="6"/>
    <n v="16052.53"/>
    <n v="20"/>
    <x v="5"/>
    <x v="3"/>
  </r>
  <r>
    <s v="ORD2322"/>
    <x v="431"/>
    <x v="98"/>
    <s v="Arjun"/>
    <x v="0"/>
    <s v="Jaipur"/>
    <x v="1"/>
    <s v="Laptop"/>
    <s v="Laptop 25"/>
    <n v="5"/>
    <n v="15183.5"/>
    <n v="20"/>
    <x v="2"/>
    <x v="3"/>
  </r>
  <r>
    <s v="ORD2323"/>
    <x v="248"/>
    <x v="224"/>
    <s v="Arjun"/>
    <x v="0"/>
    <s v="Delhi"/>
    <x v="1"/>
    <s v="Laptop"/>
    <s v="Laptop 30"/>
    <n v="5"/>
    <n v="6455.92"/>
    <n v="20"/>
    <x v="4"/>
    <x v="3"/>
  </r>
  <r>
    <s v="ORD2324"/>
    <x v="133"/>
    <x v="301"/>
    <s v="Vikas"/>
    <x v="4"/>
    <s v="Pune"/>
    <x v="2"/>
    <s v="Phone"/>
    <s v="Phone 25"/>
    <n v="2"/>
    <n v="6405.99"/>
    <n v="15"/>
    <x v="3"/>
    <x v="2"/>
  </r>
  <r>
    <s v="ORD2325"/>
    <x v="544"/>
    <x v="6"/>
    <s v="Arjun"/>
    <x v="1"/>
    <s v="delhi "/>
    <x v="0"/>
    <s v="Table"/>
    <s v="Table 5"/>
    <n v="10"/>
    <n v="42711.58"/>
    <n v="15"/>
    <x v="4"/>
    <x v="0"/>
  </r>
  <r>
    <s v="ORD2326"/>
    <x v="189"/>
    <x v="25"/>
    <s v="Rahul"/>
    <x v="4"/>
    <s v="Delhi"/>
    <x v="0"/>
    <s v="Chair"/>
    <s v="Chair 7"/>
    <n v="9"/>
    <n v="30474.5"/>
    <n v="10"/>
    <x v="0"/>
    <x v="3"/>
  </r>
  <r>
    <s v="ORD2330"/>
    <x v="441"/>
    <x v="425"/>
    <s v="Anjali "/>
    <x v="0"/>
    <s v="Bengaluru"/>
    <x v="3"/>
    <s v="Paper"/>
    <s v="Paper 20"/>
    <n v="7"/>
    <n v="27315.09"/>
    <n v="10"/>
    <x v="0"/>
    <x v="1"/>
  </r>
  <r>
    <s v="ORD2331"/>
    <x v="350"/>
    <x v="453"/>
    <s v="Rahul"/>
    <x v="1"/>
    <s v="Jaipur"/>
    <x v="0"/>
    <s v="Table"/>
    <s v="Table 6"/>
    <n v="2"/>
    <n v="5785.04"/>
    <s v="10 %"/>
    <x v="5"/>
    <x v="3"/>
  </r>
  <r>
    <s v="ORD2332"/>
    <x v="562"/>
    <x v="652"/>
    <s v="Rahul"/>
    <x v="0"/>
    <s v="Delhi"/>
    <x v="3"/>
    <s v="Paper"/>
    <s v="Paper 27"/>
    <n v="3"/>
    <n v="3146.1"/>
    <n v="10"/>
    <x v="2"/>
    <x v="1"/>
  </r>
  <r>
    <s v="ORD2333"/>
    <x v="248"/>
    <x v="341"/>
    <s v="Priya"/>
    <x v="4"/>
    <s v="Mumbai"/>
    <x v="3"/>
    <s v="Paper"/>
    <s v="Paper 7"/>
    <n v="7"/>
    <n v="32302.04"/>
    <n v="0"/>
    <x v="4"/>
    <x v="3"/>
  </r>
  <r>
    <s v="ORD2335"/>
    <x v="354"/>
    <x v="653"/>
    <s v="Sneha"/>
    <x v="2"/>
    <s v="Jaipur"/>
    <x v="0"/>
    <s v="Table"/>
    <s v="Table 11"/>
    <n v="6"/>
    <n v="1965.79"/>
    <n v="10"/>
    <x v="0"/>
    <x v="3"/>
  </r>
  <r>
    <s v="ORD2336"/>
    <x v="200"/>
    <x v="266"/>
    <s v="Arjun"/>
    <x v="4"/>
    <s v="delhi "/>
    <x v="3"/>
    <s v="Paper"/>
    <s v="Paper 20"/>
    <n v="7"/>
    <n v="13550.01"/>
    <n v="5"/>
    <x v="4"/>
    <x v="3"/>
  </r>
  <r>
    <s v="ORD2337"/>
    <x v="563"/>
    <x v="549"/>
    <s v="Sneha"/>
    <x v="2"/>
    <s v="delhi "/>
    <x v="0"/>
    <s v="Chair"/>
    <s v="Chair 23"/>
    <n v="2"/>
    <n v="5070.38"/>
    <n v="15"/>
    <x v="4"/>
    <x v="0"/>
  </r>
  <r>
    <s v="ORD2338"/>
    <x v="122"/>
    <x v="47"/>
    <s v="Arjun "/>
    <x v="1"/>
    <s v="Delhi"/>
    <x v="1"/>
    <s v="Phone"/>
    <s v="Phone 14"/>
    <n v="9"/>
    <n v="14032.98"/>
    <n v="15"/>
    <x v="2"/>
    <x v="0"/>
  </r>
  <r>
    <s v="ORD1064"/>
    <x v="273"/>
    <x v="654"/>
    <s v="Sneha"/>
    <x v="2"/>
    <s v="Bengaluru"/>
    <x v="2"/>
    <s v="Phone"/>
    <s v="Phone 22"/>
    <n v="9"/>
    <n v="21059.85"/>
    <n v="15"/>
    <x v="5"/>
    <x v="0"/>
  </r>
  <r>
    <s v="ORD2341"/>
    <x v="303"/>
    <x v="557"/>
    <s v="Rahul"/>
    <x v="1"/>
    <s v="Kolkata"/>
    <x v="2"/>
    <s v="Phone"/>
    <s v="Phone 3"/>
    <n v="2"/>
    <n v="5303.06"/>
    <n v="15"/>
    <x v="5"/>
    <x v="3"/>
  </r>
  <r>
    <s v="ORD2342"/>
    <x v="552"/>
    <x v="653"/>
    <s v="Neha"/>
    <x v="3"/>
    <s v="Kolkata"/>
    <x v="0"/>
    <s v="Chair"/>
    <s v="Chair 6"/>
    <n v="5"/>
    <n v="17183"/>
    <n v="0"/>
    <x v="3"/>
    <x v="0"/>
  </r>
  <r>
    <s v="ORD2343"/>
    <x v="149"/>
    <x v="111"/>
    <s v="Riya"/>
    <x v="3"/>
    <s v="Mumbai"/>
    <x v="0"/>
    <s v="Chair"/>
    <s v="Chair 5"/>
    <n v="6"/>
    <n v="20991.16"/>
    <n v="5"/>
    <x v="2"/>
    <x v="0"/>
  </r>
  <r>
    <s v="ORD2344"/>
    <x v="462"/>
    <x v="58"/>
    <s v="Rahul "/>
    <x v="0"/>
    <s v="Jaipur"/>
    <x v="2"/>
    <s v="Phone"/>
    <s v="Phone 3"/>
    <n v="5"/>
    <n v="22897.94"/>
    <s v="10 %"/>
    <x v="0"/>
    <x v="1"/>
  </r>
  <r>
    <s v="ORD2345"/>
    <x v="560"/>
    <x v="30"/>
    <s v="Anjali"/>
    <x v="1"/>
    <s v="delhi "/>
    <x v="3"/>
    <s v="Paper"/>
    <s v="Paper 29"/>
    <n v="10"/>
    <n v="14354.23"/>
    <n v="20"/>
    <x v="4"/>
    <x v="1"/>
  </r>
  <r>
    <s v="ORD2346"/>
    <x v="494"/>
    <x v="655"/>
    <s v="Karan"/>
    <x v="4"/>
    <s v="Kolkata"/>
    <x v="0"/>
    <s v="Chair"/>
    <s v="Chair 16"/>
    <n v="4"/>
    <n v="5400.25"/>
    <n v="0"/>
    <x v="0"/>
    <x v="1"/>
  </r>
  <r>
    <s v="ORD2347"/>
    <x v="564"/>
    <x v="336"/>
    <s v="Sneha"/>
    <x v="4"/>
    <s v="Jaipur"/>
    <x v="1"/>
    <s v="Phone"/>
    <s v="Phone 23"/>
    <n v="4"/>
    <n v="7965.43"/>
    <n v="15"/>
    <x v="5"/>
    <x v="3"/>
  </r>
  <r>
    <s v="ORD2348"/>
    <x v="413"/>
    <x v="262"/>
    <s v="Amit"/>
    <x v="1"/>
    <s v="Jaipur"/>
    <x v="1"/>
    <s v="Laptop"/>
    <s v="Laptop 15"/>
    <n v="10"/>
    <n v="24012.58"/>
    <s v="10 %"/>
    <x v="2"/>
    <x v="3"/>
  </r>
  <r>
    <s v="ORD2349"/>
    <x v="448"/>
    <x v="114"/>
    <s v="Riya"/>
    <x v="0"/>
    <s v="delhi "/>
    <x v="3"/>
    <s v="Paper"/>
    <s v="Paper 23"/>
    <n v="4"/>
    <n v="3204.09"/>
    <n v="10"/>
    <x v="1"/>
    <x v="0"/>
  </r>
  <r>
    <s v="ORD2350"/>
    <x v="88"/>
    <x v="475"/>
    <s v="Anjali"/>
    <x v="0"/>
    <s v="delhi "/>
    <x v="0"/>
    <s v="Chair"/>
    <s v="Chair 27"/>
    <n v="7"/>
    <n v="9980.36"/>
    <s v="10 %"/>
    <x v="5"/>
    <x v="1"/>
  </r>
  <r>
    <s v="ORD2351"/>
    <x v="514"/>
    <x v="459"/>
    <s v="Vikas"/>
    <x v="3"/>
    <s v="Bengaluru"/>
    <x v="2"/>
    <s v="Phone"/>
    <s v="Phone 4"/>
    <n v="5"/>
    <n v="5151.38"/>
    <n v="5"/>
    <x v="2"/>
    <x v="3"/>
  </r>
  <r>
    <s v="ORD2352"/>
    <x v="210"/>
    <x v="17"/>
    <s v="Neha"/>
    <x v="0"/>
    <s v="Delhi"/>
    <x v="2"/>
    <s v="Phone"/>
    <s v="Phone 8"/>
    <n v="4"/>
    <n v="4749.9399999999996"/>
    <n v="0"/>
    <x v="0"/>
    <x v="0"/>
  </r>
  <r>
    <s v="ORD2353"/>
    <x v="424"/>
    <x v="656"/>
    <s v="Vikas"/>
    <x v="2"/>
    <s v="delhi "/>
    <x v="1"/>
    <s v="Laptop"/>
    <s v="Laptop 30"/>
    <n v="3"/>
    <n v="419.24"/>
    <n v="20"/>
    <x v="3"/>
    <x v="3"/>
  </r>
  <r>
    <s v="ORD2354"/>
    <x v="561"/>
    <x v="259"/>
    <s v="Riya"/>
    <x v="3"/>
    <s v="Kolkata"/>
    <x v="0"/>
    <s v="Chair"/>
    <s v="Chair 5"/>
    <n v="9"/>
    <n v="5746.75"/>
    <s v="10 %"/>
    <x v="2"/>
    <x v="0"/>
  </r>
  <r>
    <s v="ORD2355"/>
    <x v="495"/>
    <x v="657"/>
    <s v="Vikas"/>
    <x v="3"/>
    <s v="Pune"/>
    <x v="0"/>
    <s v="Table"/>
    <s v="Table 22"/>
    <n v="3"/>
    <n v="9287.93"/>
    <n v="10"/>
    <x v="4"/>
    <x v="2"/>
  </r>
  <r>
    <s v="ORD2356"/>
    <x v="306"/>
    <x v="38"/>
    <s v="Vikas "/>
    <x v="1"/>
    <s v="Delhi"/>
    <x v="3"/>
    <s v="Paper"/>
    <s v="Paper 8"/>
    <n v="3"/>
    <n v="4596.7299999999996"/>
    <s v="10 %"/>
    <x v="2"/>
    <x v="2"/>
  </r>
  <r>
    <s v="ORD2357"/>
    <x v="438"/>
    <x v="175"/>
    <s v="Arjun"/>
    <x v="1"/>
    <s v="Mumbai"/>
    <x v="0"/>
    <s v="Chair"/>
    <s v="Chair 6"/>
    <n v="1"/>
    <n v="3143.89"/>
    <n v="15"/>
    <x v="2"/>
    <x v="1"/>
  </r>
  <r>
    <s v="ORD2358"/>
    <x v="565"/>
    <x v="26"/>
    <s v="Karan"/>
    <x v="0"/>
    <s v="Delhi"/>
    <x v="1"/>
    <s v="Laptop"/>
    <s v="Laptop 3"/>
    <n v="4"/>
    <n v="11275.44"/>
    <n v="10"/>
    <x v="0"/>
    <x v="0"/>
  </r>
  <r>
    <s v="ORD2359"/>
    <x v="206"/>
    <x v="265"/>
    <s v="Priya"/>
    <x v="4"/>
    <s v="Kolkata"/>
    <x v="1"/>
    <s v="Laptop"/>
    <s v="Laptop 12"/>
    <n v="6"/>
    <n v="24870.06"/>
    <n v="10"/>
    <x v="5"/>
    <x v="0"/>
  </r>
  <r>
    <s v="ORD2360"/>
    <x v="400"/>
    <x v="308"/>
    <s v="Arjun"/>
    <x v="4"/>
    <s v="Mumbai"/>
    <x v="0"/>
    <s v="Chair"/>
    <s v="Chair 16"/>
    <n v="8"/>
    <n v="12285.46"/>
    <n v="20"/>
    <x v="5"/>
    <x v="3"/>
  </r>
  <r>
    <s v="ORD2361"/>
    <x v="535"/>
    <x v="567"/>
    <s v="Amit"/>
    <x v="1"/>
    <s v="Delhi"/>
    <x v="0"/>
    <s v="Table"/>
    <s v="Table 21"/>
    <n v="5"/>
    <n v="11064.73"/>
    <n v="10"/>
    <x v="4"/>
    <x v="0"/>
  </r>
  <r>
    <s v="ORD2363"/>
    <x v="566"/>
    <x v="470"/>
    <s v="Riya "/>
    <x v="2"/>
    <s v="Mumbai"/>
    <x v="0"/>
    <s v="Chair"/>
    <s v="Chair 12"/>
    <n v="1"/>
    <n v="4092.8"/>
    <s v="10 %"/>
    <x v="1"/>
    <x v="1"/>
  </r>
  <r>
    <s v="ORD2364"/>
    <x v="62"/>
    <x v="507"/>
    <s v="Sneha"/>
    <x v="3"/>
    <s v="Bengaluru"/>
    <x v="3"/>
    <s v="Paper"/>
    <s v="Paper 24"/>
    <n v="6"/>
    <n v="16523.240000000002"/>
    <n v="0"/>
    <x v="2"/>
    <x v="3"/>
  </r>
  <r>
    <s v="ORD2365"/>
    <x v="73"/>
    <x v="645"/>
    <s v="Rahul"/>
    <x v="0"/>
    <s v="delhi "/>
    <x v="2"/>
    <s v="Phone"/>
    <s v="Phone 6"/>
    <n v="5"/>
    <n v="2896.1"/>
    <s v="10 %"/>
    <x v="1"/>
    <x v="1"/>
  </r>
  <r>
    <s v="ORD2366"/>
    <x v="488"/>
    <x v="414"/>
    <s v="Arjun"/>
    <x v="4"/>
    <s v="delhi "/>
    <x v="3"/>
    <s v="Paper"/>
    <s v="Paper 30"/>
    <n v="6"/>
    <n v="6423.15"/>
    <n v="20"/>
    <x v="3"/>
    <x v="0"/>
  </r>
  <r>
    <s v="ORD2367"/>
    <x v="246"/>
    <x v="319"/>
    <s v="Priya"/>
    <x v="4"/>
    <s v="Delhi"/>
    <x v="2"/>
    <s v="Phone"/>
    <s v="Phone 25"/>
    <n v="10"/>
    <n v="20689.8"/>
    <n v="20"/>
    <x v="4"/>
    <x v="1"/>
  </r>
  <r>
    <s v="ORD2368"/>
    <x v="201"/>
    <x v="317"/>
    <s v="Anjali"/>
    <x v="1"/>
    <s v="delhi "/>
    <x v="1"/>
    <s v="Laptop"/>
    <s v="Laptop 10"/>
    <n v="10"/>
    <n v="28533.53"/>
    <s v="10 %"/>
    <x v="3"/>
    <x v="3"/>
  </r>
  <r>
    <s v="ORD2369"/>
    <x v="546"/>
    <x v="383"/>
    <s v="Anjali"/>
    <x v="4"/>
    <s v="Pune"/>
    <x v="0"/>
    <s v="Chair"/>
    <s v="Chair 18"/>
    <n v="8"/>
    <n v="34702.49"/>
    <n v="5"/>
    <x v="0"/>
    <x v="3"/>
  </r>
  <r>
    <s v="ORD2370"/>
    <x v="414"/>
    <x v="202"/>
    <s v="Karan"/>
    <x v="3"/>
    <s v="delhi "/>
    <x v="1"/>
    <s v="Laptop"/>
    <s v="Laptop 11"/>
    <n v="4"/>
    <n v="15208.65"/>
    <n v="20"/>
    <x v="3"/>
    <x v="2"/>
  </r>
  <r>
    <s v="ORD2371"/>
    <x v="87"/>
    <x v="658"/>
    <s v="Riya"/>
    <x v="1"/>
    <s v="delhi "/>
    <x v="1"/>
    <s v="Laptop"/>
    <s v="Laptop 3"/>
    <n v="1"/>
    <n v="4103.8999999999996"/>
    <n v="0"/>
    <x v="2"/>
    <x v="0"/>
  </r>
  <r>
    <s v="ORD2372"/>
    <x v="171"/>
    <x v="444"/>
    <s v="Riya"/>
    <x v="3"/>
    <s v="Jaipur"/>
    <x v="1"/>
    <s v="Laptop"/>
    <s v="Laptop 14"/>
    <n v="9"/>
    <n v="36576.699999999997"/>
    <n v="0"/>
    <x v="0"/>
    <x v="0"/>
  </r>
  <r>
    <s v="ORD2374"/>
    <x v="185"/>
    <x v="291"/>
    <s v="Vikas"/>
    <x v="2"/>
    <s v="delhi "/>
    <x v="3"/>
    <s v="Paper"/>
    <s v="Paper 29"/>
    <n v="6"/>
    <n v="6805.98"/>
    <n v="10"/>
    <x v="3"/>
    <x v="1"/>
  </r>
  <r>
    <s v="ORD2377"/>
    <x v="307"/>
    <x v="624"/>
    <s v="Vikas"/>
    <x v="1"/>
    <s v="Bengaluru"/>
    <x v="2"/>
    <s v="Phone"/>
    <s v="Phone 2"/>
    <n v="8"/>
    <n v="25796.400000000001"/>
    <n v="20"/>
    <x v="1"/>
    <x v="2"/>
  </r>
  <r>
    <s v="ORD2378"/>
    <x v="138"/>
    <x v="411"/>
    <s v="Karan"/>
    <x v="0"/>
    <s v="delhi "/>
    <x v="1"/>
    <s v="Phone"/>
    <s v="Phone 5"/>
    <n v="2"/>
    <n v="821.72"/>
    <n v="20"/>
    <x v="5"/>
    <x v="3"/>
  </r>
  <r>
    <s v="ORD2379"/>
    <x v="64"/>
    <x v="659"/>
    <s v="Sneha"/>
    <x v="3"/>
    <s v="Kolkata"/>
    <x v="0"/>
    <s v="Table"/>
    <s v="Table 12"/>
    <n v="9"/>
    <n v="20136.060000000001"/>
    <n v="5"/>
    <x v="4"/>
    <x v="1"/>
  </r>
  <r>
    <s v="ORD2380"/>
    <x v="567"/>
    <x v="70"/>
    <s v="Rahul"/>
    <x v="3"/>
    <s v="Delhi"/>
    <x v="1"/>
    <s v="Laptop"/>
    <s v="Laptop 21"/>
    <n v="4"/>
    <n v="12743.11"/>
    <n v="10"/>
    <x v="0"/>
    <x v="0"/>
  </r>
  <r>
    <s v="ORD2381"/>
    <x v="568"/>
    <x v="189"/>
    <s v="Priya"/>
    <x v="1"/>
    <s v="Delhi"/>
    <x v="3"/>
    <s v="Paper"/>
    <s v="Paper 3"/>
    <n v="7"/>
    <n v="7923.86"/>
    <s v="10 %"/>
    <x v="3"/>
    <x v="2"/>
  </r>
  <r>
    <s v="ORD2382"/>
    <x v="511"/>
    <x v="660"/>
    <s v="Riya"/>
    <x v="3"/>
    <s v="delhi "/>
    <x v="1"/>
    <s v="Laptop"/>
    <s v="Laptop 16"/>
    <n v="3"/>
    <n v="5364.34"/>
    <s v="10 %"/>
    <x v="1"/>
    <x v="0"/>
  </r>
  <r>
    <s v="ORD2383"/>
    <x v="469"/>
    <x v="661"/>
    <s v="Neha"/>
    <x v="1"/>
    <s v="Bengaluru"/>
    <x v="2"/>
    <s v="Phone"/>
    <s v="Phone 7"/>
    <n v="7"/>
    <n v="5929.35"/>
    <n v="20"/>
    <x v="0"/>
    <x v="0"/>
  </r>
  <r>
    <s v="ORD2384"/>
    <x v="223"/>
    <x v="628"/>
    <s v="Neha "/>
    <x v="1"/>
    <s v="delhi "/>
    <x v="3"/>
    <s v="Paper"/>
    <s v="Paper 27"/>
    <n v="1"/>
    <n v="1950.81"/>
    <n v="0"/>
    <x v="2"/>
    <x v="3"/>
  </r>
  <r>
    <s v="ORD2385"/>
    <x v="286"/>
    <x v="21"/>
    <s v="Riya"/>
    <x v="2"/>
    <s v="delhi "/>
    <x v="1"/>
    <s v="Laptop"/>
    <s v="Laptop 11"/>
    <n v="10"/>
    <n v="33231.040000000001"/>
    <n v="20"/>
    <x v="4"/>
    <x v="3"/>
  </r>
  <r>
    <s v="ORD2386"/>
    <x v="222"/>
    <x v="38"/>
    <s v="Anjali "/>
    <x v="3"/>
    <s v="Mumbai"/>
    <x v="0"/>
    <s v="Table"/>
    <s v="Table 14"/>
    <n v="6"/>
    <n v="3701.54"/>
    <n v="15"/>
    <x v="0"/>
    <x v="3"/>
  </r>
  <r>
    <s v="ORD1423"/>
    <x v="236"/>
    <x v="662"/>
    <s v="Neha"/>
    <x v="4"/>
    <s v="Bengaluru"/>
    <x v="0"/>
    <s v="Table"/>
    <s v="Table 25"/>
    <n v="6"/>
    <n v="24036.01"/>
    <n v="15"/>
    <x v="5"/>
    <x v="0"/>
  </r>
  <r>
    <s v="ORD2389"/>
    <x v="569"/>
    <x v="613"/>
    <s v="Sneha"/>
    <x v="4"/>
    <s v="Kolkata"/>
    <x v="2"/>
    <s v="Phone"/>
    <s v="Phone 14"/>
    <n v="7"/>
    <n v="33504.769999999997"/>
    <s v="10 %"/>
    <x v="1"/>
    <x v="0"/>
  </r>
  <r>
    <s v="ORD2390"/>
    <x v="353"/>
    <x v="563"/>
    <s v="Neha"/>
    <x v="4"/>
    <s v="Jaipur"/>
    <x v="0"/>
    <s v="Table"/>
    <s v="Table 24"/>
    <n v="2"/>
    <n v="5045.25"/>
    <n v="0"/>
    <x v="2"/>
    <x v="1"/>
  </r>
  <r>
    <s v="ORD2391"/>
    <x v="429"/>
    <x v="48"/>
    <s v="Vikas"/>
    <x v="1"/>
    <s v="Pune"/>
    <x v="1"/>
    <s v="Laptop"/>
    <s v="Laptop 27"/>
    <n v="10"/>
    <n v="11605.05"/>
    <s v="10 %"/>
    <x v="4"/>
    <x v="3"/>
  </r>
  <r>
    <s v="ORD2394"/>
    <x v="123"/>
    <x v="466"/>
    <s v="Anjali"/>
    <x v="2"/>
    <s v="Delhi"/>
    <x v="0"/>
    <s v="Chair"/>
    <s v="Chair 29"/>
    <n v="5"/>
    <n v="21108.9"/>
    <n v="0"/>
    <x v="1"/>
    <x v="0"/>
  </r>
  <r>
    <s v="ORD2395"/>
    <x v="570"/>
    <x v="429"/>
    <s v="Rahul"/>
    <x v="0"/>
    <s v="Pune"/>
    <x v="1"/>
    <s v="Phone"/>
    <s v="Phone 7"/>
    <n v="5"/>
    <n v="19431.34"/>
    <n v="10"/>
    <x v="0"/>
    <x v="3"/>
  </r>
  <r>
    <s v="ORD2396"/>
    <x v="298"/>
    <x v="108"/>
    <s v="Arjun"/>
    <x v="4"/>
    <s v="Mumbai"/>
    <x v="0"/>
    <s v="Table"/>
    <s v="Table 5"/>
    <n v="2"/>
    <n v="4002.12"/>
    <n v="10"/>
    <x v="2"/>
    <x v="1"/>
  </r>
  <r>
    <s v="ORD2398"/>
    <x v="453"/>
    <x v="141"/>
    <s v="Neha"/>
    <x v="0"/>
    <s v="Bengaluru"/>
    <x v="3"/>
    <s v="Paper"/>
    <s v="Paper 3"/>
    <n v="6"/>
    <n v="7401.7"/>
    <n v="20"/>
    <x v="1"/>
    <x v="0"/>
  </r>
  <r>
    <s v="ORD2399"/>
    <x v="91"/>
    <x v="279"/>
    <s v="Sneha"/>
    <x v="1"/>
    <s v="Jaipur"/>
    <x v="0"/>
    <s v="Table"/>
    <s v="Table 2"/>
    <n v="7"/>
    <n v="27627.33"/>
    <n v="10"/>
    <x v="3"/>
    <x v="1"/>
  </r>
  <r>
    <s v="ORD2400"/>
    <x v="405"/>
    <x v="576"/>
    <s v="Karan"/>
    <x v="3"/>
    <s v="Pune"/>
    <x v="1"/>
    <s v="Laptop"/>
    <s v="Laptop 8"/>
    <n v="3"/>
    <n v="3466.76"/>
    <n v="15"/>
    <x v="0"/>
    <x v="0"/>
  </r>
  <r>
    <s v="ORD2401"/>
    <x v="227"/>
    <x v="569"/>
    <s v="Karan "/>
    <x v="3"/>
    <s v="Pune"/>
    <x v="0"/>
    <s v="Chair"/>
    <s v="Chair 10"/>
    <n v="8"/>
    <n v="38659.699999999997"/>
    <n v="0"/>
    <x v="4"/>
    <x v="2"/>
  </r>
  <r>
    <s v="ORD2402"/>
    <x v="5"/>
    <x v="429"/>
    <s v="Priya "/>
    <x v="0"/>
    <s v="Bengaluru"/>
    <x v="3"/>
    <s v="Paper"/>
    <s v="Paper 24"/>
    <n v="2"/>
    <n v="9628.65"/>
    <n v="0"/>
    <x v="3"/>
    <x v="0"/>
  </r>
  <r>
    <s v="ORD2403"/>
    <x v="328"/>
    <x v="377"/>
    <s v="Neha"/>
    <x v="0"/>
    <s v="delhi "/>
    <x v="2"/>
    <s v="Phone"/>
    <s v="Phone 27"/>
    <n v="4"/>
    <n v="5750.39"/>
    <n v="10"/>
    <x v="3"/>
    <x v="3"/>
  </r>
  <r>
    <s v="ORD2404"/>
    <x v="359"/>
    <x v="663"/>
    <s v="Priya"/>
    <x v="4"/>
    <s v="Bengaluru"/>
    <x v="1"/>
    <s v="Phone"/>
    <s v="Phone 3"/>
    <n v="3"/>
    <n v="1320.86"/>
    <n v="5"/>
    <x v="3"/>
    <x v="1"/>
  </r>
  <r>
    <s v="ORD2406"/>
    <x v="544"/>
    <x v="664"/>
    <s v="Karan"/>
    <x v="4"/>
    <s v="Kolkata"/>
    <x v="1"/>
    <s v="Laptop"/>
    <s v="Laptop 25"/>
    <n v="4"/>
    <n v="18670.09"/>
    <n v="20"/>
    <x v="0"/>
    <x v="0"/>
  </r>
  <r>
    <s v="ORD2407"/>
    <x v="104"/>
    <x v="64"/>
    <s v="Riya"/>
    <x v="0"/>
    <s v="Mumbai"/>
    <x v="1"/>
    <s v="Phone"/>
    <s v="Phone 24"/>
    <n v="7"/>
    <n v="25461.37"/>
    <n v="0"/>
    <x v="0"/>
    <x v="3"/>
  </r>
  <r>
    <s v="ORD2408"/>
    <x v="571"/>
    <x v="324"/>
    <s v="Amit"/>
    <x v="0"/>
    <s v="Bengaluru"/>
    <x v="3"/>
    <s v="Paper"/>
    <s v="Paper 21"/>
    <n v="8"/>
    <n v="38537.58"/>
    <n v="0"/>
    <x v="1"/>
    <x v="0"/>
  </r>
  <r>
    <s v="ORD2410"/>
    <x v="430"/>
    <x v="477"/>
    <s v="Amit"/>
    <x v="3"/>
    <s v="Pune"/>
    <x v="1"/>
    <s v="Phone"/>
    <s v="Phone 14"/>
    <n v="5"/>
    <n v="7701.09"/>
    <n v="15"/>
    <x v="3"/>
    <x v="0"/>
  </r>
  <r>
    <s v="ORD2411"/>
    <x v="572"/>
    <x v="283"/>
    <s v="Arjun"/>
    <x v="1"/>
    <s v="Pune"/>
    <x v="1"/>
    <s v="Phone"/>
    <s v="Phone 1"/>
    <n v="7"/>
    <n v="16516.75"/>
    <s v="10 %"/>
    <x v="3"/>
    <x v="1"/>
  </r>
  <r>
    <s v="ORD2413"/>
    <x v="58"/>
    <x v="442"/>
    <s v="Neha"/>
    <x v="0"/>
    <s v="Bengaluru"/>
    <x v="1"/>
    <s v="Phone"/>
    <s v="Phone 8"/>
    <n v="5"/>
    <n v="13282"/>
    <n v="0"/>
    <x v="5"/>
    <x v="3"/>
  </r>
  <r>
    <s v="ORD2414"/>
    <x v="504"/>
    <x v="665"/>
    <s v="Rahul"/>
    <x v="0"/>
    <s v="Bengaluru"/>
    <x v="1"/>
    <s v="Phone"/>
    <s v="Phone 13"/>
    <n v="1"/>
    <n v="3538.26"/>
    <s v="10 %"/>
    <x v="1"/>
    <x v="2"/>
  </r>
  <r>
    <s v="ORD2415"/>
    <x v="460"/>
    <x v="535"/>
    <s v="Vikas"/>
    <x v="3"/>
    <s v="delhi "/>
    <x v="1"/>
    <s v="Phone"/>
    <s v="Phone 29"/>
    <n v="2"/>
    <n v="3533.05"/>
    <n v="10"/>
    <x v="5"/>
    <x v="3"/>
  </r>
  <r>
    <s v="ORD2416"/>
    <x v="220"/>
    <x v="312"/>
    <s v="Arjun"/>
    <x v="3"/>
    <s v="Pune"/>
    <x v="2"/>
    <s v="Phone"/>
    <s v="Phone 10"/>
    <n v="2"/>
    <n v="3858.38"/>
    <n v="10"/>
    <x v="5"/>
    <x v="0"/>
  </r>
  <r>
    <s v="ORD2417"/>
    <x v="276"/>
    <x v="555"/>
    <s v="Neha"/>
    <x v="1"/>
    <s v="Jaipur"/>
    <x v="2"/>
    <s v="Phone"/>
    <s v="Phone 3"/>
    <n v="2"/>
    <n v="6397.99"/>
    <n v="10"/>
    <x v="0"/>
    <x v="1"/>
  </r>
  <r>
    <s v="ORD2418"/>
    <x v="163"/>
    <x v="247"/>
    <s v="Neha"/>
    <x v="0"/>
    <s v="Mumbai"/>
    <x v="1"/>
    <s v="Phone"/>
    <s v="Phone 5"/>
    <n v="2"/>
    <n v="3969.39"/>
    <n v="5"/>
    <x v="3"/>
    <x v="0"/>
  </r>
  <r>
    <s v="ORD2419"/>
    <x v="194"/>
    <x v="666"/>
    <s v="Sneha"/>
    <x v="2"/>
    <s v="Mumbai"/>
    <x v="2"/>
    <s v="Phone"/>
    <s v="Phone 1"/>
    <n v="1"/>
    <n v="3593.69"/>
    <n v="15"/>
    <x v="3"/>
    <x v="0"/>
  </r>
  <r>
    <s v="ORD2420"/>
    <x v="7"/>
    <x v="536"/>
    <s v="Priya"/>
    <x v="4"/>
    <s v="delhi "/>
    <x v="0"/>
    <s v="Table"/>
    <s v="Table 30"/>
    <n v="4"/>
    <n v="6125.62"/>
    <n v="5"/>
    <x v="0"/>
    <x v="0"/>
  </r>
  <r>
    <s v="ORD2421"/>
    <x v="573"/>
    <x v="396"/>
    <s v="Karan"/>
    <x v="2"/>
    <s v="Kolkata"/>
    <x v="0"/>
    <s v="Chair"/>
    <s v="Chair 13"/>
    <n v="2"/>
    <n v="2836.03"/>
    <n v="5"/>
    <x v="2"/>
    <x v="2"/>
  </r>
  <r>
    <s v="ORD2422"/>
    <x v="502"/>
    <x v="593"/>
    <s v="Neha"/>
    <x v="0"/>
    <s v="Pune"/>
    <x v="1"/>
    <s v="Laptop"/>
    <s v="Laptop 5"/>
    <n v="10"/>
    <n v="4643.0600000000004"/>
    <n v="5"/>
    <x v="3"/>
    <x v="0"/>
  </r>
  <r>
    <s v="ORD2423"/>
    <x v="88"/>
    <x v="667"/>
    <s v="Amit"/>
    <x v="0"/>
    <s v="Mumbai"/>
    <x v="1"/>
    <s v="Phone"/>
    <s v="Phone 8"/>
    <n v="1"/>
    <n v="705.24"/>
    <s v="10 %"/>
    <x v="5"/>
    <x v="2"/>
  </r>
  <r>
    <s v="ORD2424"/>
    <x v="37"/>
    <x v="241"/>
    <s v="Karan"/>
    <x v="3"/>
    <s v="Delhi"/>
    <x v="2"/>
    <s v="Phone"/>
    <s v="Phone 9"/>
    <n v="8"/>
    <n v="23053.19"/>
    <n v="5"/>
    <x v="1"/>
    <x v="0"/>
  </r>
  <r>
    <s v="ORD2425"/>
    <x v="197"/>
    <x v="668"/>
    <s v="Sneha"/>
    <x v="1"/>
    <s v="Pune"/>
    <x v="1"/>
    <s v="Phone"/>
    <s v="Phone 25"/>
    <n v="4"/>
    <n v="10834.71"/>
    <n v="20"/>
    <x v="5"/>
    <x v="0"/>
  </r>
  <r>
    <s v="ORD2426"/>
    <x v="536"/>
    <x v="669"/>
    <s v="Arjun"/>
    <x v="4"/>
    <s v="Jaipur"/>
    <x v="1"/>
    <s v="Phone"/>
    <s v="Phone 30"/>
    <n v="7"/>
    <n v="8795.67"/>
    <n v="0"/>
    <x v="1"/>
    <x v="1"/>
  </r>
  <r>
    <s v="ORD2428"/>
    <x v="113"/>
    <x v="179"/>
    <s v="Rahul"/>
    <x v="1"/>
    <s v="Kolkata"/>
    <x v="1"/>
    <s v="Laptop"/>
    <s v="Laptop 24"/>
    <n v="3"/>
    <n v="13257.08"/>
    <n v="0"/>
    <x v="4"/>
    <x v="3"/>
  </r>
  <r>
    <s v="ORD2429"/>
    <x v="305"/>
    <x v="635"/>
    <s v="Priya"/>
    <x v="0"/>
    <s v="Kolkata"/>
    <x v="0"/>
    <s v="Table"/>
    <s v="Table 1"/>
    <n v="8"/>
    <n v="3171.72"/>
    <n v="10"/>
    <x v="5"/>
    <x v="0"/>
  </r>
  <r>
    <s v="ORD2430"/>
    <x v="186"/>
    <x v="280"/>
    <s v="Riya"/>
    <x v="4"/>
    <s v="Jaipur"/>
    <x v="3"/>
    <s v="Paper"/>
    <s v="Paper 30"/>
    <n v="9"/>
    <n v="28049.32"/>
    <s v="10 %"/>
    <x v="5"/>
    <x v="3"/>
  </r>
  <r>
    <s v="ORD2431"/>
    <x v="555"/>
    <x v="48"/>
    <s v="Anjali"/>
    <x v="0"/>
    <s v="Mumbai"/>
    <x v="3"/>
    <s v="Paper"/>
    <s v="Paper 6"/>
    <n v="7"/>
    <n v="8027.05"/>
    <n v="0"/>
    <x v="0"/>
    <x v="0"/>
  </r>
  <r>
    <s v="ORD2432"/>
    <x v="309"/>
    <x v="117"/>
    <s v="Anjali"/>
    <x v="4"/>
    <s v="Pune"/>
    <x v="3"/>
    <s v="Paper"/>
    <s v="Paper 13"/>
    <n v="8"/>
    <n v="19899.98"/>
    <n v="5"/>
    <x v="1"/>
    <x v="1"/>
  </r>
  <r>
    <s v="ORD2434"/>
    <x v="80"/>
    <x v="163"/>
    <s v="Rahul"/>
    <x v="2"/>
    <s v="Jaipur"/>
    <x v="3"/>
    <s v="Paper"/>
    <s v="Paper 14"/>
    <n v="4"/>
    <n v="11042.66"/>
    <n v="10"/>
    <x v="5"/>
    <x v="0"/>
  </r>
  <r>
    <s v="ORD2435"/>
    <x v="249"/>
    <x v="670"/>
    <s v="Amit"/>
    <x v="0"/>
    <s v="Pune"/>
    <x v="3"/>
    <s v="Paper"/>
    <s v="Paper 17"/>
    <n v="1"/>
    <n v="189.43"/>
    <n v="15"/>
    <x v="1"/>
    <x v="3"/>
  </r>
  <r>
    <s v="ORD2436"/>
    <x v="574"/>
    <x v="671"/>
    <s v="Vikas"/>
    <x v="0"/>
    <s v="Delhi"/>
    <x v="1"/>
    <s v="Phone"/>
    <s v="Phone 14"/>
    <n v="3"/>
    <n v="14529.26"/>
    <n v="0"/>
    <x v="3"/>
    <x v="3"/>
  </r>
  <r>
    <s v="ORD2438"/>
    <x v="314"/>
    <x v="225"/>
    <s v="Amit"/>
    <x v="0"/>
    <s v="Delhi"/>
    <x v="0"/>
    <s v="Table"/>
    <s v="Table 14"/>
    <n v="7"/>
    <n v="19198.63"/>
    <s v="10 %"/>
    <x v="4"/>
    <x v="0"/>
  </r>
  <r>
    <s v="ORD2439"/>
    <x v="320"/>
    <x v="11"/>
    <s v="Vikas"/>
    <x v="1"/>
    <s v="Delhi"/>
    <x v="2"/>
    <s v="Phone"/>
    <s v="Phone 11"/>
    <n v="10"/>
    <n v="31168.28"/>
    <n v="5"/>
    <x v="1"/>
    <x v="3"/>
  </r>
  <r>
    <s v="ORD2440"/>
    <x v="575"/>
    <x v="494"/>
    <s v="Anjali"/>
    <x v="0"/>
    <s v="Delhi"/>
    <x v="2"/>
    <s v="Phone"/>
    <s v="Phone 30"/>
    <n v="3"/>
    <n v="5850.74"/>
    <n v="10"/>
    <x v="2"/>
    <x v="1"/>
  </r>
  <r>
    <s v="ORD2441"/>
    <x v="271"/>
    <x v="207"/>
    <s v="Neha"/>
    <x v="4"/>
    <s v="Jaipur"/>
    <x v="1"/>
    <s v="Laptop"/>
    <s v="Laptop 6"/>
    <n v="10"/>
    <n v="33073.64"/>
    <n v="0"/>
    <x v="3"/>
    <x v="0"/>
  </r>
  <r>
    <s v="ORD2442"/>
    <x v="194"/>
    <x v="672"/>
    <s v="Anjali"/>
    <x v="0"/>
    <s v="Kolkata"/>
    <x v="0"/>
    <s v="Table"/>
    <s v="Table 27"/>
    <n v="10"/>
    <n v="20966.47"/>
    <n v="15"/>
    <x v="4"/>
    <x v="0"/>
  </r>
  <r>
    <s v="ORD2443"/>
    <x v="365"/>
    <x v="423"/>
    <s v="Vikas"/>
    <x v="2"/>
    <s v="Jaipur"/>
    <x v="1"/>
    <s v="Laptop"/>
    <s v="Laptop 29"/>
    <n v="4"/>
    <n v="7320.44"/>
    <n v="10"/>
    <x v="1"/>
    <x v="3"/>
  </r>
  <r>
    <s v="ORD2444"/>
    <x v="384"/>
    <x v="43"/>
    <s v="Rahul"/>
    <x v="2"/>
    <s v="Delhi"/>
    <x v="0"/>
    <s v="Chair"/>
    <s v="Chair 16"/>
    <n v="4"/>
    <n v="19431.2"/>
    <n v="5"/>
    <x v="2"/>
    <x v="2"/>
  </r>
  <r>
    <s v="ORD2445"/>
    <x v="576"/>
    <x v="407"/>
    <s v="Neha"/>
    <x v="0"/>
    <s v="Delhi"/>
    <x v="1"/>
    <s v="Laptop"/>
    <s v="Laptop 29"/>
    <n v="10"/>
    <n v="18457.23"/>
    <n v="5"/>
    <x v="3"/>
    <x v="3"/>
  </r>
  <r>
    <s v="ORD2446"/>
    <x v="577"/>
    <x v="414"/>
    <s v="Anjali"/>
    <x v="0"/>
    <s v="Jaipur"/>
    <x v="1"/>
    <s v="Phone"/>
    <s v="Phone 7"/>
    <n v="1"/>
    <n v="2822.58"/>
    <n v="5"/>
    <x v="1"/>
    <x v="0"/>
  </r>
  <r>
    <s v="ORD2447"/>
    <x v="431"/>
    <x v="499"/>
    <s v="Riya"/>
    <x v="1"/>
    <s v="Mumbai"/>
    <x v="0"/>
    <s v="Chair"/>
    <s v="Chair 8"/>
    <n v="5"/>
    <n v="22167.17"/>
    <n v="0"/>
    <x v="5"/>
    <x v="3"/>
  </r>
  <r>
    <s v="ORD2448"/>
    <x v="202"/>
    <x v="534"/>
    <s v="Arjun"/>
    <x v="0"/>
    <s v="Delhi"/>
    <x v="0"/>
    <s v="Table"/>
    <s v="Table 4"/>
    <n v="10"/>
    <n v="8274.32"/>
    <s v="10 %"/>
    <x v="0"/>
    <x v="3"/>
  </r>
  <r>
    <s v="ORD2449"/>
    <x v="578"/>
    <x v="574"/>
    <s v="Riya"/>
    <x v="1"/>
    <s v="Delhi"/>
    <x v="3"/>
    <s v="Paper"/>
    <s v="Paper 13"/>
    <n v="5"/>
    <n v="8445.5499999999993"/>
    <n v="20"/>
    <x v="4"/>
    <x v="0"/>
  </r>
  <r>
    <s v="ORD2450"/>
    <x v="120"/>
    <x v="325"/>
    <s v="Neha"/>
    <x v="0"/>
    <s v="Bengaluru"/>
    <x v="0"/>
    <s v="Table"/>
    <s v="Table 12"/>
    <n v="4"/>
    <n v="3089.36"/>
    <n v="10"/>
    <x v="3"/>
    <x v="2"/>
  </r>
  <r>
    <s v="ORD2451"/>
    <x v="168"/>
    <x v="444"/>
    <s v="Neha"/>
    <x v="4"/>
    <s v="Delhi"/>
    <x v="3"/>
    <s v="Paper"/>
    <s v="Paper 18"/>
    <n v="5"/>
    <n v="15462.48"/>
    <n v="5"/>
    <x v="0"/>
    <x v="0"/>
  </r>
  <r>
    <s v="ORD2452"/>
    <x v="340"/>
    <x v="673"/>
    <s v="Rahul "/>
    <x v="4"/>
    <s v="Kolkata"/>
    <x v="3"/>
    <s v="Paper"/>
    <s v="Paper 18"/>
    <n v="3"/>
    <n v="10463.290000000001"/>
    <n v="20"/>
    <x v="3"/>
    <x v="0"/>
  </r>
  <r>
    <s v="ORD2453"/>
    <x v="298"/>
    <x v="478"/>
    <s v="Rahul"/>
    <x v="0"/>
    <s v="Delhi"/>
    <x v="1"/>
    <s v="Laptop"/>
    <s v="Laptop 26"/>
    <n v="5"/>
    <n v="24497.439999999999"/>
    <n v="5"/>
    <x v="4"/>
    <x v="0"/>
  </r>
  <r>
    <s v="ORD2457"/>
    <x v="108"/>
    <x v="131"/>
    <s v="Anjali"/>
    <x v="0"/>
    <s v="delhi "/>
    <x v="2"/>
    <s v="Phone"/>
    <s v="Phone 23"/>
    <n v="9"/>
    <n v="31819.94"/>
    <n v="20"/>
    <x v="3"/>
    <x v="0"/>
  </r>
  <r>
    <s v="ORD2458"/>
    <x v="193"/>
    <x v="674"/>
    <s v="Rahul"/>
    <x v="3"/>
    <s v="Kolkata"/>
    <x v="1"/>
    <s v="Laptop"/>
    <s v="Laptop 15"/>
    <n v="5"/>
    <n v="10712.62"/>
    <n v="0"/>
    <x v="0"/>
    <x v="3"/>
  </r>
  <r>
    <s v="ORD2459"/>
    <x v="39"/>
    <x v="20"/>
    <s v="Anjali"/>
    <x v="0"/>
    <s v="Kolkata"/>
    <x v="0"/>
    <s v="Table"/>
    <s v="Table 21"/>
    <n v="9"/>
    <n v="19636.669999999998"/>
    <n v="0"/>
    <x v="1"/>
    <x v="1"/>
  </r>
  <r>
    <s v="ORD2460"/>
    <x v="553"/>
    <x v="470"/>
    <s v="Riya"/>
    <x v="0"/>
    <s v="Pune"/>
    <x v="0"/>
    <s v="Table"/>
    <s v="Table 1"/>
    <n v="3"/>
    <n v="12708.27"/>
    <s v="10 %"/>
    <x v="2"/>
    <x v="0"/>
  </r>
  <r>
    <s v="ORD2461"/>
    <x v="74"/>
    <x v="340"/>
    <s v="Rahul "/>
    <x v="0"/>
    <s v="Jaipur"/>
    <x v="2"/>
    <s v="Phone"/>
    <s v="Phone 27"/>
    <n v="3"/>
    <n v="12635.33"/>
    <s v="10 %"/>
    <x v="4"/>
    <x v="1"/>
  </r>
  <r>
    <s v="ORD2462"/>
    <x v="300"/>
    <x v="264"/>
    <s v="Riya"/>
    <x v="2"/>
    <s v="Bengaluru"/>
    <x v="1"/>
    <s v="Laptop"/>
    <s v="Laptop 6"/>
    <n v="3"/>
    <n v="11487.77"/>
    <n v="0"/>
    <x v="4"/>
    <x v="3"/>
  </r>
  <r>
    <s v="ORD2463"/>
    <x v="149"/>
    <x v="71"/>
    <s v="Vikas"/>
    <x v="3"/>
    <s v="Jaipur"/>
    <x v="0"/>
    <s v="Chair"/>
    <s v="Chair 14"/>
    <n v="4"/>
    <n v="2932.08"/>
    <n v="20"/>
    <x v="0"/>
    <x v="3"/>
  </r>
  <r>
    <s v="ORD2464"/>
    <x v="424"/>
    <x v="675"/>
    <s v="Sneha"/>
    <x v="3"/>
    <s v="Pune"/>
    <x v="0"/>
    <s v="Chair"/>
    <s v="Chair 23"/>
    <n v="6"/>
    <n v="22758.32"/>
    <n v="5"/>
    <x v="3"/>
    <x v="2"/>
  </r>
  <r>
    <s v="ORD2465"/>
    <x v="46"/>
    <x v="287"/>
    <s v="Karan"/>
    <x v="0"/>
    <s v="Bengaluru"/>
    <x v="0"/>
    <s v="Chair"/>
    <s v="Chair 9"/>
    <n v="5"/>
    <n v="17672.38"/>
    <n v="5"/>
    <x v="1"/>
    <x v="2"/>
  </r>
  <r>
    <s v="ORD2466"/>
    <x v="574"/>
    <x v="676"/>
    <s v="Sneha"/>
    <x v="1"/>
    <s v="Jaipur"/>
    <x v="0"/>
    <s v="Chair"/>
    <s v="Chair 24"/>
    <n v="5"/>
    <n v="20760.18"/>
    <n v="15"/>
    <x v="2"/>
    <x v="3"/>
  </r>
  <r>
    <s v="ORD2467"/>
    <x v="557"/>
    <x v="145"/>
    <s v="Vikas"/>
    <x v="2"/>
    <s v="Bengaluru"/>
    <x v="2"/>
    <s v="Phone"/>
    <s v="Phone 30"/>
    <n v="1"/>
    <n v="1170.6600000000001"/>
    <n v="0"/>
    <x v="1"/>
    <x v="3"/>
  </r>
  <r>
    <s v="ORD2470"/>
    <x v="156"/>
    <x v="201"/>
    <s v="Rahul"/>
    <x v="0"/>
    <s v="Mumbai"/>
    <x v="1"/>
    <s v="Phone"/>
    <s v="Phone 26"/>
    <n v="3"/>
    <n v="12423.76"/>
    <n v="15"/>
    <x v="4"/>
    <x v="1"/>
  </r>
  <r>
    <s v="ORD2471"/>
    <x v="504"/>
    <x v="677"/>
    <s v="Riya"/>
    <x v="3"/>
    <s v="Delhi"/>
    <x v="3"/>
    <s v="Paper"/>
    <s v="Paper 16"/>
    <n v="9"/>
    <n v="20993.56"/>
    <n v="0"/>
    <x v="1"/>
    <x v="3"/>
  </r>
  <r>
    <s v="ORD2472"/>
    <x v="579"/>
    <x v="678"/>
    <s v="Rahul"/>
    <x v="3"/>
    <s v="Kolkata"/>
    <x v="2"/>
    <s v="Phone"/>
    <s v="Phone 6"/>
    <n v="5"/>
    <n v="1474.63"/>
    <s v="10 %"/>
    <x v="2"/>
    <x v="3"/>
  </r>
  <r>
    <s v="ORD2473"/>
    <x v="349"/>
    <x v="546"/>
    <s v="Arjun"/>
    <x v="4"/>
    <s v="Kolkata"/>
    <x v="3"/>
    <s v="Paper"/>
    <s v="Paper 16"/>
    <n v="2"/>
    <n v="2216.58"/>
    <n v="15"/>
    <x v="1"/>
    <x v="3"/>
  </r>
  <r>
    <s v="ORD2474"/>
    <x v="453"/>
    <x v="238"/>
    <s v="Priya"/>
    <x v="4"/>
    <s v="Mumbai"/>
    <x v="0"/>
    <s v="Chair"/>
    <s v="Chair 12"/>
    <n v="6"/>
    <n v="13806.01"/>
    <s v="10 %"/>
    <x v="2"/>
    <x v="0"/>
  </r>
  <r>
    <s v="ORD2475"/>
    <x v="580"/>
    <x v="163"/>
    <s v="Amit"/>
    <x v="0"/>
    <s v="Kolkata"/>
    <x v="1"/>
    <s v="Phone"/>
    <s v="Phone 8"/>
    <n v="5"/>
    <n v="10351.85"/>
    <n v="5"/>
    <x v="3"/>
    <x v="3"/>
  </r>
  <r>
    <s v="ORD2476"/>
    <x v="581"/>
    <x v="26"/>
    <s v="Neha"/>
    <x v="0"/>
    <s v="Jaipur"/>
    <x v="0"/>
    <s v="Chair"/>
    <s v="Chair 15"/>
    <n v="-1"/>
    <n v="3949.77"/>
    <n v="10"/>
    <x v="1"/>
    <x v="1"/>
  </r>
  <r>
    <s v="ORD2477"/>
    <x v="582"/>
    <x v="86"/>
    <s v="Arjun"/>
    <x v="3"/>
    <s v="Jaipur"/>
    <x v="3"/>
    <s v="Paper"/>
    <s v="Paper 25"/>
    <n v="9"/>
    <n v="24789.919999999998"/>
    <n v="15"/>
    <x v="5"/>
    <x v="3"/>
  </r>
  <r>
    <s v="ORD2478"/>
    <x v="583"/>
    <x v="196"/>
    <s v="Arjun"/>
    <x v="2"/>
    <s v="Bengaluru"/>
    <x v="3"/>
    <s v="Paper"/>
    <s v="Paper 25"/>
    <n v="3"/>
    <n v="706.04"/>
    <n v="0"/>
    <x v="2"/>
    <x v="0"/>
  </r>
  <r>
    <s v="ORD2479"/>
    <x v="397"/>
    <x v="452"/>
    <s v="Neha"/>
    <x v="4"/>
    <s v="Mumbai"/>
    <x v="0"/>
    <s v="Chair"/>
    <s v="Chair 19"/>
    <n v="2"/>
    <n v="6679.49"/>
    <n v="10"/>
    <x v="3"/>
    <x v="3"/>
  </r>
  <r>
    <s v="ORD2480"/>
    <x v="451"/>
    <x v="569"/>
    <s v="Sneha"/>
    <x v="1"/>
    <s v="delhi "/>
    <x v="1"/>
    <s v="Laptop"/>
    <s v="Laptop 30"/>
    <n v="10"/>
    <n v="33910.86"/>
    <n v="10"/>
    <x v="1"/>
    <x v="2"/>
  </r>
  <r>
    <s v="ORD2481"/>
    <x v="373"/>
    <x v="679"/>
    <s v="Karan"/>
    <x v="4"/>
    <s v="Bengaluru"/>
    <x v="0"/>
    <s v="Chair"/>
    <s v="Chair 18"/>
    <n v="8"/>
    <n v="19579.189999999999"/>
    <n v="5"/>
    <x v="5"/>
    <x v="3"/>
  </r>
  <r>
    <s v="ORD2482"/>
    <x v="376"/>
    <x v="35"/>
    <s v="Karan"/>
    <x v="0"/>
    <s v="Kolkata"/>
    <x v="1"/>
    <s v="Phone"/>
    <s v="Phone 6"/>
    <n v="7"/>
    <n v="15955.62"/>
    <n v="20"/>
    <x v="2"/>
    <x v="0"/>
  </r>
  <r>
    <s v="ORD2483"/>
    <x v="583"/>
    <x v="649"/>
    <s v="Anjali"/>
    <x v="0"/>
    <s v="Kolkata"/>
    <x v="2"/>
    <s v="Phone"/>
    <s v="Phone 15"/>
    <n v="9"/>
    <n v="23514.43"/>
    <n v="20"/>
    <x v="5"/>
    <x v="2"/>
  </r>
  <r>
    <s v="ORD2484"/>
    <x v="225"/>
    <x v="680"/>
    <s v="Amit"/>
    <x v="2"/>
    <s v="Bengaluru"/>
    <x v="0"/>
    <s v="Table"/>
    <s v="Table 4"/>
    <n v="7"/>
    <n v="14925.36"/>
    <s v="10 %"/>
    <x v="5"/>
    <x v="2"/>
  </r>
  <r>
    <s v="ORD2485"/>
    <x v="520"/>
    <x v="471"/>
    <s v="Rahul"/>
    <x v="2"/>
    <s v="Bengaluru"/>
    <x v="3"/>
    <s v="Paper"/>
    <s v="Paper 6"/>
    <n v="5"/>
    <n v="2205.14"/>
    <n v="0"/>
    <x v="1"/>
    <x v="0"/>
  </r>
  <r>
    <s v="ORD2486"/>
    <x v="183"/>
    <x v="656"/>
    <s v="Anjali"/>
    <x v="1"/>
    <s v="Kolkata"/>
    <x v="0"/>
    <s v="Table"/>
    <s v="Table 22"/>
    <n v="6"/>
    <n v="4752.8100000000004"/>
    <s v="10 %"/>
    <x v="4"/>
    <x v="3"/>
  </r>
  <r>
    <s v="ORD2487"/>
    <x v="438"/>
    <x v="56"/>
    <s v="Arjun"/>
    <x v="3"/>
    <s v="Delhi"/>
    <x v="1"/>
    <s v="Phone"/>
    <s v="Phone 25"/>
    <n v="4"/>
    <n v="12070.89"/>
    <s v="10 %"/>
    <x v="4"/>
    <x v="1"/>
  </r>
  <r>
    <s v="ORD2488"/>
    <x v="211"/>
    <x v="681"/>
    <s v="Karan"/>
    <x v="3"/>
    <s v="Pune"/>
    <x v="3"/>
    <s v="Paper"/>
    <s v="Paper 1"/>
    <n v="3"/>
    <n v="1232.8800000000001"/>
    <n v="5"/>
    <x v="5"/>
    <x v="2"/>
  </r>
  <r>
    <s v="ORD2489"/>
    <x v="287"/>
    <x v="618"/>
    <s v="Vikas"/>
    <x v="3"/>
    <s v="delhi "/>
    <x v="1"/>
    <s v="Laptop"/>
    <s v="Laptop 8"/>
    <n v="6"/>
    <n v="9107.84"/>
    <n v="20"/>
    <x v="1"/>
    <x v="2"/>
  </r>
  <r>
    <s v="ORD2490"/>
    <x v="434"/>
    <x v="645"/>
    <s v="Amit"/>
    <x v="4"/>
    <s v="Delhi"/>
    <x v="0"/>
    <s v="Chair"/>
    <s v="Chair 6"/>
    <n v="6"/>
    <n v="21707.69"/>
    <n v="5"/>
    <x v="5"/>
    <x v="3"/>
  </r>
  <r>
    <s v="ORD2491"/>
    <x v="86"/>
    <x v="336"/>
    <s v="Sneha "/>
    <x v="3"/>
    <s v="Bengaluru"/>
    <x v="0"/>
    <s v="Chair"/>
    <s v="Chair 28"/>
    <n v="9"/>
    <n v="33878.269999999997"/>
    <n v="0"/>
    <x v="5"/>
    <x v="2"/>
  </r>
  <r>
    <s v="ORD2492"/>
    <x v="584"/>
    <x v="682"/>
    <s v="Arjun"/>
    <x v="4"/>
    <s v="delhi "/>
    <x v="0"/>
    <s v="Chair"/>
    <s v="Chair 9"/>
    <n v="10"/>
    <n v="6664.4"/>
    <n v="15"/>
    <x v="4"/>
    <x v="0"/>
  </r>
  <r>
    <s v="ORD2493"/>
    <x v="532"/>
    <x v="508"/>
    <s v="Anjali"/>
    <x v="4"/>
    <s v="Delhi"/>
    <x v="2"/>
    <s v="Phone"/>
    <s v="Phone 25"/>
    <n v="5"/>
    <n v="11147.66"/>
    <n v="20"/>
    <x v="2"/>
    <x v="2"/>
  </r>
  <r>
    <s v="ORD2494"/>
    <x v="585"/>
    <x v="254"/>
    <s v="Anjali"/>
    <x v="4"/>
    <s v="delhi "/>
    <x v="3"/>
    <s v="Paper"/>
    <s v="Paper 6"/>
    <n v="3"/>
    <n v="9237.1299999999992"/>
    <s v="10 %"/>
    <x v="0"/>
    <x v="0"/>
  </r>
  <r>
    <s v="ORD2495"/>
    <x v="298"/>
    <x v="446"/>
    <s v="Amit"/>
    <x v="0"/>
    <s v="Delhi"/>
    <x v="0"/>
    <s v="Chair"/>
    <s v="Chair 1"/>
    <n v="6"/>
    <n v="14343.58"/>
    <n v="5"/>
    <x v="4"/>
    <x v="3"/>
  </r>
  <r>
    <s v="ORD2498"/>
    <x v="353"/>
    <x v="664"/>
    <s v="Arjun"/>
    <x v="4"/>
    <s v="Mumbai"/>
    <x v="1"/>
    <s v="Phone"/>
    <s v="Phone 3"/>
    <n v="2"/>
    <n v="6071.14"/>
    <n v="20"/>
    <x v="2"/>
    <x v="2"/>
  </r>
  <r>
    <s v="ORD2499"/>
    <x v="554"/>
    <x v="605"/>
    <s v="Neha"/>
    <x v="2"/>
    <s v="Jaipur"/>
    <x v="2"/>
    <s v="Phone"/>
    <s v="Phone 24"/>
    <n v="1"/>
    <n v="2213.17"/>
    <n v="20"/>
    <x v="0"/>
    <x v="3"/>
  </r>
  <r>
    <s v="ORD2501"/>
    <x v="586"/>
    <x v="40"/>
    <s v="Amit"/>
    <x v="0"/>
    <s v="delhi "/>
    <x v="3"/>
    <s v="Paper"/>
    <s v="Paper 12"/>
    <n v="9"/>
    <n v="5945.04"/>
    <n v="20"/>
    <x v="3"/>
    <x v="3"/>
  </r>
  <r>
    <s v="ORD2502"/>
    <x v="587"/>
    <x v="322"/>
    <s v="Neha"/>
    <x v="0"/>
    <s v="Bengaluru"/>
    <x v="1"/>
    <s v="Laptop"/>
    <s v="Laptop 3"/>
    <n v="9"/>
    <n v="37597.78"/>
    <n v="20"/>
    <x v="2"/>
    <x v="1"/>
  </r>
  <r>
    <s v="ORD2503"/>
    <x v="83"/>
    <x v="460"/>
    <s v="Arjun"/>
    <x v="3"/>
    <s v="Kolkata"/>
    <x v="1"/>
    <s v="Laptop"/>
    <s v="Laptop 13"/>
    <n v="3"/>
    <n v="9076.76"/>
    <n v="15"/>
    <x v="0"/>
    <x v="2"/>
  </r>
  <r>
    <s v="ORD2504"/>
    <x v="445"/>
    <x v="531"/>
    <s v="Priya"/>
    <x v="0"/>
    <s v="Jaipur"/>
    <x v="0"/>
    <s v="Chair"/>
    <s v="Chair 27"/>
    <n v="8"/>
    <n v="4061.23"/>
    <n v="10"/>
    <x v="0"/>
    <x v="1"/>
  </r>
  <r>
    <s v="ORD2505"/>
    <x v="480"/>
    <x v="683"/>
    <s v="Riya"/>
    <x v="1"/>
    <s v="Mumbai"/>
    <x v="2"/>
    <s v="Phone"/>
    <s v="Phone 30"/>
    <n v="3"/>
    <n v="1546.36"/>
    <n v="15"/>
    <x v="1"/>
    <x v="0"/>
  </r>
  <r>
    <s v="ORD2506"/>
    <x v="369"/>
    <x v="316"/>
    <s v="Riya "/>
    <x v="3"/>
    <s v="Delhi"/>
    <x v="3"/>
    <s v="Paper"/>
    <s v="Paper 24"/>
    <n v="5"/>
    <n v="19174.63"/>
    <s v="10 %"/>
    <x v="4"/>
    <x v="0"/>
  </r>
  <r>
    <s v="ORD2508"/>
    <x v="493"/>
    <x v="133"/>
    <s v="Priya"/>
    <x v="4"/>
    <s v="Mumbai"/>
    <x v="0"/>
    <s v="Chair"/>
    <s v="Chair 11"/>
    <n v="3"/>
    <n v="13393.05"/>
    <n v="20"/>
    <x v="2"/>
    <x v="3"/>
  </r>
  <r>
    <s v="ORD2509"/>
    <x v="67"/>
    <x v="609"/>
    <s v="Neha"/>
    <x v="0"/>
    <s v="Jaipur"/>
    <x v="1"/>
    <s v="Phone"/>
    <s v="Phone 7"/>
    <n v="2"/>
    <n v="4201.91"/>
    <n v="10"/>
    <x v="0"/>
    <x v="3"/>
  </r>
  <r>
    <s v="ORD2511"/>
    <x v="46"/>
    <x v="529"/>
    <s v="Anjali"/>
    <x v="0"/>
    <s v="Jaipur"/>
    <x v="0"/>
    <s v="Table"/>
    <s v="Table 5"/>
    <n v="7"/>
    <n v="9523.09"/>
    <s v="10 %"/>
    <x v="5"/>
    <x v="2"/>
  </r>
  <r>
    <s v="ORD2512"/>
    <x v="567"/>
    <x v="446"/>
    <s v="Amit"/>
    <x v="0"/>
    <s v="Pune"/>
    <x v="0"/>
    <s v="Chair"/>
    <s v="Chair 29"/>
    <n v="9"/>
    <n v="43130.97"/>
    <n v="15"/>
    <x v="1"/>
    <x v="3"/>
  </r>
  <r>
    <s v="ORD2513"/>
    <x v="430"/>
    <x v="8"/>
    <s v="Vikas"/>
    <x v="4"/>
    <s v="delhi "/>
    <x v="2"/>
    <s v="Phone"/>
    <s v="Phone 11"/>
    <n v="10"/>
    <n v="3580.98"/>
    <n v="15"/>
    <x v="1"/>
    <x v="0"/>
  </r>
  <r>
    <s v="ORD2514"/>
    <x v="278"/>
    <x v="110"/>
    <s v="Sneha"/>
    <x v="0"/>
    <s v="Kolkata"/>
    <x v="2"/>
    <s v="Phone"/>
    <s v="Phone 3"/>
    <n v="8"/>
    <n v="6537.6"/>
    <n v="10"/>
    <x v="5"/>
    <x v="1"/>
  </r>
  <r>
    <s v="ORD2516"/>
    <x v="243"/>
    <x v="58"/>
    <s v="Vikas"/>
    <x v="0"/>
    <s v="Delhi"/>
    <x v="0"/>
    <s v="Chair"/>
    <s v="Chair 9"/>
    <n v="5"/>
    <n v="6663.64"/>
    <s v="10 %"/>
    <x v="4"/>
    <x v="1"/>
  </r>
  <r>
    <s v="ORD2517"/>
    <x v="130"/>
    <x v="684"/>
    <s v="Riya"/>
    <x v="2"/>
    <s v="Pune"/>
    <x v="0"/>
    <s v="Table"/>
    <s v="Table 14"/>
    <n v="9"/>
    <n v="14712.93"/>
    <n v="5"/>
    <x v="0"/>
    <x v="0"/>
  </r>
  <r>
    <s v="ORD2519"/>
    <x v="495"/>
    <x v="685"/>
    <s v="Anjali"/>
    <x v="3"/>
    <s v="Jaipur"/>
    <x v="0"/>
    <s v="Table"/>
    <s v="Table 5"/>
    <n v="10"/>
    <n v="43182.36"/>
    <n v="20"/>
    <x v="5"/>
    <x v="0"/>
  </r>
  <r>
    <s v="ORD2520"/>
    <x v="588"/>
    <x v="686"/>
    <s v="Rahul"/>
    <x v="3"/>
    <s v="Kolkata"/>
    <x v="3"/>
    <s v="Paper"/>
    <s v="Paper 27"/>
    <n v="9"/>
    <n v="32411.18"/>
    <n v="10"/>
    <x v="2"/>
    <x v="3"/>
  </r>
  <r>
    <s v="ORD2521"/>
    <x v="401"/>
    <x v="687"/>
    <s v="Priya"/>
    <x v="4"/>
    <s v="Mumbai"/>
    <x v="1"/>
    <s v="Laptop"/>
    <s v="Laptop 27"/>
    <n v="1"/>
    <n v="3443.27"/>
    <n v="15"/>
    <x v="0"/>
    <x v="3"/>
  </r>
  <r>
    <s v="ORD2523"/>
    <x v="156"/>
    <x v="172"/>
    <s v="Vikas"/>
    <x v="0"/>
    <s v="delhi "/>
    <x v="2"/>
    <s v="Phone"/>
    <s v="Phone 24"/>
    <n v="9"/>
    <n v="27842.06"/>
    <n v="0"/>
    <x v="4"/>
    <x v="0"/>
  </r>
  <r>
    <s v="ORD2524"/>
    <x v="470"/>
    <x v="380"/>
    <s v="Rahul"/>
    <x v="4"/>
    <s v="Bengaluru"/>
    <x v="1"/>
    <s v="Laptop"/>
    <s v="Laptop 22"/>
    <n v="7"/>
    <n v="22482.42"/>
    <n v="20"/>
    <x v="4"/>
    <x v="0"/>
  </r>
  <r>
    <s v="ORD2525"/>
    <x v="50"/>
    <x v="688"/>
    <s v="Amit"/>
    <x v="3"/>
    <s v="Bengaluru"/>
    <x v="0"/>
    <s v="Table"/>
    <s v="Table 29"/>
    <n v="8"/>
    <n v="6143.02"/>
    <n v="20"/>
    <x v="2"/>
    <x v="3"/>
  </r>
  <r>
    <s v="ORD2526"/>
    <x v="503"/>
    <x v="689"/>
    <s v="Amit"/>
    <x v="1"/>
    <s v="Delhi"/>
    <x v="0"/>
    <s v="Chair"/>
    <s v="Chair 19"/>
    <n v="4"/>
    <n v="2656.76"/>
    <n v="10"/>
    <x v="3"/>
    <x v="2"/>
  </r>
  <r>
    <s v="ORD2527"/>
    <x v="141"/>
    <x v="371"/>
    <s v="Vikas"/>
    <x v="0"/>
    <s v="Pune"/>
    <x v="1"/>
    <s v="Phone"/>
    <s v="Phone 16"/>
    <n v="10"/>
    <n v="49542.77"/>
    <n v="10"/>
    <x v="0"/>
    <x v="0"/>
  </r>
  <r>
    <s v="ORD2529"/>
    <x v="386"/>
    <x v="192"/>
    <s v="Anjali"/>
    <x v="0"/>
    <s v="Kolkata"/>
    <x v="1"/>
    <s v="Laptop"/>
    <s v="Laptop 25"/>
    <n v="2"/>
    <n v="4867.05"/>
    <n v="10"/>
    <x v="4"/>
    <x v="1"/>
  </r>
  <r>
    <s v="ORD2530"/>
    <x v="451"/>
    <x v="690"/>
    <s v="Riya"/>
    <x v="2"/>
    <s v="Bengaluru"/>
    <x v="3"/>
    <s v="Paper"/>
    <s v="Paper 7"/>
    <n v="5"/>
    <n v="17262.3"/>
    <n v="10"/>
    <x v="5"/>
    <x v="3"/>
  </r>
  <r>
    <s v="ORD2532"/>
    <x v="501"/>
    <x v="110"/>
    <s v="Riya"/>
    <x v="0"/>
    <s v="Pune"/>
    <x v="0"/>
    <s v="Table"/>
    <s v="Table 26"/>
    <n v="6"/>
    <n v="20361.189999999999"/>
    <n v="10"/>
    <x v="2"/>
    <x v="1"/>
  </r>
  <r>
    <s v="ORD2533"/>
    <x v="539"/>
    <x v="691"/>
    <s v="Arjun "/>
    <x v="2"/>
    <s v="Kolkata"/>
    <x v="3"/>
    <s v="Paper"/>
    <s v="Paper 26"/>
    <n v="4"/>
    <n v="14331.41"/>
    <n v="10"/>
    <x v="3"/>
    <x v="1"/>
  </r>
  <r>
    <s v="ORD2534"/>
    <x v="401"/>
    <x v="611"/>
    <s v="Amit"/>
    <x v="0"/>
    <s v="Jaipur"/>
    <x v="0"/>
    <s v="Table"/>
    <s v="Table 26"/>
    <n v="9"/>
    <n v="2495.35"/>
    <n v="5"/>
    <x v="3"/>
    <x v="2"/>
  </r>
  <r>
    <s v="ORD2535"/>
    <x v="589"/>
    <x v="692"/>
    <s v="Vikas"/>
    <x v="0"/>
    <s v="Delhi"/>
    <x v="3"/>
    <s v="Paper"/>
    <s v="Paper 1"/>
    <n v="3"/>
    <n v="12950.31"/>
    <n v="0"/>
    <x v="3"/>
    <x v="0"/>
  </r>
  <r>
    <s v="ORD2536"/>
    <x v="495"/>
    <x v="693"/>
    <s v="Riya"/>
    <x v="0"/>
    <s v="Delhi"/>
    <x v="2"/>
    <s v="Phone"/>
    <s v="Phone 5"/>
    <n v="3"/>
    <n v="11023.06"/>
    <n v="20"/>
    <x v="3"/>
    <x v="3"/>
  </r>
  <r>
    <s v="ORD2537"/>
    <x v="574"/>
    <x v="627"/>
    <s v="Priya"/>
    <x v="1"/>
    <s v="delhi "/>
    <x v="1"/>
    <s v="Phone"/>
    <s v="Phone 17"/>
    <n v="10"/>
    <n v="17332.240000000002"/>
    <n v="5"/>
    <x v="2"/>
    <x v="1"/>
  </r>
  <r>
    <s v="ORD2538"/>
    <x v="319"/>
    <x v="72"/>
    <s v="Neha"/>
    <x v="0"/>
    <s v="Delhi"/>
    <x v="1"/>
    <s v="Phone"/>
    <s v="Phone 6"/>
    <n v="10"/>
    <n v="7512.13"/>
    <n v="0"/>
    <x v="1"/>
    <x v="3"/>
  </r>
  <r>
    <s v="ORD2539"/>
    <x v="52"/>
    <x v="154"/>
    <s v="Anjali"/>
    <x v="2"/>
    <s v="Kolkata"/>
    <x v="1"/>
    <s v="Phone"/>
    <s v="Phone 5"/>
    <n v="2"/>
    <n v="7785.76"/>
    <n v="5"/>
    <x v="0"/>
    <x v="1"/>
  </r>
  <r>
    <s v="ORD2540"/>
    <x v="274"/>
    <x v="585"/>
    <s v="Sneha "/>
    <x v="0"/>
    <s v="Bengaluru"/>
    <x v="1"/>
    <s v="Phone"/>
    <s v="Phone 8"/>
    <n v="1"/>
    <n v="3988.4"/>
    <n v="5"/>
    <x v="5"/>
    <x v="2"/>
  </r>
  <r>
    <s v="ORD2541"/>
    <x v="523"/>
    <x v="348"/>
    <s v="Riya"/>
    <x v="4"/>
    <s v="Pune"/>
    <x v="0"/>
    <s v="Chair"/>
    <s v="Chair 13"/>
    <n v="4"/>
    <n v="13674.4"/>
    <n v="0"/>
    <x v="0"/>
    <x v="0"/>
  </r>
  <r>
    <s v="ORD2542"/>
    <x v="590"/>
    <x v="668"/>
    <s v="Neha "/>
    <x v="0"/>
    <s v="Pune"/>
    <x v="3"/>
    <s v="Paper"/>
    <s v="Paper 6"/>
    <n v="2"/>
    <n v="8036.98"/>
    <s v="10 %"/>
    <x v="4"/>
    <x v="2"/>
  </r>
  <r>
    <s v="ORD2543"/>
    <x v="246"/>
    <x v="358"/>
    <s v="Karan"/>
    <x v="0"/>
    <s v="Jaipur"/>
    <x v="1"/>
    <s v="Phone"/>
    <s v="Phone 8"/>
    <n v="1"/>
    <n v="3924.24"/>
    <n v="15"/>
    <x v="2"/>
    <x v="2"/>
  </r>
  <r>
    <s v="ORD2544"/>
    <x v="212"/>
    <x v="694"/>
    <s v="Rahul "/>
    <x v="0"/>
    <s v="Pune"/>
    <x v="3"/>
    <s v="Paper"/>
    <s v="Paper 25"/>
    <n v="10"/>
    <n v="38234.86"/>
    <n v="0"/>
    <x v="0"/>
    <x v="2"/>
  </r>
  <r>
    <s v="ORD2545"/>
    <x v="246"/>
    <x v="65"/>
    <s v="Priya"/>
    <x v="3"/>
    <s v="Delhi"/>
    <x v="3"/>
    <s v="Paper"/>
    <s v="Paper 6"/>
    <n v="8"/>
    <n v="28717.39"/>
    <n v="5"/>
    <x v="4"/>
    <x v="3"/>
  </r>
  <r>
    <s v="ORD2546"/>
    <x v="591"/>
    <x v="610"/>
    <s v="Arjun"/>
    <x v="3"/>
    <s v="Pune"/>
    <x v="0"/>
    <s v="Table"/>
    <s v="Table 20"/>
    <n v="10"/>
    <n v="18770.490000000002"/>
    <n v="0"/>
    <x v="4"/>
    <x v="2"/>
  </r>
  <r>
    <s v="ORD2547"/>
    <x v="68"/>
    <x v="695"/>
    <s v="Priya"/>
    <x v="1"/>
    <s v="Bengaluru"/>
    <x v="0"/>
    <s v="Table"/>
    <s v="Table 3"/>
    <n v="9"/>
    <n v="37493.64"/>
    <n v="15"/>
    <x v="3"/>
    <x v="3"/>
  </r>
  <r>
    <s v="ORD2548"/>
    <x v="449"/>
    <x v="193"/>
    <s v="Priya"/>
    <x v="0"/>
    <s v="Bengaluru"/>
    <x v="0"/>
    <s v="Chair"/>
    <s v="Chair 25"/>
    <n v="1"/>
    <n v="1950.5"/>
    <n v="10"/>
    <x v="3"/>
    <x v="2"/>
  </r>
  <r>
    <s v="ORD2549"/>
    <x v="592"/>
    <x v="385"/>
    <s v="Anjali"/>
    <x v="4"/>
    <s v="Pune"/>
    <x v="3"/>
    <s v="Paper"/>
    <s v="Paper 4"/>
    <n v="1"/>
    <n v="1889.77"/>
    <s v="10 %"/>
    <x v="2"/>
    <x v="0"/>
  </r>
  <r>
    <s v="ORD2550"/>
    <x v="463"/>
    <x v="526"/>
    <s v="Vikas"/>
    <x v="3"/>
    <s v="delhi "/>
    <x v="1"/>
    <s v="Phone"/>
    <s v="Phone 25"/>
    <n v="3"/>
    <n v="3094.04"/>
    <n v="5"/>
    <x v="3"/>
    <x v="3"/>
  </r>
  <r>
    <s v="ORD2551"/>
    <x v="491"/>
    <x v="674"/>
    <s v="Amit"/>
    <x v="0"/>
    <s v="Pune"/>
    <x v="0"/>
    <s v="Table"/>
    <s v="Table 12"/>
    <n v="7"/>
    <n v="31749.86"/>
    <n v="5"/>
    <x v="1"/>
    <x v="3"/>
  </r>
  <r>
    <s v="ORD2552"/>
    <x v="593"/>
    <x v="338"/>
    <s v="Sneha"/>
    <x v="3"/>
    <s v="Bengaluru"/>
    <x v="1"/>
    <s v="Laptop"/>
    <s v="Laptop 18"/>
    <n v="6"/>
    <n v="1214.71"/>
    <n v="20"/>
    <x v="0"/>
    <x v="2"/>
  </r>
  <r>
    <s v="ORD2553"/>
    <x v="492"/>
    <x v="696"/>
    <s v="Priya"/>
    <x v="3"/>
    <s v="Delhi"/>
    <x v="1"/>
    <s v="Laptop"/>
    <s v="Laptop 21"/>
    <n v="9"/>
    <n v="3049.59"/>
    <n v="20"/>
    <x v="3"/>
    <x v="2"/>
  </r>
  <r>
    <s v="ORD2554"/>
    <x v="594"/>
    <x v="510"/>
    <s v="Rahul"/>
    <x v="2"/>
    <s v="Pune"/>
    <x v="1"/>
    <s v="Phone"/>
    <s v="Phone 7"/>
    <n v="4"/>
    <n v="10343.19"/>
    <n v="10"/>
    <x v="4"/>
    <x v="2"/>
  </r>
  <r>
    <s v="ORD2555"/>
    <x v="468"/>
    <x v="58"/>
    <s v="Vikas"/>
    <x v="0"/>
    <s v="Jaipur"/>
    <x v="2"/>
    <s v="Phone"/>
    <s v="Phone 15"/>
    <n v="1"/>
    <n v="3177.16"/>
    <n v="15"/>
    <x v="3"/>
    <x v="2"/>
  </r>
  <r>
    <s v="ORD2556"/>
    <x v="48"/>
    <x v="167"/>
    <s v="Sneha"/>
    <x v="0"/>
    <s v="Pune"/>
    <x v="0"/>
    <s v="Table"/>
    <s v="Table 30"/>
    <n v="3"/>
    <n v="11997.68"/>
    <n v="20"/>
    <x v="4"/>
    <x v="1"/>
  </r>
  <r>
    <s v="ORD2557"/>
    <x v="7"/>
    <x v="304"/>
    <s v="Arjun"/>
    <x v="0"/>
    <s v="delhi "/>
    <x v="1"/>
    <s v="Laptop"/>
    <s v="Laptop 28"/>
    <n v="10"/>
    <n v="41503.839999999997"/>
    <n v="5"/>
    <x v="2"/>
    <x v="0"/>
  </r>
  <r>
    <s v="ORD2558"/>
    <x v="339"/>
    <x v="697"/>
    <s v="Anjali"/>
    <x v="0"/>
    <s v="Kolkata"/>
    <x v="2"/>
    <s v="Phone"/>
    <s v="Phone 30"/>
    <n v="7"/>
    <n v="32306.55"/>
    <n v="20"/>
    <x v="1"/>
    <x v="0"/>
  </r>
  <r>
    <s v="ORD2559"/>
    <x v="491"/>
    <x v="185"/>
    <s v="Vikas"/>
    <x v="1"/>
    <s v="Bengaluru"/>
    <x v="1"/>
    <s v="Phone"/>
    <s v="Phone 13"/>
    <n v="3"/>
    <n v="4868.28"/>
    <n v="5"/>
    <x v="3"/>
    <x v="3"/>
  </r>
  <r>
    <s v="ORD2561"/>
    <x v="595"/>
    <x v="541"/>
    <s v="Vikas"/>
    <x v="2"/>
    <s v="Pune"/>
    <x v="0"/>
    <s v="Chair"/>
    <s v="Chair 1"/>
    <n v="5"/>
    <n v="2913.12"/>
    <n v="20"/>
    <x v="3"/>
    <x v="0"/>
  </r>
  <r>
    <s v="ORD2562"/>
    <x v="213"/>
    <x v="547"/>
    <s v="Arjun"/>
    <x v="0"/>
    <s v="Bengaluru"/>
    <x v="2"/>
    <s v="Phone"/>
    <s v="Phone 3"/>
    <n v="9"/>
    <n v="40427.69"/>
    <n v="20"/>
    <x v="3"/>
    <x v="1"/>
  </r>
  <r>
    <s v="ORD2563"/>
    <x v="557"/>
    <x v="112"/>
    <s v="Sneha"/>
    <x v="0"/>
    <s v="delhi "/>
    <x v="0"/>
    <s v="Chair"/>
    <s v="Chair 2"/>
    <n v="10"/>
    <n v="6030.62"/>
    <n v="5"/>
    <x v="4"/>
    <x v="0"/>
  </r>
  <r>
    <s v="ORD2564"/>
    <x v="60"/>
    <x v="172"/>
    <s v="Anjali"/>
    <x v="0"/>
    <s v="Jaipur"/>
    <x v="0"/>
    <s v="Chair"/>
    <s v="Chair 13"/>
    <n v="10"/>
    <n v="12341.3"/>
    <n v="20"/>
    <x v="2"/>
    <x v="2"/>
  </r>
  <r>
    <s v="ORD2565"/>
    <x v="596"/>
    <x v="698"/>
    <s v="Karan"/>
    <x v="1"/>
    <s v="Bengaluru"/>
    <x v="0"/>
    <s v="Table"/>
    <s v="Table 21"/>
    <n v="3"/>
    <n v="6744.27"/>
    <n v="10"/>
    <x v="0"/>
    <x v="0"/>
  </r>
  <r>
    <s v="ORD1266"/>
    <x v="260"/>
    <x v="439"/>
    <s v="Arjun"/>
    <x v="0"/>
    <s v="Mumbai"/>
    <x v="0"/>
    <s v="Chair"/>
    <s v="Chair 27"/>
    <n v="6"/>
    <n v="13134.27"/>
    <n v="10"/>
    <x v="2"/>
    <x v="2"/>
  </r>
  <r>
    <s v="ORD2567"/>
    <x v="77"/>
    <x v="16"/>
    <s v="Neha"/>
    <x v="0"/>
    <s v="Bengaluru"/>
    <x v="1"/>
    <s v="Laptop"/>
    <s v="Laptop 7"/>
    <n v="2"/>
    <n v="2315.34"/>
    <n v="15"/>
    <x v="0"/>
    <x v="0"/>
  </r>
  <r>
    <s v="ORD2569"/>
    <x v="539"/>
    <x v="11"/>
    <s v="Riya "/>
    <x v="4"/>
    <s v="Pune"/>
    <x v="2"/>
    <s v="Phone"/>
    <s v="Phone 29"/>
    <n v="1"/>
    <n v="586.20000000000005"/>
    <n v="15"/>
    <x v="3"/>
    <x v="3"/>
  </r>
  <r>
    <s v="ORD1380"/>
    <x v="513"/>
    <x v="456"/>
    <s v="Rahul"/>
    <x v="0"/>
    <s v="Bengaluru"/>
    <x v="2"/>
    <s v="Phone"/>
    <s v="Phone 12"/>
    <n v="3"/>
    <n v="3894.08"/>
    <n v="20"/>
    <x v="2"/>
    <x v="0"/>
  </r>
  <r>
    <s v="ORD2571"/>
    <x v="113"/>
    <x v="393"/>
    <s v="Amit"/>
    <x v="3"/>
    <s v="Mumbai"/>
    <x v="2"/>
    <s v="Phone"/>
    <s v="Phone 16"/>
    <n v="1"/>
    <n v="527.79999999999995"/>
    <n v="5"/>
    <x v="3"/>
    <x v="1"/>
  </r>
  <r>
    <s v="ORD2572"/>
    <x v="597"/>
    <x v="200"/>
    <s v="Neha"/>
    <x v="0"/>
    <s v="Mumbai"/>
    <x v="0"/>
    <s v="Chair"/>
    <s v="Chair 15"/>
    <n v="2"/>
    <n v="8147.29"/>
    <n v="20"/>
    <x v="3"/>
    <x v="0"/>
  </r>
  <r>
    <s v="ORD2573"/>
    <x v="598"/>
    <x v="623"/>
    <s v="Vikas "/>
    <x v="4"/>
    <s v="Mumbai"/>
    <x v="3"/>
    <s v="Paper"/>
    <s v="Paper 13"/>
    <n v="5"/>
    <n v="20419.77"/>
    <n v="5"/>
    <x v="1"/>
    <x v="3"/>
  </r>
  <r>
    <s v="ORD2574"/>
    <x v="111"/>
    <x v="692"/>
    <s v="Arjun"/>
    <x v="1"/>
    <s v="Delhi"/>
    <x v="0"/>
    <s v="Chair"/>
    <s v="Chair 15"/>
    <n v="7"/>
    <n v="26131.25"/>
    <n v="20"/>
    <x v="3"/>
    <x v="0"/>
  </r>
  <r>
    <s v="ORD2575"/>
    <x v="402"/>
    <x v="459"/>
    <s v="Amit"/>
    <x v="0"/>
    <s v="Mumbai"/>
    <x v="3"/>
    <s v="Paper"/>
    <s v="Paper 29"/>
    <n v="10"/>
    <n v="37453.94"/>
    <n v="10"/>
    <x v="1"/>
    <x v="0"/>
  </r>
  <r>
    <s v="ORD2576"/>
    <x v="527"/>
    <x v="699"/>
    <s v="Arjun"/>
    <x v="3"/>
    <s v="Pune"/>
    <x v="0"/>
    <s v="Table"/>
    <s v="Table 29"/>
    <n v="3"/>
    <n v="5070.8599999999997"/>
    <n v="15"/>
    <x v="3"/>
    <x v="1"/>
  </r>
  <r>
    <s v="ORD2577"/>
    <x v="348"/>
    <x v="700"/>
    <s v="Priya"/>
    <x v="0"/>
    <s v="Pune"/>
    <x v="1"/>
    <s v="Phone"/>
    <s v="Phone 22"/>
    <n v="4"/>
    <n v="17142.16"/>
    <n v="5"/>
    <x v="1"/>
    <x v="0"/>
  </r>
  <r>
    <s v="ORD2578"/>
    <x v="232"/>
    <x v="701"/>
    <s v="Sneha"/>
    <x v="0"/>
    <s v="Jaipur"/>
    <x v="2"/>
    <s v="Phone"/>
    <s v="Phone 9"/>
    <n v="3"/>
    <n v="4562.1400000000003"/>
    <s v="10 %"/>
    <x v="4"/>
    <x v="0"/>
  </r>
  <r>
    <s v="ORD2579"/>
    <x v="599"/>
    <x v="555"/>
    <s v="Neha"/>
    <x v="4"/>
    <s v="delhi "/>
    <x v="3"/>
    <s v="Paper"/>
    <s v="Paper 18"/>
    <n v="9"/>
    <n v="38407.5"/>
    <n v="5"/>
    <x v="4"/>
    <x v="2"/>
  </r>
  <r>
    <s v="ORD2580"/>
    <x v="71"/>
    <x v="532"/>
    <s v="Priya"/>
    <x v="0"/>
    <s v="Pune"/>
    <x v="0"/>
    <s v="Chair"/>
    <s v="Chair 27"/>
    <n v="3"/>
    <n v="3580.51"/>
    <s v="10 %"/>
    <x v="1"/>
    <x v="3"/>
  </r>
  <r>
    <s v="ORD2581"/>
    <x v="182"/>
    <x v="702"/>
    <s v="Neha"/>
    <x v="2"/>
    <s v="Delhi"/>
    <x v="0"/>
    <s v="Table"/>
    <s v="Table 18"/>
    <n v="9"/>
    <n v="14695.96"/>
    <s v="10 %"/>
    <x v="4"/>
    <x v="0"/>
  </r>
  <r>
    <s v="ORD2582"/>
    <x v="202"/>
    <x v="80"/>
    <s v="Arjun"/>
    <x v="4"/>
    <s v="delhi "/>
    <x v="1"/>
    <s v="Laptop"/>
    <s v="Laptop 21"/>
    <n v="1"/>
    <n v="613.6"/>
    <s v="10 %"/>
    <x v="0"/>
    <x v="0"/>
  </r>
  <r>
    <s v="ORD2583"/>
    <x v="201"/>
    <x v="298"/>
    <s v="Riya"/>
    <x v="1"/>
    <s v="Mumbai"/>
    <x v="1"/>
    <s v="Phone"/>
    <s v="Phone 21"/>
    <n v="6"/>
    <n v="4198.87"/>
    <n v="0"/>
    <x v="5"/>
    <x v="3"/>
  </r>
  <r>
    <s v="ORD2584"/>
    <x v="333"/>
    <x v="51"/>
    <s v="Arjun"/>
    <x v="3"/>
    <s v="Jaipur"/>
    <x v="1"/>
    <s v="Phone"/>
    <s v="Phone 7"/>
    <n v="3"/>
    <n v="13840.62"/>
    <n v="10"/>
    <x v="2"/>
    <x v="3"/>
  </r>
  <r>
    <s v="ORD2585"/>
    <x v="113"/>
    <x v="461"/>
    <s v="Priya"/>
    <x v="0"/>
    <s v="Jaipur"/>
    <x v="3"/>
    <s v="Paper"/>
    <s v="Paper 21"/>
    <n v="1"/>
    <n v="2460.16"/>
    <n v="15"/>
    <x v="0"/>
    <x v="1"/>
  </r>
  <r>
    <s v="ORD2586"/>
    <x v="600"/>
    <x v="36"/>
    <s v="Vikas"/>
    <x v="0"/>
    <s v="Delhi"/>
    <x v="0"/>
    <s v="Chair"/>
    <s v="Chair 17"/>
    <n v="9"/>
    <n v="26103.279999999999"/>
    <n v="10"/>
    <x v="3"/>
    <x v="3"/>
  </r>
  <r>
    <s v="ORD2587"/>
    <x v="340"/>
    <x v="159"/>
    <s v="Rahul"/>
    <x v="1"/>
    <s v="Bengaluru"/>
    <x v="0"/>
    <s v="Table"/>
    <s v="Table 7"/>
    <n v="10"/>
    <n v="29360.28"/>
    <n v="15"/>
    <x v="0"/>
    <x v="2"/>
  </r>
  <r>
    <s v="ORD2588"/>
    <x v="497"/>
    <x v="703"/>
    <s v="Sneha"/>
    <x v="2"/>
    <s v="Bengaluru"/>
    <x v="0"/>
    <s v="Table"/>
    <s v="Table 3"/>
    <n v="3"/>
    <n v="5907.33"/>
    <n v="5"/>
    <x v="5"/>
    <x v="3"/>
  </r>
  <r>
    <s v="ORD2589"/>
    <x v="504"/>
    <x v="704"/>
    <s v="Rahul"/>
    <x v="2"/>
    <s v="Mumbai"/>
    <x v="1"/>
    <s v="Phone"/>
    <s v="Phone 23"/>
    <n v="9"/>
    <n v="23286.63"/>
    <s v="10 %"/>
    <x v="5"/>
    <x v="3"/>
  </r>
  <r>
    <s v="ORD2590"/>
    <x v="465"/>
    <x v="298"/>
    <s v="Vikas"/>
    <x v="0"/>
    <s v="Bengaluru"/>
    <x v="2"/>
    <s v="Phone"/>
    <s v="Phone 29"/>
    <n v="1"/>
    <n v="4593.5200000000004"/>
    <s v="10 %"/>
    <x v="1"/>
    <x v="2"/>
  </r>
  <r>
    <s v="ORD2591"/>
    <x v="601"/>
    <x v="308"/>
    <s v="Priya"/>
    <x v="0"/>
    <s v="Jaipur"/>
    <x v="0"/>
    <s v="Table"/>
    <s v="Table 7"/>
    <n v="7"/>
    <n v="11748.14"/>
    <n v="5"/>
    <x v="0"/>
    <x v="3"/>
  </r>
  <r>
    <s v="ORD2594"/>
    <x v="602"/>
    <x v="338"/>
    <s v="Vikas"/>
    <x v="3"/>
    <s v="Jaipur"/>
    <x v="1"/>
    <s v="Phone"/>
    <s v="Phone 9"/>
    <n v="3"/>
    <n v="7078.18"/>
    <n v="15"/>
    <x v="4"/>
    <x v="3"/>
  </r>
  <r>
    <s v="ORD2595"/>
    <x v="184"/>
    <x v="22"/>
    <s v="Arjun"/>
    <x v="4"/>
    <s v="delhi "/>
    <x v="0"/>
    <s v="Chair"/>
    <s v="Chair 23"/>
    <n v="8"/>
    <n v="3661.76"/>
    <n v="5"/>
    <x v="3"/>
    <x v="0"/>
  </r>
  <r>
    <s v="ORD2596"/>
    <x v="452"/>
    <x v="192"/>
    <s v="Vikas"/>
    <x v="0"/>
    <s v="Delhi"/>
    <x v="1"/>
    <s v="Phone"/>
    <s v="Phone 12"/>
    <n v="7"/>
    <n v="28498.6"/>
    <n v="0"/>
    <x v="5"/>
    <x v="3"/>
  </r>
  <r>
    <s v="ORD2597"/>
    <x v="471"/>
    <x v="705"/>
    <s v="Karan"/>
    <x v="4"/>
    <s v="delhi "/>
    <x v="1"/>
    <s v="Phone"/>
    <s v="Phone 12"/>
    <n v="6"/>
    <n v="22423.25"/>
    <n v="5"/>
    <x v="1"/>
    <x v="1"/>
  </r>
  <r>
    <s v="ORD2598"/>
    <x v="603"/>
    <x v="312"/>
    <s v="Sneha"/>
    <x v="0"/>
    <s v="Delhi"/>
    <x v="1"/>
    <s v="Laptop"/>
    <s v="Laptop 6"/>
    <n v="8"/>
    <n v="37994.83"/>
    <n v="5"/>
    <x v="1"/>
    <x v="0"/>
  </r>
  <r>
    <s v="ORD2599"/>
    <x v="408"/>
    <x v="515"/>
    <s v="Vikas"/>
    <x v="1"/>
    <s v="delhi "/>
    <x v="3"/>
    <s v="Paper"/>
    <s v="Paper 19"/>
    <n v="4"/>
    <n v="11238.21"/>
    <n v="20"/>
    <x v="0"/>
    <x v="3"/>
  </r>
  <r>
    <s v="ORD2600"/>
    <x v="245"/>
    <x v="99"/>
    <s v="Arjun"/>
    <x v="1"/>
    <s v="Bengaluru"/>
    <x v="1"/>
    <s v="Laptop"/>
    <s v="Laptop 30"/>
    <n v="5"/>
    <n v="24749.47"/>
    <n v="20"/>
    <x v="5"/>
    <x v="0"/>
  </r>
  <r>
    <s v="ORD2601"/>
    <x v="30"/>
    <x v="283"/>
    <s v="Amit"/>
    <x v="0"/>
    <s v="Delhi"/>
    <x v="2"/>
    <s v="Phone"/>
    <s v="Phone 19"/>
    <n v="3"/>
    <n v="13255.56"/>
    <n v="5"/>
    <x v="4"/>
    <x v="3"/>
  </r>
  <r>
    <s v="ORD2602"/>
    <x v="266"/>
    <x v="558"/>
    <s v="Neha"/>
    <x v="1"/>
    <s v="Jaipur"/>
    <x v="1"/>
    <s v="Laptop"/>
    <s v="Laptop 28"/>
    <n v="8"/>
    <n v="3470.76"/>
    <s v="10 %"/>
    <x v="5"/>
    <x v="2"/>
  </r>
  <r>
    <s v="ORD2603"/>
    <x v="96"/>
    <x v="55"/>
    <s v="Sneha"/>
    <x v="4"/>
    <s v="Pune"/>
    <x v="1"/>
    <s v="Phone"/>
    <s v="Phone 16"/>
    <n v="9"/>
    <n v="14664.17"/>
    <n v="20"/>
    <x v="5"/>
    <x v="3"/>
  </r>
  <r>
    <s v="ORD2604"/>
    <x v="402"/>
    <x v="608"/>
    <s v="Arjun "/>
    <x v="3"/>
    <s v="delhi "/>
    <x v="0"/>
    <s v="Chair"/>
    <s v="Chair 28"/>
    <n v="6"/>
    <n v="27688.12"/>
    <n v="10"/>
    <x v="2"/>
    <x v="0"/>
  </r>
  <r>
    <s v="ORD2605"/>
    <x v="604"/>
    <x v="706"/>
    <s v="Vikas"/>
    <x v="3"/>
    <s v="delhi "/>
    <x v="3"/>
    <s v="Paper"/>
    <s v="Paper 26"/>
    <n v="1"/>
    <n v="4451.46"/>
    <s v="10 %"/>
    <x v="0"/>
    <x v="0"/>
  </r>
  <r>
    <s v="ORD2606"/>
    <x v="593"/>
    <x v="681"/>
    <s v="Amit"/>
    <x v="0"/>
    <s v="Mumbai"/>
    <x v="0"/>
    <s v="Chair"/>
    <s v="Chair 10"/>
    <n v="8"/>
    <n v="5148.49"/>
    <s v="10 %"/>
    <x v="1"/>
    <x v="0"/>
  </r>
  <r>
    <s v="ORD2607"/>
    <x v="293"/>
    <x v="121"/>
    <s v="Rahul"/>
    <x v="0"/>
    <s v="Delhi"/>
    <x v="2"/>
    <s v="Phone"/>
    <s v="Phone 10"/>
    <n v="5"/>
    <n v="19555.310000000001"/>
    <n v="0"/>
    <x v="3"/>
    <x v="2"/>
  </r>
  <r>
    <s v="ORD2608"/>
    <x v="201"/>
    <x v="211"/>
    <s v="Vikas"/>
    <x v="0"/>
    <s v="delhi "/>
    <x v="3"/>
    <s v="Paper"/>
    <s v="Paper 13"/>
    <n v="8"/>
    <n v="3716.07"/>
    <s v="10 %"/>
    <x v="3"/>
    <x v="3"/>
  </r>
  <r>
    <s v="ORD2609"/>
    <x v="284"/>
    <x v="279"/>
    <s v="Arjun"/>
    <x v="0"/>
    <s v="Pune"/>
    <x v="1"/>
    <s v="Phone"/>
    <s v="Phone 28"/>
    <n v="7"/>
    <n v="25469.03"/>
    <n v="20"/>
    <x v="2"/>
    <x v="1"/>
  </r>
  <r>
    <s v="ORD2610"/>
    <x v="426"/>
    <x v="707"/>
    <s v="Sneha"/>
    <x v="1"/>
    <s v="Jaipur"/>
    <x v="3"/>
    <s v="Paper"/>
    <s v="Paper 2"/>
    <n v="9"/>
    <n v="15671.38"/>
    <n v="20"/>
    <x v="5"/>
    <x v="2"/>
  </r>
  <r>
    <s v="ORD2611"/>
    <x v="53"/>
    <x v="323"/>
    <s v="Amit"/>
    <x v="0"/>
    <s v="Kolkata"/>
    <x v="0"/>
    <s v="Table"/>
    <s v="Table 2"/>
    <n v="2"/>
    <n v="6719.54"/>
    <n v="5"/>
    <x v="3"/>
    <x v="2"/>
  </r>
  <r>
    <s v="ORD2613"/>
    <x v="400"/>
    <x v="708"/>
    <s v="Sneha"/>
    <x v="3"/>
    <s v="Pune"/>
    <x v="0"/>
    <s v="Chair"/>
    <s v="Chair 25"/>
    <n v="6"/>
    <n v="20190.47"/>
    <s v="10 %"/>
    <x v="2"/>
    <x v="1"/>
  </r>
  <r>
    <s v="ORD2614"/>
    <x v="510"/>
    <x v="655"/>
    <s v="Neha"/>
    <x v="2"/>
    <s v="Pune"/>
    <x v="1"/>
    <s v="Phone"/>
    <s v="Phone 21"/>
    <n v="2"/>
    <n v="6242.43"/>
    <n v="10"/>
    <x v="5"/>
    <x v="0"/>
  </r>
  <r>
    <s v="ORD2615"/>
    <x v="605"/>
    <x v="709"/>
    <s v="Karan "/>
    <x v="1"/>
    <s v="Pune"/>
    <x v="1"/>
    <s v="Phone"/>
    <s v="Phone 17"/>
    <n v="2"/>
    <n v="2570.2199999999998"/>
    <n v="10"/>
    <x v="4"/>
    <x v="1"/>
  </r>
  <r>
    <s v="ORD2616"/>
    <x v="368"/>
    <x v="14"/>
    <s v="Vikas"/>
    <x v="3"/>
    <s v="Mumbai"/>
    <x v="2"/>
    <s v="Phone"/>
    <s v="Phone 1"/>
    <n v="5"/>
    <n v="16098.72"/>
    <n v="15"/>
    <x v="2"/>
    <x v="1"/>
  </r>
  <r>
    <s v="ORD2618"/>
    <x v="178"/>
    <x v="710"/>
    <s v="Sneha "/>
    <x v="4"/>
    <s v="Bengaluru"/>
    <x v="0"/>
    <s v="Table"/>
    <s v="Table 9"/>
    <n v="6"/>
    <n v="2066.31"/>
    <n v="15"/>
    <x v="5"/>
    <x v="1"/>
  </r>
  <r>
    <s v="ORD2620"/>
    <x v="606"/>
    <x v="711"/>
    <s v="Riya"/>
    <x v="2"/>
    <s v="Jaipur"/>
    <x v="1"/>
    <s v="Laptop"/>
    <s v="Laptop 27"/>
    <n v="7"/>
    <n v="32006.31"/>
    <n v="20"/>
    <x v="2"/>
    <x v="2"/>
  </r>
  <r>
    <s v="ORD2621"/>
    <x v="607"/>
    <x v="712"/>
    <s v="Karan"/>
    <x v="0"/>
    <s v="Bengaluru"/>
    <x v="1"/>
    <s v="Phone"/>
    <s v="Phone 12"/>
    <n v="9"/>
    <n v="17878.11"/>
    <s v="10 %"/>
    <x v="4"/>
    <x v="3"/>
  </r>
  <r>
    <s v="ORD2623"/>
    <x v="608"/>
    <x v="188"/>
    <s v="Sneha"/>
    <x v="4"/>
    <s v="Kolkata"/>
    <x v="1"/>
    <s v="Phone"/>
    <s v="Phone 17"/>
    <n v="7"/>
    <n v="23132.45"/>
    <n v="0"/>
    <x v="5"/>
    <x v="3"/>
  </r>
  <r>
    <s v="ORD2624"/>
    <x v="563"/>
    <x v="713"/>
    <s v="Priya"/>
    <x v="3"/>
    <s v="Mumbai"/>
    <x v="0"/>
    <s v="Table"/>
    <s v="Table 16"/>
    <n v="3"/>
    <n v="8868.83"/>
    <s v="10 %"/>
    <x v="3"/>
    <x v="1"/>
  </r>
  <r>
    <s v="ORD2625"/>
    <x v="422"/>
    <x v="714"/>
    <s v="Sneha"/>
    <x v="0"/>
    <s v="Pune"/>
    <x v="0"/>
    <s v="Table"/>
    <s v="Table 30"/>
    <n v="9"/>
    <n v="39964.46"/>
    <n v="15"/>
    <x v="1"/>
    <x v="1"/>
  </r>
  <r>
    <s v="ORD2626"/>
    <x v="539"/>
    <x v="99"/>
    <s v="Rahul"/>
    <x v="0"/>
    <s v="Delhi"/>
    <x v="2"/>
    <s v="Phone"/>
    <s v="Phone 15"/>
    <n v="3"/>
    <n v="3717.31"/>
    <n v="0"/>
    <x v="4"/>
    <x v="0"/>
  </r>
  <r>
    <s v="ORD2627"/>
    <x v="202"/>
    <x v="609"/>
    <s v="Neha "/>
    <x v="0"/>
    <s v="Mumbai"/>
    <x v="1"/>
    <s v="Phone"/>
    <s v="Phone 11"/>
    <n v="1"/>
    <n v="3365.53"/>
    <n v="0"/>
    <x v="5"/>
    <x v="3"/>
  </r>
  <r>
    <s v="ORD2628"/>
    <x v="276"/>
    <x v="628"/>
    <s v="Riya"/>
    <x v="0"/>
    <s v="Delhi"/>
    <x v="1"/>
    <s v="Laptop"/>
    <s v="Laptop 22"/>
    <n v="7"/>
    <n v="15249.55"/>
    <n v="0"/>
    <x v="4"/>
    <x v="1"/>
  </r>
  <r>
    <s v="ORD2629"/>
    <x v="192"/>
    <x v="395"/>
    <s v="Riya"/>
    <x v="1"/>
    <s v="Mumbai"/>
    <x v="0"/>
    <s v="Chair"/>
    <s v="Chair 16"/>
    <n v="3"/>
    <n v="12318.64"/>
    <n v="5"/>
    <x v="5"/>
    <x v="0"/>
  </r>
  <r>
    <s v="ORD2630"/>
    <x v="145"/>
    <x v="76"/>
    <s v="Riya"/>
    <x v="0"/>
    <s v="Delhi"/>
    <x v="2"/>
    <s v="Phone"/>
    <s v="Phone 2"/>
    <n v="6"/>
    <n v="21449.45"/>
    <s v="10 %"/>
    <x v="1"/>
    <x v="3"/>
  </r>
  <r>
    <s v="ORD2631"/>
    <x v="90"/>
    <x v="353"/>
    <s v="Neha"/>
    <x v="3"/>
    <s v="Jaipur"/>
    <x v="1"/>
    <s v="Phone"/>
    <s v="Phone 3"/>
    <n v="4"/>
    <n v="6292.56"/>
    <n v="20"/>
    <x v="0"/>
    <x v="1"/>
  </r>
  <r>
    <s v="ORD2632"/>
    <x v="366"/>
    <x v="504"/>
    <s v="Rahul"/>
    <x v="2"/>
    <s v="Bengaluru"/>
    <x v="0"/>
    <s v="Chair"/>
    <s v="Chair 18"/>
    <n v="4"/>
    <n v="9688.43"/>
    <n v="5"/>
    <x v="1"/>
    <x v="0"/>
  </r>
  <r>
    <s v="ORD2633"/>
    <x v="594"/>
    <x v="506"/>
    <s v="Riya"/>
    <x v="0"/>
    <s v="Delhi"/>
    <x v="1"/>
    <s v="Phone"/>
    <s v="Phone 8"/>
    <n v="9"/>
    <n v="28534.81"/>
    <s v="10 %"/>
    <x v="5"/>
    <x v="3"/>
  </r>
  <r>
    <s v="ORD2635"/>
    <x v="454"/>
    <x v="466"/>
    <s v="Neha"/>
    <x v="0"/>
    <s v="Delhi"/>
    <x v="0"/>
    <s v="Chair"/>
    <s v="Chair 10"/>
    <n v="5"/>
    <n v="9940.7800000000007"/>
    <n v="15"/>
    <x v="2"/>
    <x v="0"/>
  </r>
  <r>
    <s v="ORD2636"/>
    <x v="272"/>
    <x v="715"/>
    <s v="Priya"/>
    <x v="0"/>
    <s v="delhi "/>
    <x v="3"/>
    <s v="Paper"/>
    <s v="Paper 16"/>
    <n v="5"/>
    <n v="19634.57"/>
    <s v="10 %"/>
    <x v="1"/>
    <x v="0"/>
  </r>
  <r>
    <s v="ORD2637"/>
    <x v="431"/>
    <x v="637"/>
    <s v="Rahul"/>
    <x v="0"/>
    <s v="Mumbai"/>
    <x v="0"/>
    <s v="Table"/>
    <s v="Table 7"/>
    <n v="2"/>
    <n v="6749.71"/>
    <n v="15"/>
    <x v="1"/>
    <x v="0"/>
  </r>
  <r>
    <s v="ORD2639"/>
    <x v="32"/>
    <x v="431"/>
    <s v="Anjali"/>
    <x v="0"/>
    <s v="Kolkata"/>
    <x v="1"/>
    <s v="Phone"/>
    <s v="Phone 26"/>
    <n v="9"/>
    <n v="34551.57"/>
    <s v="10 %"/>
    <x v="3"/>
    <x v="0"/>
  </r>
  <r>
    <s v="ORD2640"/>
    <x v="285"/>
    <x v="446"/>
    <s v="Sneha"/>
    <x v="2"/>
    <s v="Pune"/>
    <x v="1"/>
    <s v="Laptop"/>
    <s v="Laptop 16"/>
    <n v="1"/>
    <n v="319.77"/>
    <s v="10 %"/>
    <x v="1"/>
    <x v="2"/>
  </r>
  <r>
    <s v="ORD2641"/>
    <x v="74"/>
    <x v="59"/>
    <s v="Karan "/>
    <x v="1"/>
    <s v="Kolkata"/>
    <x v="2"/>
    <s v="Phone"/>
    <s v="Phone 20"/>
    <n v="2"/>
    <n v="7573.13"/>
    <n v="5"/>
    <x v="4"/>
    <x v="2"/>
  </r>
  <r>
    <s v="ORD2642"/>
    <x v="440"/>
    <x v="420"/>
    <s v="Vikas"/>
    <x v="4"/>
    <s v="Pune"/>
    <x v="3"/>
    <s v="Paper"/>
    <s v="Paper 29"/>
    <n v="4"/>
    <n v="13765.12"/>
    <n v="15"/>
    <x v="3"/>
    <x v="0"/>
  </r>
  <r>
    <s v="ORD2643"/>
    <x v="495"/>
    <x v="354"/>
    <s v="Neha"/>
    <x v="4"/>
    <s v="Delhi"/>
    <x v="3"/>
    <s v="Paper"/>
    <s v="Paper 4"/>
    <n v="5"/>
    <n v="18257.07"/>
    <n v="0"/>
    <x v="2"/>
    <x v="0"/>
  </r>
  <r>
    <s v="ORD2644"/>
    <x v="140"/>
    <x v="495"/>
    <s v="Priya "/>
    <x v="4"/>
    <s v="delhi "/>
    <x v="0"/>
    <s v="Chair"/>
    <s v="Chair 2"/>
    <n v="8"/>
    <n v="22710.97"/>
    <s v="10 %"/>
    <x v="2"/>
    <x v="0"/>
  </r>
  <r>
    <s v="ORD2645"/>
    <x v="3"/>
    <x v="250"/>
    <s v="Priya"/>
    <x v="0"/>
    <s v="Jaipur"/>
    <x v="0"/>
    <s v="Chair"/>
    <s v="Chair 23"/>
    <n v="2"/>
    <n v="9219.1200000000008"/>
    <n v="20"/>
    <x v="3"/>
    <x v="2"/>
  </r>
  <r>
    <s v="ORD2646"/>
    <x v="609"/>
    <x v="16"/>
    <s v="Priya"/>
    <x v="2"/>
    <s v="Mumbai"/>
    <x v="0"/>
    <s v="Chair"/>
    <s v="Chair 14"/>
    <n v="10"/>
    <n v="15050.02"/>
    <n v="5"/>
    <x v="2"/>
    <x v="0"/>
  </r>
  <r>
    <s v="ORD2647"/>
    <x v="259"/>
    <x v="486"/>
    <s v="Arjun"/>
    <x v="1"/>
    <s v="Mumbai"/>
    <x v="0"/>
    <s v="Chair"/>
    <s v="Chair 25"/>
    <n v="9"/>
    <n v="12301.28"/>
    <n v="0"/>
    <x v="3"/>
    <x v="3"/>
  </r>
  <r>
    <s v="ORD2648"/>
    <x v="288"/>
    <x v="412"/>
    <s v="Anjali"/>
    <x v="2"/>
    <s v="Mumbai"/>
    <x v="1"/>
    <s v="Laptop"/>
    <s v="Laptop 26"/>
    <n v="7"/>
    <n v="10611.92"/>
    <n v="10"/>
    <x v="0"/>
    <x v="0"/>
  </r>
  <r>
    <s v="ORD2649"/>
    <x v="610"/>
    <x v="716"/>
    <s v="Vikas"/>
    <x v="2"/>
    <s v="Bengaluru"/>
    <x v="2"/>
    <s v="Phone"/>
    <s v="Phone 25"/>
    <n v="4"/>
    <n v="8150.73"/>
    <n v="20"/>
    <x v="0"/>
    <x v="3"/>
  </r>
  <r>
    <s v="ORD2650"/>
    <x v="495"/>
    <x v="207"/>
    <s v="Karan"/>
    <x v="2"/>
    <s v="delhi "/>
    <x v="3"/>
    <s v="Paper"/>
    <s v="Paper 30"/>
    <n v="8"/>
    <n v="10738.64"/>
    <n v="10"/>
    <x v="5"/>
    <x v="3"/>
  </r>
  <r>
    <s v="ORD2651"/>
    <x v="183"/>
    <x v="159"/>
    <s v="Sneha"/>
    <x v="0"/>
    <s v="Mumbai"/>
    <x v="3"/>
    <s v="Paper"/>
    <s v="Paper 7"/>
    <n v="3"/>
    <n v="1937.73"/>
    <n v="20"/>
    <x v="1"/>
    <x v="2"/>
  </r>
  <r>
    <s v="ORD2652"/>
    <x v="261"/>
    <x v="514"/>
    <s v="Rahul"/>
    <x v="1"/>
    <s v="delhi "/>
    <x v="3"/>
    <s v="Paper"/>
    <s v="Paper 19"/>
    <n v="10"/>
    <n v="35464.410000000003"/>
    <n v="10"/>
    <x v="0"/>
    <x v="3"/>
  </r>
  <r>
    <s v="ORD2653"/>
    <x v="242"/>
    <x v="364"/>
    <s v="Neha"/>
    <x v="0"/>
    <s v="Bengaluru"/>
    <x v="1"/>
    <s v="Phone"/>
    <s v="Phone 19"/>
    <n v="2"/>
    <n v="3653.88"/>
    <n v="15"/>
    <x v="5"/>
    <x v="3"/>
  </r>
  <r>
    <s v="ORD2655"/>
    <x v="611"/>
    <x v="284"/>
    <s v="Arjun"/>
    <x v="0"/>
    <s v="Jaipur"/>
    <x v="3"/>
    <s v="Paper"/>
    <s v="Paper 15"/>
    <n v="1"/>
    <n v="3991.57"/>
    <n v="15"/>
    <x v="4"/>
    <x v="2"/>
  </r>
  <r>
    <s v="ORD2656"/>
    <x v="416"/>
    <x v="686"/>
    <s v="Vikas"/>
    <x v="4"/>
    <s v="Pune"/>
    <x v="0"/>
    <s v="Table"/>
    <s v="Table 18"/>
    <n v="1"/>
    <n v="2312.84"/>
    <n v="5"/>
    <x v="3"/>
    <x v="0"/>
  </r>
  <r>
    <s v="ORD2657"/>
    <x v="2"/>
    <x v="178"/>
    <s v="Karan"/>
    <x v="0"/>
    <s v="Pune"/>
    <x v="0"/>
    <s v="Table"/>
    <s v="Table 16"/>
    <n v="8"/>
    <n v="3822.14"/>
    <n v="15"/>
    <x v="1"/>
    <x v="3"/>
  </r>
  <r>
    <s v="ORD2658"/>
    <x v="500"/>
    <x v="613"/>
    <s v="Amit"/>
    <x v="4"/>
    <s v="Delhi"/>
    <x v="1"/>
    <s v="Phone"/>
    <s v="Phone 7"/>
    <n v="1"/>
    <n v="484.34"/>
    <n v="5"/>
    <x v="4"/>
    <x v="3"/>
  </r>
  <r>
    <s v="ORD2659"/>
    <x v="392"/>
    <x v="373"/>
    <s v="Neha"/>
    <x v="2"/>
    <s v="Mumbai"/>
    <x v="2"/>
    <s v="Phone"/>
    <s v="Phone 21"/>
    <n v="8"/>
    <n v="5459.7"/>
    <n v="0"/>
    <x v="1"/>
    <x v="0"/>
  </r>
  <r>
    <s v="ORD2660"/>
    <x v="340"/>
    <x v="323"/>
    <s v="Riya"/>
    <x v="3"/>
    <s v="delhi "/>
    <x v="3"/>
    <s v="Paper"/>
    <s v="Paper 14"/>
    <n v="4"/>
    <n v="14894.17"/>
    <n v="15"/>
    <x v="2"/>
    <x v="0"/>
  </r>
  <r>
    <s v="ORD2661"/>
    <x v="342"/>
    <x v="476"/>
    <s v="Rahul "/>
    <x v="0"/>
    <s v="delhi "/>
    <x v="2"/>
    <s v="Phone"/>
    <s v="Phone 2"/>
    <n v="5"/>
    <n v="7555.54"/>
    <n v="5"/>
    <x v="3"/>
    <x v="3"/>
  </r>
  <r>
    <s v="ORD2662"/>
    <x v="520"/>
    <x v="187"/>
    <s v="Karan"/>
    <x v="4"/>
    <s v="Jaipur"/>
    <x v="0"/>
    <s v="Chair"/>
    <s v="Chair 25"/>
    <n v="2"/>
    <n v="9179.6200000000008"/>
    <n v="15"/>
    <x v="3"/>
    <x v="3"/>
  </r>
  <r>
    <s v="ORD2663"/>
    <x v="161"/>
    <x v="705"/>
    <s v="Riya"/>
    <x v="4"/>
    <s v="Jaipur"/>
    <x v="0"/>
    <s v="Table"/>
    <s v="Table 15"/>
    <n v="3"/>
    <n v="10336.66"/>
    <s v="10 %"/>
    <x v="5"/>
    <x v="3"/>
  </r>
  <r>
    <s v="ORD2664"/>
    <x v="612"/>
    <x v="588"/>
    <s v="Karan"/>
    <x v="2"/>
    <s v="delhi "/>
    <x v="1"/>
    <s v="Phone"/>
    <s v="Phone 9"/>
    <n v="1"/>
    <n v="885.5"/>
    <n v="10"/>
    <x v="0"/>
    <x v="3"/>
  </r>
  <r>
    <s v="ORD2665"/>
    <x v="613"/>
    <x v="717"/>
    <s v="Amit"/>
    <x v="4"/>
    <s v="delhi "/>
    <x v="3"/>
    <s v="Paper"/>
    <s v="Paper 16"/>
    <n v="4"/>
    <n v="19429.29"/>
    <n v="10"/>
    <x v="0"/>
    <x v="1"/>
  </r>
  <r>
    <s v="ORD2666"/>
    <x v="345"/>
    <x v="124"/>
    <s v="Sneha "/>
    <x v="1"/>
    <s v="delhi "/>
    <x v="0"/>
    <s v="Chair"/>
    <s v="Chair 23"/>
    <n v="2"/>
    <n v="4019.85"/>
    <s v="10 %"/>
    <x v="1"/>
    <x v="1"/>
  </r>
  <r>
    <s v="ORD2667"/>
    <x v="614"/>
    <x v="718"/>
    <s v="Anjali"/>
    <x v="0"/>
    <s v="delhi "/>
    <x v="1"/>
    <s v="Phone"/>
    <s v="Phone 7"/>
    <n v="1"/>
    <n v="1385.13"/>
    <n v="15"/>
    <x v="2"/>
    <x v="3"/>
  </r>
  <r>
    <s v="ORD2669"/>
    <x v="409"/>
    <x v="719"/>
    <s v="Priya"/>
    <x v="0"/>
    <s v="delhi "/>
    <x v="0"/>
    <s v="Chair"/>
    <s v="Chair 6"/>
    <n v="9"/>
    <n v="39594.54"/>
    <n v="20"/>
    <x v="3"/>
    <x v="0"/>
  </r>
  <r>
    <s v="ORD2670"/>
    <x v="148"/>
    <x v="396"/>
    <s v="Karan"/>
    <x v="0"/>
    <s v="delhi "/>
    <x v="1"/>
    <s v="Laptop"/>
    <s v="Laptop 2"/>
    <n v="5"/>
    <n v="9282.4500000000007"/>
    <s v="10 %"/>
    <x v="1"/>
    <x v="0"/>
  </r>
  <r>
    <s v="ORD2671"/>
    <x v="120"/>
    <x v="193"/>
    <s v="Anjali"/>
    <x v="4"/>
    <s v="Jaipur"/>
    <x v="3"/>
    <s v="Paper"/>
    <s v="Paper 15"/>
    <n v="6"/>
    <n v="7671.14"/>
    <n v="15"/>
    <x v="2"/>
    <x v="1"/>
  </r>
  <r>
    <s v="ORD2672"/>
    <x v="558"/>
    <x v="523"/>
    <s v="Karan"/>
    <x v="1"/>
    <s v="Kolkata"/>
    <x v="0"/>
    <s v="Chair"/>
    <s v="Chair 21"/>
    <n v="6"/>
    <n v="28173.96"/>
    <n v="15"/>
    <x v="3"/>
    <x v="2"/>
  </r>
  <r>
    <s v="ORD2673"/>
    <x v="384"/>
    <x v="575"/>
    <s v="Karan "/>
    <x v="4"/>
    <s v="Mumbai"/>
    <x v="2"/>
    <s v="Phone"/>
    <s v="Phone 16"/>
    <n v="1"/>
    <n v="2928"/>
    <n v="20"/>
    <x v="1"/>
    <x v="1"/>
  </r>
  <r>
    <s v="ORD2674"/>
    <x v="593"/>
    <x v="91"/>
    <s v="Amit "/>
    <x v="0"/>
    <s v="Bengaluru"/>
    <x v="0"/>
    <s v="Table"/>
    <s v="Table 18"/>
    <n v="1"/>
    <n v="1447.79"/>
    <n v="10"/>
    <x v="1"/>
    <x v="2"/>
  </r>
  <r>
    <s v="ORD2675"/>
    <x v="12"/>
    <x v="127"/>
    <s v="Anjali"/>
    <x v="0"/>
    <s v="Delhi"/>
    <x v="3"/>
    <s v="Paper"/>
    <s v="Paper 10"/>
    <n v="8"/>
    <n v="24530.31"/>
    <n v="10"/>
    <x v="5"/>
    <x v="0"/>
  </r>
  <r>
    <s v="ORD2676"/>
    <x v="116"/>
    <x v="238"/>
    <s v="Riya"/>
    <x v="0"/>
    <s v="Kolkata"/>
    <x v="0"/>
    <s v="Table"/>
    <s v="Table 30"/>
    <n v="5"/>
    <n v="9116.7000000000007"/>
    <n v="10"/>
    <x v="1"/>
    <x v="0"/>
  </r>
  <r>
    <s v="ORD2677"/>
    <x v="277"/>
    <x v="720"/>
    <s v="Karan"/>
    <x v="0"/>
    <s v="Kolkata"/>
    <x v="1"/>
    <s v="Laptop"/>
    <s v="Laptop 15"/>
    <n v="9"/>
    <n v="35337.629999999997"/>
    <n v="20"/>
    <x v="1"/>
    <x v="2"/>
  </r>
  <r>
    <s v="ORD2679"/>
    <x v="615"/>
    <x v="291"/>
    <s v="Neha "/>
    <x v="1"/>
    <s v="delhi "/>
    <x v="0"/>
    <s v="Chair"/>
    <s v="Chair 20"/>
    <n v="9"/>
    <n v="7763.87"/>
    <n v="10"/>
    <x v="5"/>
    <x v="3"/>
  </r>
  <r>
    <s v="ORD2680"/>
    <x v="56"/>
    <x v="721"/>
    <s v="Riya "/>
    <x v="0"/>
    <s v="Pune"/>
    <x v="2"/>
    <s v="Phone"/>
    <s v="Phone 3"/>
    <n v="6"/>
    <n v="18631.669999999998"/>
    <n v="20"/>
    <x v="5"/>
    <x v="2"/>
  </r>
  <r>
    <s v="ORD2681"/>
    <x v="119"/>
    <x v="721"/>
    <s v="Sneha"/>
    <x v="0"/>
    <s v="Jaipur"/>
    <x v="2"/>
    <s v="Phone"/>
    <s v="Phone 22"/>
    <n v="6"/>
    <n v="18806.43"/>
    <n v="0"/>
    <x v="2"/>
    <x v="0"/>
  </r>
  <r>
    <s v="ORD2682"/>
    <x v="224"/>
    <x v="458"/>
    <s v="Vikas"/>
    <x v="2"/>
    <s v="Pune"/>
    <x v="1"/>
    <s v="Laptop"/>
    <s v="Laptop 13"/>
    <n v="10"/>
    <n v="23012.21"/>
    <n v="15"/>
    <x v="5"/>
    <x v="3"/>
  </r>
  <r>
    <s v="ORD2683"/>
    <x v="457"/>
    <x v="131"/>
    <s v="Amit"/>
    <x v="3"/>
    <s v="Mumbai"/>
    <x v="0"/>
    <s v="Chair"/>
    <s v="Chair 28"/>
    <n v="6"/>
    <n v="24168.22"/>
    <n v="10"/>
    <x v="3"/>
    <x v="2"/>
  </r>
  <r>
    <s v="ORD2685"/>
    <x v="390"/>
    <x v="691"/>
    <s v="Vikas"/>
    <x v="4"/>
    <s v="Pune"/>
    <x v="1"/>
    <s v="Laptop"/>
    <s v="Laptop 3"/>
    <n v="4"/>
    <n v="10617.76"/>
    <n v="5"/>
    <x v="0"/>
    <x v="2"/>
  </r>
  <r>
    <s v="ORD2686"/>
    <x v="601"/>
    <x v="223"/>
    <s v="Neha"/>
    <x v="0"/>
    <s v="Mumbai"/>
    <x v="2"/>
    <s v="Phone"/>
    <s v="Phone 16"/>
    <n v="4"/>
    <n v="635.53"/>
    <s v="10 %"/>
    <x v="5"/>
    <x v="3"/>
  </r>
  <r>
    <s v="ORD2687"/>
    <x v="156"/>
    <x v="722"/>
    <s v="Karan"/>
    <x v="0"/>
    <s v="Pune"/>
    <x v="0"/>
    <s v="Chair"/>
    <s v="Chair 26"/>
    <n v="6"/>
    <n v="21038.54"/>
    <n v="15"/>
    <x v="3"/>
    <x v="1"/>
  </r>
  <r>
    <s v="ORD2688"/>
    <x v="616"/>
    <x v="277"/>
    <s v="Priya"/>
    <x v="4"/>
    <s v="Delhi"/>
    <x v="0"/>
    <s v="Chair"/>
    <s v="Chair 24"/>
    <n v="4"/>
    <n v="19133.689999999999"/>
    <n v="20"/>
    <x v="5"/>
    <x v="0"/>
  </r>
  <r>
    <s v="ORD2690"/>
    <x v="466"/>
    <x v="723"/>
    <s v="Neha"/>
    <x v="1"/>
    <s v="Pune"/>
    <x v="0"/>
    <s v="Chair"/>
    <s v="Chair 4"/>
    <n v="10"/>
    <n v="19186.509999999998"/>
    <n v="15"/>
    <x v="5"/>
    <x v="3"/>
  </r>
  <r>
    <s v="ORD2691"/>
    <x v="509"/>
    <x v="724"/>
    <s v="Arjun "/>
    <x v="0"/>
    <s v="Bengaluru"/>
    <x v="2"/>
    <s v="Phone"/>
    <s v="Phone 29"/>
    <n v="4"/>
    <n v="6997.16"/>
    <n v="5"/>
    <x v="2"/>
    <x v="0"/>
  </r>
  <r>
    <s v="ORD2692"/>
    <x v="116"/>
    <x v="70"/>
    <s v="Rahul"/>
    <x v="3"/>
    <s v="Pune"/>
    <x v="3"/>
    <s v="Paper"/>
    <s v="Paper 9"/>
    <n v="7"/>
    <n v="17149.68"/>
    <s v="10 %"/>
    <x v="3"/>
    <x v="0"/>
  </r>
  <r>
    <s v="ORD2694"/>
    <x v="143"/>
    <x v="33"/>
    <s v="Amit"/>
    <x v="4"/>
    <s v="Jaipur"/>
    <x v="0"/>
    <s v="Table"/>
    <s v="Table 16"/>
    <n v="5"/>
    <n v="24260.36"/>
    <s v="10 %"/>
    <x v="2"/>
    <x v="3"/>
  </r>
  <r>
    <s v="ORD2695"/>
    <x v="10"/>
    <x v="725"/>
    <s v="Vikas "/>
    <x v="3"/>
    <s v="Jaipur"/>
    <x v="1"/>
    <s v="Phone"/>
    <s v="Phone 21"/>
    <n v="2"/>
    <n v="4449.33"/>
    <n v="0"/>
    <x v="3"/>
    <x v="2"/>
  </r>
  <r>
    <s v="ORD2696"/>
    <x v="284"/>
    <x v="726"/>
    <s v="Riya"/>
    <x v="3"/>
    <s v="Jaipur"/>
    <x v="3"/>
    <s v="Paper"/>
    <s v="Paper 23"/>
    <n v="7"/>
    <n v="22611.02"/>
    <n v="0"/>
    <x v="0"/>
    <x v="2"/>
  </r>
  <r>
    <s v="ORD2697"/>
    <x v="415"/>
    <x v="348"/>
    <s v="Sneha"/>
    <x v="4"/>
    <s v="delhi "/>
    <x v="2"/>
    <s v="Phone"/>
    <s v="Phone 5"/>
    <n v="5"/>
    <n v="12518.74"/>
    <n v="5"/>
    <x v="0"/>
    <x v="0"/>
  </r>
  <r>
    <s v="ORD2698"/>
    <x v="485"/>
    <x v="257"/>
    <s v="Rahul"/>
    <x v="1"/>
    <s v="Pune"/>
    <x v="1"/>
    <s v="Phone"/>
    <s v="Phone 3"/>
    <n v="6"/>
    <n v="29826.52"/>
    <s v="10 %"/>
    <x v="5"/>
    <x v="0"/>
  </r>
  <r>
    <s v="ORD2699"/>
    <x v="617"/>
    <x v="160"/>
    <s v="Amit"/>
    <x v="2"/>
    <s v="Pune"/>
    <x v="3"/>
    <s v="Paper"/>
    <s v="Paper 17"/>
    <n v="3"/>
    <n v="14782.58"/>
    <n v="15"/>
    <x v="0"/>
    <x v="1"/>
  </r>
  <r>
    <s v="ORD2700"/>
    <x v="618"/>
    <x v="727"/>
    <s v="Anjali"/>
    <x v="3"/>
    <s v="delhi "/>
    <x v="1"/>
    <s v="Phone"/>
    <s v="Phone 2"/>
    <n v="4"/>
    <n v="6739.03"/>
    <n v="20"/>
    <x v="5"/>
    <x v="2"/>
  </r>
  <r>
    <s v="ORD2701"/>
    <x v="281"/>
    <x v="103"/>
    <s v="Arjun"/>
    <x v="3"/>
    <s v="delhi "/>
    <x v="1"/>
    <s v="Phone"/>
    <s v="Phone 2"/>
    <n v="4"/>
    <n v="15751.69"/>
    <n v="10"/>
    <x v="1"/>
    <x v="0"/>
  </r>
  <r>
    <s v="ORD2702"/>
    <x v="162"/>
    <x v="41"/>
    <s v="Amit"/>
    <x v="4"/>
    <s v="Kolkata"/>
    <x v="0"/>
    <s v="Chair"/>
    <s v="Chair 21"/>
    <n v="10"/>
    <n v="21976.74"/>
    <n v="10"/>
    <x v="5"/>
    <x v="3"/>
  </r>
  <r>
    <s v="ORD2703"/>
    <x v="433"/>
    <x v="381"/>
    <s v="Riya"/>
    <x v="0"/>
    <s v="Delhi"/>
    <x v="3"/>
    <s v="Paper"/>
    <s v="Paper 24"/>
    <n v="3"/>
    <n v="864.22"/>
    <s v="10 %"/>
    <x v="1"/>
    <x v="0"/>
  </r>
  <r>
    <s v="ORD2704"/>
    <x v="26"/>
    <x v="60"/>
    <s v="Anjali"/>
    <x v="0"/>
    <s v="Bengaluru"/>
    <x v="0"/>
    <s v="Table"/>
    <s v="Table 26"/>
    <n v="4"/>
    <n v="16093.12"/>
    <n v="0"/>
    <x v="1"/>
    <x v="3"/>
  </r>
  <r>
    <s v="ORD2705"/>
    <x v="488"/>
    <x v="728"/>
    <s v="Sneha"/>
    <x v="0"/>
    <s v="Pune"/>
    <x v="1"/>
    <s v="Laptop"/>
    <s v="Laptop 23"/>
    <n v="4"/>
    <n v="12614.82"/>
    <n v="20"/>
    <x v="2"/>
    <x v="3"/>
  </r>
  <r>
    <s v="ORD2706"/>
    <x v="570"/>
    <x v="513"/>
    <s v="Amit"/>
    <x v="3"/>
    <s v="Kolkata"/>
    <x v="0"/>
    <s v="Chair"/>
    <s v="Chair 19"/>
    <n v="2"/>
    <n v="3072.02"/>
    <n v="0"/>
    <x v="5"/>
    <x v="0"/>
  </r>
  <r>
    <s v="ORD2707"/>
    <x v="619"/>
    <x v="256"/>
    <s v="Neha"/>
    <x v="1"/>
    <s v="Mumbai"/>
    <x v="0"/>
    <s v="Table"/>
    <s v="Table 22"/>
    <n v="9"/>
    <n v="11299.62"/>
    <n v="20"/>
    <x v="4"/>
    <x v="3"/>
  </r>
  <r>
    <s v="ORD2709"/>
    <x v="620"/>
    <x v="609"/>
    <s v="Anjali"/>
    <x v="4"/>
    <s v="Mumbai"/>
    <x v="1"/>
    <s v="Laptop"/>
    <s v="Laptop 17"/>
    <n v="7"/>
    <n v="20704.02"/>
    <n v="20"/>
    <x v="5"/>
    <x v="1"/>
  </r>
  <r>
    <s v="ORD2710"/>
    <x v="565"/>
    <x v="583"/>
    <s v="Arjun"/>
    <x v="0"/>
    <s v="Bengaluru"/>
    <x v="1"/>
    <s v="Phone"/>
    <s v="Phone 14"/>
    <n v="3"/>
    <n v="13059.88"/>
    <n v="0"/>
    <x v="0"/>
    <x v="1"/>
  </r>
  <r>
    <s v="ORD2711"/>
    <x v="218"/>
    <x v="380"/>
    <s v="Rahul"/>
    <x v="3"/>
    <s v="Bengaluru"/>
    <x v="0"/>
    <s v="Chair"/>
    <s v="Chair 21"/>
    <n v="1"/>
    <n v="4331.3999999999996"/>
    <s v="10 %"/>
    <x v="2"/>
    <x v="2"/>
  </r>
  <r>
    <s v="ORD2713"/>
    <x v="512"/>
    <x v="245"/>
    <s v="Amit "/>
    <x v="1"/>
    <s v="Jaipur"/>
    <x v="0"/>
    <s v="Chair"/>
    <s v="Chair 9"/>
    <n v="6"/>
    <n v="12286.9"/>
    <n v="10"/>
    <x v="0"/>
    <x v="0"/>
  </r>
  <r>
    <s v="ORD2715"/>
    <x v="621"/>
    <x v="560"/>
    <s v="Arjun"/>
    <x v="0"/>
    <s v="Delhi"/>
    <x v="0"/>
    <s v="Chair"/>
    <s v="Chair 29"/>
    <n v="1"/>
    <n v="4453.9799999999996"/>
    <s v="10 %"/>
    <x v="5"/>
    <x v="3"/>
  </r>
  <r>
    <s v="ORD2716"/>
    <x v="225"/>
    <x v="729"/>
    <s v="Karan"/>
    <x v="4"/>
    <s v="Jaipur"/>
    <x v="3"/>
    <s v="Paper"/>
    <s v="Paper 9"/>
    <n v="10"/>
    <n v="15492.62"/>
    <s v="10 %"/>
    <x v="5"/>
    <x v="3"/>
  </r>
  <r>
    <s v="ORD2717"/>
    <x v="484"/>
    <x v="66"/>
    <s v="Arjun"/>
    <x v="0"/>
    <s v="Kolkata"/>
    <x v="0"/>
    <s v="Chair"/>
    <s v="Chair 19"/>
    <n v="1"/>
    <n v="611.07000000000005"/>
    <n v="5"/>
    <x v="3"/>
    <x v="2"/>
  </r>
  <r>
    <s v="ORD2718"/>
    <x v="212"/>
    <x v="67"/>
    <s v="Vikas"/>
    <x v="0"/>
    <s v="Bengaluru"/>
    <x v="3"/>
    <s v="Paper"/>
    <s v="Paper 4"/>
    <n v="4"/>
    <n v="3472.21"/>
    <n v="10"/>
    <x v="2"/>
    <x v="0"/>
  </r>
  <r>
    <s v="ORD2719"/>
    <x v="299"/>
    <x v="494"/>
    <s v="Riya"/>
    <x v="1"/>
    <s v="Delhi"/>
    <x v="2"/>
    <s v="Phone"/>
    <s v="Phone 27"/>
    <n v="3"/>
    <n v="11993.85"/>
    <n v="5"/>
    <x v="5"/>
    <x v="0"/>
  </r>
  <r>
    <s v="ORD2720"/>
    <x v="393"/>
    <x v="441"/>
    <s v="Rahul"/>
    <x v="2"/>
    <s v="Pune"/>
    <x v="0"/>
    <s v="Table"/>
    <s v="Table 20"/>
    <n v="9"/>
    <n v="17731.02"/>
    <n v="20"/>
    <x v="3"/>
    <x v="1"/>
  </r>
  <r>
    <s v="ORD2721"/>
    <x v="537"/>
    <x v="281"/>
    <s v="Sneha"/>
    <x v="2"/>
    <s v="Pune"/>
    <x v="2"/>
    <s v="Phone"/>
    <s v="Phone 4"/>
    <n v="3"/>
    <n v="1315.63"/>
    <n v="10"/>
    <x v="1"/>
    <x v="0"/>
  </r>
  <r>
    <s v="ORD2722"/>
    <x v="176"/>
    <x v="487"/>
    <s v="Sneha"/>
    <x v="2"/>
    <s v="Jaipur"/>
    <x v="1"/>
    <s v="Laptop"/>
    <s v="Laptop 19"/>
    <n v="1"/>
    <n v="2134.46"/>
    <n v="10"/>
    <x v="3"/>
    <x v="2"/>
  </r>
  <r>
    <s v="ORD2723"/>
    <x v="293"/>
    <x v="307"/>
    <s v="Vikas"/>
    <x v="1"/>
    <s v="delhi "/>
    <x v="0"/>
    <s v="Table"/>
    <s v="Table 11"/>
    <n v="9"/>
    <n v="44848.75"/>
    <n v="5"/>
    <x v="5"/>
    <x v="1"/>
  </r>
  <r>
    <s v="ORD2724"/>
    <x v="474"/>
    <x v="730"/>
    <s v="Anjali"/>
    <x v="3"/>
    <s v="Mumbai"/>
    <x v="1"/>
    <s v="Phone"/>
    <s v="Phone 3"/>
    <n v="6"/>
    <n v="24438.33"/>
    <n v="15"/>
    <x v="4"/>
    <x v="0"/>
  </r>
  <r>
    <s v="ORD2725"/>
    <x v="171"/>
    <x v="405"/>
    <s v="Karan"/>
    <x v="0"/>
    <s v="Pune"/>
    <x v="1"/>
    <s v="Laptop"/>
    <s v="Laptop 13"/>
    <n v="10"/>
    <n v="11698.79"/>
    <n v="15"/>
    <x v="0"/>
    <x v="0"/>
  </r>
  <r>
    <s v="ORD2726"/>
    <x v="622"/>
    <x v="265"/>
    <s v="Riya"/>
    <x v="2"/>
    <s v="Delhi"/>
    <x v="3"/>
    <s v="Paper"/>
    <s v="Paper 26"/>
    <n v="8"/>
    <n v="8731.9"/>
    <n v="0"/>
    <x v="0"/>
    <x v="0"/>
  </r>
  <r>
    <s v="ORD2727"/>
    <x v="154"/>
    <x v="726"/>
    <s v="Neha"/>
    <x v="3"/>
    <s v="Jaipur"/>
    <x v="1"/>
    <s v="Phone"/>
    <s v="Phone 18"/>
    <n v="10"/>
    <n v="6792.82"/>
    <n v="15"/>
    <x v="5"/>
    <x v="0"/>
  </r>
  <r>
    <s v="ORD2728"/>
    <x v="433"/>
    <x v="731"/>
    <s v="Riya"/>
    <x v="0"/>
    <s v="Jaipur"/>
    <x v="0"/>
    <s v="Table"/>
    <s v="Table 21"/>
    <n v="1"/>
    <n v="4238.12"/>
    <s v="10 %"/>
    <x v="2"/>
    <x v="0"/>
  </r>
  <r>
    <s v="ORD2729"/>
    <x v="529"/>
    <x v="107"/>
    <s v="Rahul"/>
    <x v="4"/>
    <s v="Delhi"/>
    <x v="0"/>
    <s v="Table"/>
    <s v="Table 14"/>
    <n v="2"/>
    <n v="4988.93"/>
    <n v="5"/>
    <x v="1"/>
    <x v="3"/>
  </r>
  <r>
    <s v="ORD2730"/>
    <x v="381"/>
    <x v="300"/>
    <s v="Karan "/>
    <x v="0"/>
    <s v="Kolkata"/>
    <x v="1"/>
    <s v="Laptop"/>
    <s v="Laptop 17"/>
    <n v="3"/>
    <n v="2305.7800000000002"/>
    <n v="5"/>
    <x v="2"/>
    <x v="0"/>
  </r>
  <r>
    <s v="ORD2731"/>
    <x v="462"/>
    <x v="35"/>
    <s v="Karan"/>
    <x v="4"/>
    <s v="delhi "/>
    <x v="0"/>
    <s v="Chair"/>
    <s v="Chair 21"/>
    <n v="6"/>
    <n v="14020.21"/>
    <n v="20"/>
    <x v="4"/>
    <x v="0"/>
  </r>
  <r>
    <s v="ORD2732"/>
    <x v="560"/>
    <x v="657"/>
    <s v="Vikas"/>
    <x v="3"/>
    <s v="Delhi"/>
    <x v="3"/>
    <s v="Paper"/>
    <s v="Paper 6"/>
    <n v="10"/>
    <n v="25582.85"/>
    <n v="10"/>
    <x v="4"/>
    <x v="0"/>
  </r>
  <r>
    <s v="ORD2733"/>
    <x v="449"/>
    <x v="677"/>
    <s v="Priya"/>
    <x v="0"/>
    <s v="delhi "/>
    <x v="0"/>
    <s v="Table"/>
    <s v="Table 24"/>
    <n v="8"/>
    <n v="33108.93"/>
    <n v="10"/>
    <x v="5"/>
    <x v="3"/>
  </r>
  <r>
    <s v="ORD2734"/>
    <x v="155"/>
    <x v="640"/>
    <s v="Riya"/>
    <x v="1"/>
    <s v="Pune"/>
    <x v="0"/>
    <s v="Table"/>
    <s v="Table 14"/>
    <n v="2"/>
    <n v="2463.73"/>
    <n v="20"/>
    <x v="5"/>
    <x v="1"/>
  </r>
  <r>
    <s v="ORD2735"/>
    <x v="162"/>
    <x v="481"/>
    <s v="Vikas"/>
    <x v="1"/>
    <s v="Mumbai"/>
    <x v="3"/>
    <s v="Paper"/>
    <s v="Paper 12"/>
    <n v="2"/>
    <n v="8279.84"/>
    <n v="5"/>
    <x v="0"/>
    <x v="3"/>
  </r>
  <r>
    <s v="ORD2736"/>
    <x v="469"/>
    <x v="45"/>
    <s v="Sneha"/>
    <x v="0"/>
    <s v="Kolkata"/>
    <x v="0"/>
    <s v="Chair"/>
    <s v="Chair 20"/>
    <n v="2"/>
    <n v="9918.64"/>
    <n v="10"/>
    <x v="1"/>
    <x v="2"/>
  </r>
  <r>
    <s v="ORD2737"/>
    <x v="623"/>
    <x v="82"/>
    <s v="Rahul"/>
    <x v="1"/>
    <s v="Mumbai"/>
    <x v="0"/>
    <s v="Table"/>
    <s v="Table 13"/>
    <n v="5"/>
    <n v="23977.52"/>
    <n v="5"/>
    <x v="3"/>
    <x v="3"/>
  </r>
  <r>
    <s v="ORD2738"/>
    <x v="329"/>
    <x v="732"/>
    <s v="Neha"/>
    <x v="0"/>
    <s v="delhi "/>
    <x v="2"/>
    <s v="Phone"/>
    <s v="Phone 10"/>
    <n v="4"/>
    <n v="892.27"/>
    <n v="0"/>
    <x v="4"/>
    <x v="1"/>
  </r>
  <r>
    <s v="ORD2739"/>
    <x v="390"/>
    <x v="350"/>
    <s v="Rahul"/>
    <x v="0"/>
    <s v="Kolkata"/>
    <x v="1"/>
    <s v="Laptop"/>
    <s v="Laptop 21"/>
    <n v="7"/>
    <n v="3062.18"/>
    <n v="15"/>
    <x v="5"/>
    <x v="1"/>
  </r>
  <r>
    <s v="ORD2742"/>
    <x v="520"/>
    <x v="601"/>
    <s v="Karan"/>
    <x v="3"/>
    <s v="Mumbai"/>
    <x v="0"/>
    <s v="Table"/>
    <s v="Table 2"/>
    <n v="8"/>
    <n v="15161.48"/>
    <n v="5"/>
    <x v="0"/>
    <x v="3"/>
  </r>
  <r>
    <s v="ORD2745"/>
    <x v="340"/>
    <x v="105"/>
    <s v="Karan"/>
    <x v="2"/>
    <s v="Delhi"/>
    <x v="0"/>
    <s v="Table"/>
    <s v="Table 3"/>
    <n v="4"/>
    <n v="13454.35"/>
    <n v="20"/>
    <x v="3"/>
    <x v="2"/>
  </r>
  <r>
    <s v="ORD2746"/>
    <x v="143"/>
    <x v="733"/>
    <s v="Rahul"/>
    <x v="2"/>
    <s v="Mumbai"/>
    <x v="1"/>
    <s v="Phone"/>
    <s v="Phone 5"/>
    <n v="4"/>
    <n v="18697.3"/>
    <n v="15"/>
    <x v="5"/>
    <x v="0"/>
  </r>
  <r>
    <s v="ORD2747"/>
    <x v="591"/>
    <x v="734"/>
    <s v="Anjali"/>
    <x v="1"/>
    <s v="Jaipur"/>
    <x v="1"/>
    <s v="Laptop"/>
    <s v="Laptop 14"/>
    <n v="9"/>
    <n v="27442.85"/>
    <n v="15"/>
    <x v="4"/>
    <x v="3"/>
  </r>
  <r>
    <s v="ORD2748"/>
    <x v="535"/>
    <x v="735"/>
    <s v="Neha"/>
    <x v="0"/>
    <s v="Jaipur"/>
    <x v="0"/>
    <s v="Chair"/>
    <s v="Chair 17"/>
    <n v="6"/>
    <n v="6492.73"/>
    <n v="10"/>
    <x v="4"/>
    <x v="3"/>
  </r>
  <r>
    <s v="ORD2751"/>
    <x v="462"/>
    <x v="134"/>
    <s v="Vikas"/>
    <x v="3"/>
    <s v="Mumbai"/>
    <x v="1"/>
    <s v="Phone"/>
    <s v="Phone 25"/>
    <n v="10"/>
    <n v="22932.080000000002"/>
    <s v="10 %"/>
    <x v="1"/>
    <x v="3"/>
  </r>
  <r>
    <s v="ORD2753"/>
    <x v="76"/>
    <x v="554"/>
    <s v="Rahul"/>
    <x v="2"/>
    <s v="Delhi"/>
    <x v="3"/>
    <s v="Paper"/>
    <s v="Paper 6"/>
    <n v="9"/>
    <n v="36954.67"/>
    <n v="20"/>
    <x v="4"/>
    <x v="3"/>
  </r>
  <r>
    <s v="ORD2754"/>
    <x v="290"/>
    <x v="510"/>
    <s v="Karan"/>
    <x v="3"/>
    <s v="Pune"/>
    <x v="1"/>
    <s v="Phone"/>
    <s v="Phone 28"/>
    <n v="5"/>
    <n v="10800.31"/>
    <n v="20"/>
    <x v="5"/>
    <x v="3"/>
  </r>
  <r>
    <s v="ORD2755"/>
    <x v="12"/>
    <x v="736"/>
    <s v="Anjali"/>
    <x v="4"/>
    <s v="Jaipur"/>
    <x v="3"/>
    <s v="Paper"/>
    <s v="Paper 4"/>
    <n v="3"/>
    <n v="11130.44"/>
    <s v="10 %"/>
    <x v="1"/>
    <x v="1"/>
  </r>
  <r>
    <s v="ORD2756"/>
    <x v="522"/>
    <x v="583"/>
    <s v="Priya"/>
    <x v="0"/>
    <s v="Delhi"/>
    <x v="0"/>
    <s v="Table"/>
    <s v="Table 25"/>
    <n v="5"/>
    <n v="22624.84"/>
    <n v="15"/>
    <x v="2"/>
    <x v="3"/>
  </r>
  <r>
    <s v="ORD2758"/>
    <x v="93"/>
    <x v="115"/>
    <s v="Karan"/>
    <x v="0"/>
    <s v="Mumbai"/>
    <x v="0"/>
    <s v="Chair"/>
    <s v="Chair 6"/>
    <n v="6"/>
    <n v="17064.75"/>
    <n v="20"/>
    <x v="5"/>
    <x v="0"/>
  </r>
  <r>
    <s v="ORD2759"/>
    <x v="222"/>
    <x v="206"/>
    <s v="Vikas"/>
    <x v="4"/>
    <s v="Delhi"/>
    <x v="0"/>
    <s v="Chair"/>
    <s v="Chair 11"/>
    <n v="9"/>
    <n v="44551.89"/>
    <s v="10 %"/>
    <x v="3"/>
    <x v="2"/>
  </r>
  <r>
    <s v="ORD2760"/>
    <x v="67"/>
    <x v="395"/>
    <s v="Amit"/>
    <x v="3"/>
    <s v="Delhi"/>
    <x v="1"/>
    <s v="Laptop"/>
    <s v="Laptop 10"/>
    <n v="2"/>
    <n v="2055.0100000000002"/>
    <n v="15"/>
    <x v="3"/>
    <x v="2"/>
  </r>
  <r>
    <s v="ORD2762"/>
    <x v="104"/>
    <x v="70"/>
    <s v="Vikas "/>
    <x v="2"/>
    <s v="Jaipur"/>
    <x v="1"/>
    <s v="Phone"/>
    <s v="Phone 3"/>
    <n v="3"/>
    <n v="4067.44"/>
    <s v="10 %"/>
    <x v="5"/>
    <x v="3"/>
  </r>
  <r>
    <s v="ORD2763"/>
    <x v="308"/>
    <x v="227"/>
    <s v="Arjun"/>
    <x v="0"/>
    <s v="Kolkata"/>
    <x v="0"/>
    <s v="Chair"/>
    <s v="Chair 14"/>
    <n v="6"/>
    <n v="14453.88"/>
    <n v="0"/>
    <x v="5"/>
    <x v="0"/>
  </r>
  <r>
    <s v="ORD2764"/>
    <x v="569"/>
    <x v="360"/>
    <s v="Sneha"/>
    <x v="2"/>
    <s v="Kolkata"/>
    <x v="2"/>
    <s v="Phone"/>
    <s v="Phone 25"/>
    <n v="1"/>
    <n v="2211.2600000000002"/>
    <n v="10"/>
    <x v="4"/>
    <x v="3"/>
  </r>
  <r>
    <s v="ORD2765"/>
    <x v="404"/>
    <x v="737"/>
    <s v="Arjun"/>
    <x v="1"/>
    <s v="delhi "/>
    <x v="0"/>
    <s v="Chair"/>
    <s v="Chair 21"/>
    <n v="10"/>
    <n v="33968.699999999997"/>
    <n v="5"/>
    <x v="0"/>
    <x v="2"/>
  </r>
  <r>
    <s v="ORD2766"/>
    <x v="139"/>
    <x v="363"/>
    <s v="Vikas"/>
    <x v="1"/>
    <s v="Delhi"/>
    <x v="2"/>
    <s v="Phone"/>
    <s v="Phone 11"/>
    <n v="2"/>
    <n v="2634.35"/>
    <s v="10 %"/>
    <x v="4"/>
    <x v="0"/>
  </r>
  <r>
    <s v="ORD2767"/>
    <x v="209"/>
    <x v="14"/>
    <s v="Arjun"/>
    <x v="2"/>
    <s v="delhi "/>
    <x v="0"/>
    <s v="Table"/>
    <s v="Table 13"/>
    <n v="8"/>
    <n v="38244.79"/>
    <n v="20"/>
    <x v="0"/>
    <x v="0"/>
  </r>
  <r>
    <s v="ORD2768"/>
    <x v="171"/>
    <x v="738"/>
    <s v="Rahul "/>
    <x v="0"/>
    <s v="Delhi"/>
    <x v="0"/>
    <s v="Table"/>
    <s v="Table 23"/>
    <n v="2"/>
    <n v="5537.82"/>
    <n v="20"/>
    <x v="0"/>
    <x v="3"/>
  </r>
  <r>
    <s v="ORD2769"/>
    <x v="252"/>
    <x v="509"/>
    <s v="Rahul "/>
    <x v="1"/>
    <s v="Bengaluru"/>
    <x v="0"/>
    <s v="Table"/>
    <s v="Table 15"/>
    <n v="10"/>
    <n v="39499.57"/>
    <n v="0"/>
    <x v="5"/>
    <x v="1"/>
  </r>
  <r>
    <s v="ORD2770"/>
    <x v="459"/>
    <x v="383"/>
    <s v="Vikas"/>
    <x v="3"/>
    <s v="Jaipur"/>
    <x v="2"/>
    <s v="Phone"/>
    <s v="Phone 21"/>
    <n v="7"/>
    <n v="2242.35"/>
    <n v="20"/>
    <x v="2"/>
    <x v="2"/>
  </r>
  <r>
    <s v="ORD2771"/>
    <x v="618"/>
    <x v="739"/>
    <s v="Karan"/>
    <x v="2"/>
    <s v="Pune"/>
    <x v="1"/>
    <s v="Laptop"/>
    <s v="Laptop 6"/>
    <n v="5"/>
    <n v="16956.7"/>
    <s v="10 %"/>
    <x v="2"/>
    <x v="3"/>
  </r>
  <r>
    <s v="ORD2772"/>
    <x v="209"/>
    <x v="677"/>
    <s v="Riya"/>
    <x v="2"/>
    <s v="Pune"/>
    <x v="1"/>
    <s v="Phone"/>
    <s v="Phone 12"/>
    <n v="2"/>
    <n v="4484.17"/>
    <n v="5"/>
    <x v="3"/>
    <x v="0"/>
  </r>
  <r>
    <s v="ORD2773"/>
    <x v="624"/>
    <x v="527"/>
    <s v="Arjun"/>
    <x v="0"/>
    <s v="Mumbai"/>
    <x v="2"/>
    <s v="Phone"/>
    <s v="Phone 14"/>
    <n v="1"/>
    <n v="2358.38"/>
    <n v="0"/>
    <x v="3"/>
    <x v="2"/>
  </r>
  <r>
    <s v="ORD2774"/>
    <x v="360"/>
    <x v="740"/>
    <s v="Anjali"/>
    <x v="3"/>
    <s v="Bengaluru"/>
    <x v="0"/>
    <s v="Table"/>
    <s v="Table 13"/>
    <n v="9"/>
    <n v="5174.01"/>
    <n v="5"/>
    <x v="5"/>
    <x v="0"/>
  </r>
  <r>
    <s v="ORD2775"/>
    <x v="56"/>
    <x v="547"/>
    <s v="Amit"/>
    <x v="4"/>
    <s v="Kolkata"/>
    <x v="2"/>
    <s v="Phone"/>
    <s v="Phone 23"/>
    <n v="3"/>
    <n v="9214.56"/>
    <n v="0"/>
    <x v="0"/>
    <x v="3"/>
  </r>
  <r>
    <s v="ORD2777"/>
    <x v="506"/>
    <x v="741"/>
    <s v="Vikas"/>
    <x v="0"/>
    <s v="Mumbai"/>
    <x v="0"/>
    <s v="Table"/>
    <s v="Table 19"/>
    <n v="8"/>
    <n v="17659.63"/>
    <n v="15"/>
    <x v="3"/>
    <x v="0"/>
  </r>
  <r>
    <s v="ORD2778"/>
    <x v="625"/>
    <x v="742"/>
    <s v="Vikas"/>
    <x v="1"/>
    <s v="Jaipur"/>
    <x v="1"/>
    <s v="Laptop"/>
    <s v="Laptop 15"/>
    <n v="6"/>
    <n v="25626.1"/>
    <n v="15"/>
    <x v="3"/>
    <x v="1"/>
  </r>
  <r>
    <s v="ORD2780"/>
    <x v="313"/>
    <x v="65"/>
    <s v="Priya"/>
    <x v="0"/>
    <s v="Kolkata"/>
    <x v="0"/>
    <s v="Table"/>
    <s v="Table 8"/>
    <n v="3"/>
    <n v="8680.24"/>
    <n v="10"/>
    <x v="3"/>
    <x v="0"/>
  </r>
  <r>
    <s v="ORD2781"/>
    <x v="569"/>
    <x v="142"/>
    <s v="Anjali"/>
    <x v="4"/>
    <s v="Bengaluru"/>
    <x v="1"/>
    <s v="Laptop"/>
    <s v="Laptop 3"/>
    <n v="8"/>
    <n v="17156.310000000001"/>
    <n v="10"/>
    <x v="1"/>
    <x v="3"/>
  </r>
  <r>
    <s v="ORD2782"/>
    <x v="567"/>
    <x v="743"/>
    <s v="Vikas"/>
    <x v="0"/>
    <s v="Jaipur"/>
    <x v="2"/>
    <s v="Phone"/>
    <s v="Phone 26"/>
    <n v="6"/>
    <n v="26848.55"/>
    <n v="20"/>
    <x v="2"/>
    <x v="3"/>
  </r>
  <r>
    <s v="ORD2783"/>
    <x v="626"/>
    <x v="626"/>
    <s v="Karan"/>
    <x v="0"/>
    <s v="Jaipur"/>
    <x v="2"/>
    <s v="Phone"/>
    <s v="Phone 23"/>
    <n v="4"/>
    <n v="5155.83"/>
    <n v="0"/>
    <x v="1"/>
    <x v="1"/>
  </r>
  <r>
    <s v="ORD2784"/>
    <x v="403"/>
    <x v="744"/>
    <s v="Rahul"/>
    <x v="0"/>
    <s v="Bengaluru"/>
    <x v="2"/>
    <s v="Phone"/>
    <s v="Phone 5"/>
    <n v="4"/>
    <n v="8731.61"/>
    <n v="0"/>
    <x v="4"/>
    <x v="0"/>
  </r>
  <r>
    <s v="ORD2785"/>
    <x v="509"/>
    <x v="745"/>
    <s v="Anjali"/>
    <x v="0"/>
    <s v="Delhi"/>
    <x v="0"/>
    <s v="Chair"/>
    <s v="Chair 3"/>
    <n v="9"/>
    <n v="41582.31"/>
    <n v="5"/>
    <x v="4"/>
    <x v="3"/>
  </r>
  <r>
    <s v="ORD2786"/>
    <x v="480"/>
    <x v="594"/>
    <s v="Neha"/>
    <x v="4"/>
    <s v="Delhi"/>
    <x v="0"/>
    <s v="Table"/>
    <s v="Table 7"/>
    <n v="6"/>
    <n v="16814.79"/>
    <n v="15"/>
    <x v="4"/>
    <x v="3"/>
  </r>
  <r>
    <s v="ORD2787"/>
    <x v="627"/>
    <x v="147"/>
    <s v="Riya"/>
    <x v="3"/>
    <s v="Pune"/>
    <x v="3"/>
    <s v="Paper"/>
    <s v="Paper 2"/>
    <n v="6"/>
    <n v="17475.46"/>
    <n v="5"/>
    <x v="2"/>
    <x v="0"/>
  </r>
  <r>
    <s v="ORD2788"/>
    <x v="44"/>
    <x v="733"/>
    <s v="Karan"/>
    <x v="0"/>
    <s v="Bengaluru"/>
    <x v="3"/>
    <s v="Paper"/>
    <s v="Paper 1"/>
    <n v="10"/>
    <n v="38154.550000000003"/>
    <n v="20"/>
    <x v="1"/>
    <x v="3"/>
  </r>
  <r>
    <s v="ORD2789"/>
    <x v="384"/>
    <x v="245"/>
    <s v="Karan"/>
    <x v="4"/>
    <s v="Pune"/>
    <x v="2"/>
    <s v="Phone"/>
    <s v="Phone 13"/>
    <n v="7"/>
    <n v="12063.6"/>
    <n v="5"/>
    <x v="0"/>
    <x v="3"/>
  </r>
  <r>
    <s v="ORD2791"/>
    <x v="421"/>
    <x v="746"/>
    <s v="Anjali"/>
    <x v="3"/>
    <s v="Jaipur"/>
    <x v="2"/>
    <s v="Phone"/>
    <s v="Phone 4"/>
    <n v="10"/>
    <n v="8560.68"/>
    <n v="15"/>
    <x v="1"/>
    <x v="3"/>
  </r>
  <r>
    <s v="ORD2792"/>
    <x v="307"/>
    <x v="495"/>
    <s v="Rahul"/>
    <x v="4"/>
    <s v="Jaipur"/>
    <x v="1"/>
    <s v="Phone"/>
    <s v="Phone 11"/>
    <n v="3"/>
    <n v="13590.04"/>
    <n v="0"/>
    <x v="0"/>
    <x v="3"/>
  </r>
  <r>
    <s v="ORD2793"/>
    <x v="248"/>
    <x v="82"/>
    <s v="Rahul "/>
    <x v="0"/>
    <s v="Delhi"/>
    <x v="1"/>
    <s v="Phone"/>
    <s v="Phone 16"/>
    <n v="5"/>
    <n v="6670.27"/>
    <n v="10"/>
    <x v="2"/>
    <x v="1"/>
  </r>
  <r>
    <s v="ORD2794"/>
    <x v="408"/>
    <x v="747"/>
    <s v="Riya"/>
    <x v="0"/>
    <s v="Pune"/>
    <x v="1"/>
    <s v="Laptop"/>
    <s v="Laptop 8"/>
    <n v="3"/>
    <n v="9704.93"/>
    <n v="20"/>
    <x v="1"/>
    <x v="2"/>
  </r>
  <r>
    <s v="ORD2795"/>
    <x v="450"/>
    <x v="513"/>
    <s v="Karan"/>
    <x v="0"/>
    <s v="Mumbai"/>
    <x v="1"/>
    <s v="Laptop"/>
    <s v="Laptop 25"/>
    <n v="6"/>
    <n v="18557.36"/>
    <n v="0"/>
    <x v="5"/>
    <x v="0"/>
  </r>
  <r>
    <s v="ORD2796"/>
    <x v="628"/>
    <x v="87"/>
    <s v="Karan"/>
    <x v="0"/>
    <s v="Bengaluru"/>
    <x v="0"/>
    <s v="Chair"/>
    <s v="Chair 17"/>
    <n v="7"/>
    <n v="16713.54"/>
    <s v="10 %"/>
    <x v="0"/>
    <x v="3"/>
  </r>
  <r>
    <s v="ORD2797"/>
    <x v="327"/>
    <x v="397"/>
    <s v="Arjun"/>
    <x v="2"/>
    <s v="Bengaluru"/>
    <x v="3"/>
    <s v="Paper"/>
    <s v="Paper 14"/>
    <n v="9"/>
    <n v="24895.31"/>
    <s v="10 %"/>
    <x v="0"/>
    <x v="0"/>
  </r>
  <r>
    <s v="ORD2798"/>
    <x v="629"/>
    <x v="669"/>
    <s v="Priya"/>
    <x v="3"/>
    <s v="Kolkata"/>
    <x v="3"/>
    <s v="Paper"/>
    <s v="Paper 19"/>
    <n v="1"/>
    <n v="2257.9299999999998"/>
    <n v="15"/>
    <x v="2"/>
    <x v="2"/>
  </r>
  <r>
    <s v="ORD2799"/>
    <x v="62"/>
    <x v="482"/>
    <s v="Vikas"/>
    <x v="4"/>
    <s v="Jaipur"/>
    <x v="1"/>
    <s v="Phone"/>
    <s v="Phone 14"/>
    <n v="7"/>
    <n v="17810.09"/>
    <n v="0"/>
    <x v="3"/>
    <x v="2"/>
  </r>
  <r>
    <s v="ORD2800"/>
    <x v="463"/>
    <x v="237"/>
    <s v="Neha"/>
    <x v="0"/>
    <s v="Bengaluru"/>
    <x v="1"/>
    <s v="Phone"/>
    <s v="Phone 15"/>
    <n v="4"/>
    <n v="7530.07"/>
    <n v="15"/>
    <x v="4"/>
    <x v="3"/>
  </r>
  <r>
    <s v="ORD2802"/>
    <x v="107"/>
    <x v="748"/>
    <s v="Arjun"/>
    <x v="3"/>
    <s v="Jaipur"/>
    <x v="3"/>
    <s v="Paper"/>
    <s v="Paper 26"/>
    <n v="9"/>
    <n v="4942.97"/>
    <n v="15"/>
    <x v="1"/>
    <x v="0"/>
  </r>
  <r>
    <s v="ORD2803"/>
    <x v="73"/>
    <x v="29"/>
    <s v="Priya"/>
    <x v="3"/>
    <s v="Kolkata"/>
    <x v="0"/>
    <s v="Chair"/>
    <s v="Chair 20"/>
    <n v="5"/>
    <n v="16079.96"/>
    <n v="5"/>
    <x v="0"/>
    <x v="1"/>
  </r>
  <r>
    <s v="ORD2804"/>
    <x v="159"/>
    <x v="72"/>
    <s v="Priya"/>
    <x v="0"/>
    <s v="Kolkata"/>
    <x v="0"/>
    <s v="Chair"/>
    <s v="Chair 13"/>
    <n v="1"/>
    <n v="3895.02"/>
    <s v="10 %"/>
    <x v="4"/>
    <x v="0"/>
  </r>
  <r>
    <s v="ORD2805"/>
    <x v="113"/>
    <x v="400"/>
    <s v="Priya"/>
    <x v="0"/>
    <s v="Pune"/>
    <x v="1"/>
    <s v="Phone"/>
    <s v="Phone 21"/>
    <n v="8"/>
    <n v="34683.769999999997"/>
    <n v="20"/>
    <x v="0"/>
    <x v="3"/>
  </r>
  <r>
    <s v="ORD2807"/>
    <x v="478"/>
    <x v="9"/>
    <s v="Vikas "/>
    <x v="0"/>
    <s v="Jaipur"/>
    <x v="2"/>
    <s v="Phone"/>
    <s v="Phone 7"/>
    <n v="2"/>
    <n v="2307.66"/>
    <n v="15"/>
    <x v="3"/>
    <x v="3"/>
  </r>
  <r>
    <s v="ORD2808"/>
    <x v="171"/>
    <x v="269"/>
    <s v="Priya"/>
    <x v="3"/>
    <s v="Delhi"/>
    <x v="1"/>
    <s v="Laptop"/>
    <s v="Laptop 18"/>
    <n v="9"/>
    <n v="4715.1099999999997"/>
    <n v="15"/>
    <x v="3"/>
    <x v="1"/>
  </r>
  <r>
    <s v="ORD2810"/>
    <x v="173"/>
    <x v="593"/>
    <s v="Anjali"/>
    <x v="2"/>
    <s v="Bengaluru"/>
    <x v="0"/>
    <s v="Chair"/>
    <s v="Chair 16"/>
    <n v="6"/>
    <n v="10201.36"/>
    <n v="0"/>
    <x v="5"/>
    <x v="3"/>
  </r>
  <r>
    <s v="ORD2811"/>
    <x v="120"/>
    <x v="481"/>
    <s v="Riya"/>
    <x v="3"/>
    <s v="Kolkata"/>
    <x v="1"/>
    <s v="Laptop"/>
    <s v="Laptop 29"/>
    <n v="1"/>
    <n v="1536.86"/>
    <s v="10 %"/>
    <x v="1"/>
    <x v="0"/>
  </r>
  <r>
    <s v="ORD2812"/>
    <x v="55"/>
    <x v="575"/>
    <s v="Anjali"/>
    <x v="2"/>
    <s v="Jaipur"/>
    <x v="1"/>
    <s v="Laptop"/>
    <s v="Laptop 5"/>
    <n v="8"/>
    <n v="10411.69"/>
    <s v="10 %"/>
    <x v="2"/>
    <x v="1"/>
  </r>
  <r>
    <s v="ORD2813"/>
    <x v="405"/>
    <x v="215"/>
    <s v="Amit"/>
    <x v="3"/>
    <s v="Delhi"/>
    <x v="1"/>
    <s v="Phone"/>
    <s v="Phone 15"/>
    <n v="6"/>
    <n v="16828.93"/>
    <n v="0"/>
    <x v="4"/>
    <x v="3"/>
  </r>
  <r>
    <s v="ORD2815"/>
    <x v="46"/>
    <x v="749"/>
    <s v="Amit"/>
    <x v="0"/>
    <s v="Mumbai"/>
    <x v="2"/>
    <s v="Phone"/>
    <s v="Phone 2"/>
    <n v="9"/>
    <n v="16457.7"/>
    <n v="10"/>
    <x v="2"/>
    <x v="0"/>
  </r>
  <r>
    <s v="ORD2816"/>
    <x v="334"/>
    <x v="511"/>
    <s v="Anjali"/>
    <x v="0"/>
    <s v="Kolkata"/>
    <x v="0"/>
    <s v="Chair"/>
    <s v="Chair 7"/>
    <n v="9"/>
    <n v="14257.12"/>
    <s v="10 %"/>
    <x v="5"/>
    <x v="3"/>
  </r>
  <r>
    <s v="ORD2817"/>
    <x v="404"/>
    <x v="162"/>
    <s v="Anjali "/>
    <x v="0"/>
    <s v="Kolkata"/>
    <x v="0"/>
    <s v="Table"/>
    <s v="Table 23"/>
    <n v="3"/>
    <n v="2297.2399999999998"/>
    <n v="15"/>
    <x v="5"/>
    <x v="2"/>
  </r>
  <r>
    <s v="ORD2818"/>
    <x v="560"/>
    <x v="464"/>
    <s v="Priya"/>
    <x v="4"/>
    <s v="Mumbai"/>
    <x v="2"/>
    <s v="Phone"/>
    <s v="Phone 10"/>
    <n v="9"/>
    <n v="16682.03"/>
    <n v="0"/>
    <x v="3"/>
    <x v="2"/>
  </r>
  <r>
    <s v="ORD2819"/>
    <x v="236"/>
    <x v="750"/>
    <s v="Rahul"/>
    <x v="2"/>
    <s v="Delhi"/>
    <x v="2"/>
    <s v="Phone"/>
    <s v="Phone 21"/>
    <n v="8"/>
    <n v="31490.79"/>
    <n v="0"/>
    <x v="5"/>
    <x v="0"/>
  </r>
  <r>
    <s v="ORD2820"/>
    <x v="421"/>
    <x v="232"/>
    <s v="Vikas"/>
    <x v="0"/>
    <s v="Delhi"/>
    <x v="1"/>
    <s v="Laptop"/>
    <s v="Laptop 20"/>
    <n v="7"/>
    <n v="16028.44"/>
    <n v="10"/>
    <x v="0"/>
    <x v="3"/>
  </r>
  <r>
    <s v="ORD2821"/>
    <x v="250"/>
    <x v="504"/>
    <s v="Riya"/>
    <x v="0"/>
    <s v="delhi "/>
    <x v="0"/>
    <s v="Table"/>
    <s v="Table 21"/>
    <n v="8"/>
    <n v="24458.52"/>
    <n v="15"/>
    <x v="5"/>
    <x v="3"/>
  </r>
  <r>
    <s v="ORD2823"/>
    <x v="472"/>
    <x v="490"/>
    <s v="Arjun"/>
    <x v="4"/>
    <s v="Bengaluru"/>
    <x v="0"/>
    <s v="Table"/>
    <s v="Table 3"/>
    <n v="7"/>
    <n v="15807"/>
    <n v="20"/>
    <x v="0"/>
    <x v="2"/>
  </r>
  <r>
    <s v="ORD2824"/>
    <x v="401"/>
    <x v="687"/>
    <s v="Amit"/>
    <x v="2"/>
    <s v="Bengaluru"/>
    <x v="0"/>
    <s v="Chair"/>
    <s v="Chair 26"/>
    <n v="2"/>
    <n v="7457.37"/>
    <n v="5"/>
    <x v="0"/>
    <x v="0"/>
  </r>
  <r>
    <s v="ORD2826"/>
    <x v="390"/>
    <x v="342"/>
    <s v="Arjun"/>
    <x v="0"/>
    <s v="delhi "/>
    <x v="1"/>
    <s v="Phone"/>
    <s v="Phone 30"/>
    <n v="5"/>
    <n v="22748.26"/>
    <n v="0"/>
    <x v="1"/>
    <x v="3"/>
  </r>
  <r>
    <s v="ORD2827"/>
    <x v="41"/>
    <x v="638"/>
    <s v="Karan"/>
    <x v="2"/>
    <s v="Pune"/>
    <x v="2"/>
    <s v="Phone"/>
    <s v="Phone 4"/>
    <n v="3"/>
    <n v="7380.34"/>
    <n v="15"/>
    <x v="5"/>
    <x v="1"/>
  </r>
  <r>
    <s v="ORD2828"/>
    <x v="11"/>
    <x v="283"/>
    <s v="Priya"/>
    <x v="1"/>
    <s v="Jaipur"/>
    <x v="1"/>
    <s v="Laptop"/>
    <s v="Laptop 17"/>
    <n v="9"/>
    <n v="17214.64"/>
    <n v="10"/>
    <x v="1"/>
    <x v="3"/>
  </r>
  <r>
    <s v="ORD2829"/>
    <x v="506"/>
    <x v="685"/>
    <s v="Amit"/>
    <x v="4"/>
    <s v="Bengaluru"/>
    <x v="3"/>
    <s v="Paper"/>
    <s v="Paper 9"/>
    <n v="1"/>
    <n v="1975.45"/>
    <n v="0"/>
    <x v="3"/>
    <x v="0"/>
  </r>
  <r>
    <s v="ORD2831"/>
    <x v="10"/>
    <x v="714"/>
    <s v="Rahul"/>
    <x v="4"/>
    <s v="Delhi"/>
    <x v="1"/>
    <s v="Laptop"/>
    <s v="Laptop 23"/>
    <n v="4"/>
    <n v="13503.9"/>
    <s v="10 %"/>
    <x v="0"/>
    <x v="3"/>
  </r>
  <r>
    <s v="ORD2832"/>
    <x v="360"/>
    <x v="174"/>
    <s v="Vikas"/>
    <x v="1"/>
    <s v="Mumbai"/>
    <x v="2"/>
    <s v="Phone"/>
    <s v="Phone 4"/>
    <n v="8"/>
    <n v="14218.07"/>
    <n v="20"/>
    <x v="0"/>
    <x v="1"/>
  </r>
  <r>
    <s v="ORD2833"/>
    <x v="572"/>
    <x v="353"/>
    <s v="Arjun"/>
    <x v="4"/>
    <s v="Delhi"/>
    <x v="0"/>
    <s v="Chair"/>
    <s v="Chair 20"/>
    <n v="10"/>
    <n v="23194.59"/>
    <n v="20"/>
    <x v="5"/>
    <x v="0"/>
  </r>
  <r>
    <s v="ORD2834"/>
    <x v="157"/>
    <x v="604"/>
    <s v="Priya"/>
    <x v="0"/>
    <s v="Pune"/>
    <x v="2"/>
    <s v="Phone"/>
    <s v="Phone 11"/>
    <n v="9"/>
    <n v="36337.21"/>
    <s v="10 %"/>
    <x v="0"/>
    <x v="0"/>
  </r>
  <r>
    <s v="ORD2835"/>
    <x v="119"/>
    <x v="210"/>
    <s v="Arjun"/>
    <x v="4"/>
    <s v="Kolkata"/>
    <x v="0"/>
    <s v="Chair"/>
    <s v="Chair 28"/>
    <n v="8"/>
    <n v="33167.279999999999"/>
    <n v="20"/>
    <x v="4"/>
    <x v="0"/>
  </r>
  <r>
    <s v="ORD2836"/>
    <x v="232"/>
    <x v="277"/>
    <s v="Amit"/>
    <x v="0"/>
    <s v="Pune"/>
    <x v="0"/>
    <s v="Chair"/>
    <s v="Chair 2"/>
    <n v="3"/>
    <n v="12154.64"/>
    <n v="20"/>
    <x v="2"/>
    <x v="0"/>
  </r>
  <r>
    <s v="ORD2837"/>
    <x v="578"/>
    <x v="195"/>
    <s v="Riya"/>
    <x v="3"/>
    <s v="Jaipur"/>
    <x v="3"/>
    <s v="Paper"/>
    <s v="Paper 26"/>
    <n v="8"/>
    <n v="37942.01"/>
    <n v="20"/>
    <x v="1"/>
    <x v="1"/>
  </r>
  <r>
    <s v="ORD2838"/>
    <x v="210"/>
    <x v="751"/>
    <s v="Anjali"/>
    <x v="1"/>
    <s v="Kolkata"/>
    <x v="0"/>
    <s v="Chair"/>
    <s v="Chair 13"/>
    <n v="9"/>
    <n v="31314.79"/>
    <n v="15"/>
    <x v="1"/>
    <x v="1"/>
  </r>
  <r>
    <s v="ORD2839"/>
    <x v="563"/>
    <x v="182"/>
    <s v="Vikas"/>
    <x v="1"/>
    <s v="Mumbai"/>
    <x v="0"/>
    <s v="Table"/>
    <s v="Table 13"/>
    <n v="5"/>
    <n v="11940.69"/>
    <n v="20"/>
    <x v="5"/>
    <x v="2"/>
  </r>
  <r>
    <s v="ORD2840"/>
    <x v="630"/>
    <x v="541"/>
    <s v="Neha "/>
    <x v="2"/>
    <s v="Bengaluru"/>
    <x v="1"/>
    <s v="Phone"/>
    <s v="Phone 17"/>
    <n v="7"/>
    <n v="13904.23"/>
    <n v="15"/>
    <x v="0"/>
    <x v="3"/>
  </r>
  <r>
    <s v="ORD2841"/>
    <x v="523"/>
    <x v="303"/>
    <s v="Sneha"/>
    <x v="1"/>
    <s v="Mumbai"/>
    <x v="1"/>
    <s v="Laptop"/>
    <s v="Laptop 5"/>
    <n v="5"/>
    <n v="19323.7"/>
    <n v="20"/>
    <x v="3"/>
    <x v="3"/>
  </r>
  <r>
    <s v="ORD2842"/>
    <x v="311"/>
    <x v="578"/>
    <s v="Sneha"/>
    <x v="4"/>
    <s v="Mumbai"/>
    <x v="1"/>
    <s v="Phone"/>
    <s v="Phone 12"/>
    <n v="4"/>
    <n v="11314.59"/>
    <s v="10 %"/>
    <x v="2"/>
    <x v="2"/>
  </r>
  <r>
    <s v="ORD2843"/>
    <x v="213"/>
    <x v="721"/>
    <s v="Vikas"/>
    <x v="0"/>
    <s v="Bengaluru"/>
    <x v="2"/>
    <s v="Phone"/>
    <s v="Phone 8"/>
    <n v="4"/>
    <n v="3065.16"/>
    <n v="5"/>
    <x v="5"/>
    <x v="3"/>
  </r>
  <r>
    <s v="ORD2844"/>
    <x v="472"/>
    <x v="60"/>
    <s v="Karan"/>
    <x v="0"/>
    <s v="Pune"/>
    <x v="2"/>
    <s v="Phone"/>
    <s v="Phone 19"/>
    <n v="8"/>
    <n v="32569.38"/>
    <s v="10 %"/>
    <x v="1"/>
    <x v="3"/>
  </r>
  <r>
    <s v="ORD2846"/>
    <x v="337"/>
    <x v="752"/>
    <s v="Neha"/>
    <x v="4"/>
    <s v="Jaipur"/>
    <x v="1"/>
    <s v="Laptop"/>
    <s v="Laptop 16"/>
    <n v="4"/>
    <n v="14662.19"/>
    <n v="10"/>
    <x v="5"/>
    <x v="3"/>
  </r>
  <r>
    <s v="ORD2847"/>
    <x v="319"/>
    <x v="753"/>
    <s v="Neha"/>
    <x v="3"/>
    <s v="Pune"/>
    <x v="0"/>
    <s v="Table"/>
    <s v="Table 27"/>
    <n v="2"/>
    <n v="1075.02"/>
    <n v="5"/>
    <x v="5"/>
    <x v="3"/>
  </r>
  <r>
    <s v="ORD2848"/>
    <x v="623"/>
    <x v="754"/>
    <s v="Priya"/>
    <x v="0"/>
    <s v="delhi "/>
    <x v="2"/>
    <s v="Phone"/>
    <s v="Phone 25"/>
    <n v="7"/>
    <n v="7812.3"/>
    <n v="10"/>
    <x v="5"/>
    <x v="2"/>
  </r>
  <r>
    <s v="ORD2849"/>
    <x v="347"/>
    <x v="290"/>
    <s v="Sneha"/>
    <x v="0"/>
    <s v="Mumbai"/>
    <x v="2"/>
    <s v="Phone"/>
    <s v="Phone 17"/>
    <n v="-8"/>
    <n v="22166.76"/>
    <n v="15"/>
    <x v="1"/>
    <x v="0"/>
  </r>
  <r>
    <s v="ORD2850"/>
    <x v="88"/>
    <x v="178"/>
    <s v="Riya"/>
    <x v="2"/>
    <s v="delhi "/>
    <x v="3"/>
    <s v="Paper"/>
    <s v="Paper 14"/>
    <n v="8"/>
    <n v="13778.38"/>
    <n v="20"/>
    <x v="3"/>
    <x v="0"/>
  </r>
  <r>
    <s v="ORD2852"/>
    <x v="566"/>
    <x v="505"/>
    <s v="Priya"/>
    <x v="2"/>
    <s v="Bengaluru"/>
    <x v="2"/>
    <s v="Phone"/>
    <s v="Phone 2"/>
    <n v="8"/>
    <n v="35764.44"/>
    <n v="0"/>
    <x v="3"/>
    <x v="3"/>
  </r>
  <r>
    <s v="ORD2853"/>
    <x v="512"/>
    <x v="755"/>
    <s v="Sneha"/>
    <x v="0"/>
    <s v="Delhi"/>
    <x v="0"/>
    <s v="Table"/>
    <s v="Table 20"/>
    <n v="9"/>
    <n v="17427.87"/>
    <s v="10 %"/>
    <x v="4"/>
    <x v="1"/>
  </r>
  <r>
    <s v="ORD2854"/>
    <x v="138"/>
    <x v="181"/>
    <s v="Priya"/>
    <x v="0"/>
    <s v="Jaipur"/>
    <x v="1"/>
    <s v="Laptop"/>
    <s v="Laptop 11"/>
    <n v="3"/>
    <n v="14188.8"/>
    <n v="0"/>
    <x v="0"/>
    <x v="1"/>
  </r>
  <r>
    <s v="ORD2856"/>
    <x v="220"/>
    <x v="344"/>
    <s v="Neha"/>
    <x v="0"/>
    <s v="Jaipur"/>
    <x v="1"/>
    <s v="Laptop"/>
    <s v="Laptop 1"/>
    <n v="5"/>
    <n v="10969.43"/>
    <n v="20"/>
    <x v="2"/>
    <x v="2"/>
  </r>
  <r>
    <s v="ORD2857"/>
    <x v="550"/>
    <x v="683"/>
    <s v="Amit"/>
    <x v="0"/>
    <s v="Pune"/>
    <x v="3"/>
    <s v="Paper"/>
    <s v="Paper 20"/>
    <n v="3"/>
    <n v="13752.5"/>
    <n v="5"/>
    <x v="4"/>
    <x v="1"/>
  </r>
  <r>
    <s v="ORD2858"/>
    <x v="631"/>
    <x v="340"/>
    <s v="Anjali "/>
    <x v="3"/>
    <s v="Delhi"/>
    <x v="1"/>
    <s v="Laptop"/>
    <s v="Laptop 17"/>
    <n v="5"/>
    <n v="18260.39"/>
    <n v="0"/>
    <x v="0"/>
    <x v="3"/>
  </r>
  <r>
    <s v="ORD2859"/>
    <x v="149"/>
    <x v="546"/>
    <s v="Karan"/>
    <x v="0"/>
    <s v="Jaipur"/>
    <x v="1"/>
    <s v="Laptop"/>
    <s v="Laptop 14"/>
    <n v="6"/>
    <n v="21626.54"/>
    <n v="5"/>
    <x v="1"/>
    <x v="0"/>
  </r>
  <r>
    <s v="ORD2860"/>
    <x v="28"/>
    <x v="116"/>
    <s v="Neha"/>
    <x v="2"/>
    <s v="Jaipur"/>
    <x v="0"/>
    <s v="Chair"/>
    <s v="Chair 17"/>
    <n v="7"/>
    <n v="17866.900000000001"/>
    <n v="15"/>
    <x v="0"/>
    <x v="1"/>
  </r>
  <r>
    <s v="ORD2861"/>
    <x v="221"/>
    <x v="681"/>
    <s v="Sneha"/>
    <x v="0"/>
    <s v="delhi "/>
    <x v="1"/>
    <s v="Phone"/>
    <s v="Phone 30"/>
    <n v="6"/>
    <n v="12374.52"/>
    <n v="5"/>
    <x v="1"/>
    <x v="0"/>
  </r>
  <r>
    <s v="ORD2862"/>
    <x v="209"/>
    <x v="581"/>
    <s v="Neha"/>
    <x v="3"/>
    <s v="Mumbai"/>
    <x v="0"/>
    <s v="Table"/>
    <s v="Table 9"/>
    <n v="3"/>
    <n v="10381.18"/>
    <s v="10 %"/>
    <x v="0"/>
    <x v="1"/>
  </r>
  <r>
    <s v="ORD2863"/>
    <x v="215"/>
    <x v="494"/>
    <s v="Vikas"/>
    <x v="4"/>
    <s v="Pune"/>
    <x v="0"/>
    <s v="Table"/>
    <s v="Table 14"/>
    <n v="1"/>
    <n v="2114.04"/>
    <n v="20"/>
    <x v="1"/>
    <x v="3"/>
  </r>
  <r>
    <s v="ORD2864"/>
    <x v="2"/>
    <x v="82"/>
    <s v="Sneha"/>
    <x v="1"/>
    <s v="delhi "/>
    <x v="1"/>
    <s v="Phone"/>
    <s v="Phone 19"/>
    <n v="9"/>
    <n v="9387.2800000000007"/>
    <n v="5"/>
    <x v="4"/>
    <x v="2"/>
  </r>
  <r>
    <s v="ORD2865"/>
    <x v="145"/>
    <x v="590"/>
    <s v="Riya"/>
    <x v="0"/>
    <s v="delhi "/>
    <x v="3"/>
    <s v="Paper"/>
    <s v="Paper 12"/>
    <n v="10"/>
    <n v="16771.5"/>
    <n v="0"/>
    <x v="1"/>
    <x v="3"/>
  </r>
  <r>
    <s v="ORD2866"/>
    <x v="68"/>
    <x v="154"/>
    <s v="Amit"/>
    <x v="1"/>
    <s v="Bengaluru"/>
    <x v="2"/>
    <s v="Phone"/>
    <s v="Phone 15"/>
    <n v="4"/>
    <n v="2579.7399999999998"/>
    <n v="10"/>
    <x v="1"/>
    <x v="0"/>
  </r>
  <r>
    <s v="ORD2867"/>
    <x v="632"/>
    <x v="603"/>
    <s v="Amit"/>
    <x v="0"/>
    <s v="delhi "/>
    <x v="1"/>
    <s v="Phone"/>
    <s v="Phone 25"/>
    <n v="6"/>
    <n v="13277.82"/>
    <n v="10"/>
    <x v="0"/>
    <x v="3"/>
  </r>
  <r>
    <s v="ORD2868"/>
    <x v="223"/>
    <x v="245"/>
    <s v="Anjali"/>
    <x v="4"/>
    <s v="delhi "/>
    <x v="1"/>
    <s v="Phone"/>
    <s v="Phone 27"/>
    <n v="2"/>
    <n v="5052.16"/>
    <n v="20"/>
    <x v="4"/>
    <x v="0"/>
  </r>
  <r>
    <s v="ORD2869"/>
    <x v="66"/>
    <x v="756"/>
    <s v="Rahul"/>
    <x v="4"/>
    <s v="Kolkata"/>
    <x v="1"/>
    <s v="Phone"/>
    <s v="Phone 22"/>
    <n v="5"/>
    <n v="17255.599999999999"/>
    <n v="0"/>
    <x v="0"/>
    <x v="1"/>
  </r>
  <r>
    <s v="ORD2870"/>
    <x v="633"/>
    <x v="757"/>
    <s v="Arjun"/>
    <x v="0"/>
    <s v="Bengaluru"/>
    <x v="1"/>
    <s v="Laptop"/>
    <s v="Laptop 21"/>
    <n v="8"/>
    <n v="976.83"/>
    <n v="5"/>
    <x v="5"/>
    <x v="2"/>
  </r>
  <r>
    <s v="ORD2871"/>
    <x v="475"/>
    <x v="602"/>
    <s v="Karan"/>
    <x v="3"/>
    <s v="Pune"/>
    <x v="0"/>
    <s v="Table"/>
    <s v="Table 3"/>
    <n v="8"/>
    <n v="6860.6"/>
    <n v="0"/>
    <x v="4"/>
    <x v="3"/>
  </r>
  <r>
    <s v="ORD2873"/>
    <x v="91"/>
    <x v="758"/>
    <s v="Arjun"/>
    <x v="4"/>
    <s v="Kolkata"/>
    <x v="2"/>
    <s v="Phone"/>
    <s v="Phone 13"/>
    <n v="2"/>
    <n v="7774.79"/>
    <n v="10"/>
    <x v="1"/>
    <x v="2"/>
  </r>
  <r>
    <s v="ORD2875"/>
    <x v="567"/>
    <x v="262"/>
    <s v="Amit"/>
    <x v="3"/>
    <s v="Kolkata"/>
    <x v="2"/>
    <s v="Phone"/>
    <s v="Phone 9"/>
    <n v="2"/>
    <n v="6881.2"/>
    <n v="15"/>
    <x v="5"/>
    <x v="1"/>
  </r>
  <r>
    <s v="ORD2876"/>
    <x v="634"/>
    <x v="713"/>
    <s v="Riya"/>
    <x v="0"/>
    <s v="Mumbai"/>
    <x v="3"/>
    <s v="Paper"/>
    <s v="Paper 29"/>
    <n v="2"/>
    <n v="8409.6299999999992"/>
    <n v="20"/>
    <x v="1"/>
    <x v="0"/>
  </r>
  <r>
    <s v="ORD2877"/>
    <x v="532"/>
    <x v="759"/>
    <s v="Rahul"/>
    <x v="0"/>
    <s v="Bengaluru"/>
    <x v="1"/>
    <s v="Phone"/>
    <s v="Phone 28"/>
    <n v="4"/>
    <n v="8039.17"/>
    <s v="10 %"/>
    <x v="3"/>
    <x v="3"/>
  </r>
  <r>
    <s v="ORD2880"/>
    <x v="635"/>
    <x v="426"/>
    <s v="Neha"/>
    <x v="3"/>
    <s v="delhi "/>
    <x v="0"/>
    <s v="Chair"/>
    <s v="Chair 10"/>
    <n v="10"/>
    <n v="22950.99"/>
    <s v="10 %"/>
    <x v="2"/>
    <x v="3"/>
  </r>
  <r>
    <s v="ORD2881"/>
    <x v="253"/>
    <x v="654"/>
    <s v="Riya"/>
    <x v="2"/>
    <s v="Mumbai"/>
    <x v="0"/>
    <s v="Table"/>
    <s v="Table 26"/>
    <n v="9"/>
    <n v="36353.85"/>
    <n v="10"/>
    <x v="2"/>
    <x v="1"/>
  </r>
  <r>
    <s v="ORD2882"/>
    <x v="237"/>
    <x v="486"/>
    <s v="Sneha"/>
    <x v="0"/>
    <s v="Bengaluru"/>
    <x v="0"/>
    <s v="Table"/>
    <s v="Table 6"/>
    <n v="2"/>
    <n v="8208.76"/>
    <n v="10"/>
    <x v="5"/>
    <x v="3"/>
  </r>
  <r>
    <s v="ORD2883"/>
    <x v="636"/>
    <x v="511"/>
    <s v="Sneha"/>
    <x v="0"/>
    <s v="Jaipur"/>
    <x v="0"/>
    <s v="Table"/>
    <s v="Table 16"/>
    <n v="10"/>
    <n v="1663.5"/>
    <n v="0"/>
    <x v="1"/>
    <x v="2"/>
  </r>
  <r>
    <s v="ORD2884"/>
    <x v="637"/>
    <x v="30"/>
    <s v="Anjali "/>
    <x v="3"/>
    <s v="Bengaluru"/>
    <x v="2"/>
    <s v="Phone"/>
    <s v="Phone 17"/>
    <n v="5"/>
    <n v="12753.75"/>
    <n v="10"/>
    <x v="0"/>
    <x v="0"/>
  </r>
  <r>
    <s v="ORD2885"/>
    <x v="141"/>
    <x v="184"/>
    <s v="Anjali"/>
    <x v="4"/>
    <s v="Pune"/>
    <x v="0"/>
    <s v="Table"/>
    <s v="Table 6"/>
    <n v="9"/>
    <n v="21293.95"/>
    <s v="10 %"/>
    <x v="5"/>
    <x v="3"/>
  </r>
  <r>
    <s v="ORD2886"/>
    <x v="623"/>
    <x v="760"/>
    <s v="Arjun"/>
    <x v="4"/>
    <s v="delhi "/>
    <x v="0"/>
    <s v="Table"/>
    <s v="Table 19"/>
    <n v="7"/>
    <n v="28586.31"/>
    <n v="5"/>
    <x v="4"/>
    <x v="0"/>
  </r>
  <r>
    <s v="ORD2888"/>
    <x v="173"/>
    <x v="734"/>
    <s v="Priya"/>
    <x v="4"/>
    <s v="Jaipur"/>
    <x v="3"/>
    <s v="Paper"/>
    <s v="Paper 21"/>
    <n v="3"/>
    <n v="14331.13"/>
    <n v="15"/>
    <x v="1"/>
    <x v="3"/>
  </r>
  <r>
    <s v="ORD2889"/>
    <x v="330"/>
    <x v="447"/>
    <s v="Sneha"/>
    <x v="4"/>
    <s v="Mumbai"/>
    <x v="1"/>
    <s v="Phone"/>
    <s v="Phone 17"/>
    <n v="6"/>
    <n v="23955.13"/>
    <s v="10 %"/>
    <x v="1"/>
    <x v="3"/>
  </r>
  <r>
    <s v="ORD2890"/>
    <x v="119"/>
    <x v="370"/>
    <s v="Vikas"/>
    <x v="4"/>
    <s v="Mumbai"/>
    <x v="0"/>
    <s v="Table"/>
    <s v="Table 14"/>
    <n v="3"/>
    <n v="14898.69"/>
    <n v="5"/>
    <x v="2"/>
    <x v="3"/>
  </r>
  <r>
    <s v="ORD2891"/>
    <x v="255"/>
    <x v="605"/>
    <s v="Priya"/>
    <x v="2"/>
    <s v="Mumbai"/>
    <x v="2"/>
    <s v="Phone"/>
    <s v="Phone 29"/>
    <n v="4"/>
    <n v="15824.64"/>
    <s v="10 %"/>
    <x v="3"/>
    <x v="1"/>
  </r>
  <r>
    <s v="ORD2892"/>
    <x v="545"/>
    <x v="68"/>
    <s v="Anjali"/>
    <x v="3"/>
    <s v="Delhi"/>
    <x v="0"/>
    <s v="Table"/>
    <s v="Table 5"/>
    <n v="10"/>
    <n v="23801.56"/>
    <n v="0"/>
    <x v="0"/>
    <x v="3"/>
  </r>
  <r>
    <s v="ORD2893"/>
    <x v="149"/>
    <x v="539"/>
    <s v="Sneha"/>
    <x v="2"/>
    <s v="Delhi"/>
    <x v="1"/>
    <s v="Phone"/>
    <s v="Phone 13"/>
    <n v="1"/>
    <n v="3140"/>
    <n v="5"/>
    <x v="2"/>
    <x v="0"/>
  </r>
  <r>
    <s v="ORD2894"/>
    <x v="591"/>
    <x v="291"/>
    <s v="Riya"/>
    <x v="4"/>
    <s v="delhi "/>
    <x v="1"/>
    <s v="Laptop"/>
    <s v="Laptop 27"/>
    <n v="6"/>
    <n v="19168.919999999998"/>
    <s v="10 %"/>
    <x v="0"/>
    <x v="2"/>
  </r>
  <r>
    <s v="ORD2896"/>
    <x v="340"/>
    <x v="761"/>
    <s v="Arjun"/>
    <x v="0"/>
    <s v="Delhi"/>
    <x v="3"/>
    <s v="Paper"/>
    <s v="Paper 21"/>
    <n v="8"/>
    <n v="2444.4"/>
    <n v="10"/>
    <x v="4"/>
    <x v="1"/>
  </r>
  <r>
    <s v="ORD2898"/>
    <x v="638"/>
    <x v="647"/>
    <s v="Neha"/>
    <x v="4"/>
    <s v="Kolkata"/>
    <x v="0"/>
    <s v="Table"/>
    <s v="Table 3"/>
    <n v="7"/>
    <n v="21548"/>
    <n v="20"/>
    <x v="5"/>
    <x v="0"/>
  </r>
  <r>
    <s v="ORD2899"/>
    <x v="298"/>
    <x v="432"/>
    <s v="Anjali"/>
    <x v="1"/>
    <s v="Mumbai"/>
    <x v="3"/>
    <s v="Paper"/>
    <s v="Paper 16"/>
    <n v="4"/>
    <n v="3669.42"/>
    <s v="10 %"/>
    <x v="4"/>
    <x v="0"/>
  </r>
  <r>
    <s v="ORD2900"/>
    <x v="528"/>
    <x v="11"/>
    <s v="Rahul"/>
    <x v="0"/>
    <s v="Delhi"/>
    <x v="0"/>
    <s v="Table"/>
    <s v="Table 16"/>
    <n v="8"/>
    <n v="24709.11"/>
    <n v="20"/>
    <x v="3"/>
    <x v="0"/>
  </r>
  <r>
    <s v="ORD2902"/>
    <x v="639"/>
    <x v="490"/>
    <s v="Arjun"/>
    <x v="0"/>
    <s v="Kolkata"/>
    <x v="0"/>
    <s v="Chair"/>
    <s v="Chair 20"/>
    <n v="6"/>
    <n v="7566.2"/>
    <n v="15"/>
    <x v="0"/>
    <x v="2"/>
  </r>
  <r>
    <s v="ORD2903"/>
    <x v="605"/>
    <x v="355"/>
    <s v="Rahul"/>
    <x v="2"/>
    <s v="Kolkata"/>
    <x v="0"/>
    <s v="Table"/>
    <s v="Table 15"/>
    <n v="1"/>
    <n v="1652.18"/>
    <n v="15"/>
    <x v="2"/>
    <x v="3"/>
  </r>
  <r>
    <s v="ORD2904"/>
    <x v="640"/>
    <x v="78"/>
    <s v="Arjun"/>
    <x v="2"/>
    <s v="Mumbai"/>
    <x v="2"/>
    <s v="Phone"/>
    <s v="Phone 23"/>
    <n v="6"/>
    <n v="28265.78"/>
    <n v="15"/>
    <x v="5"/>
    <x v="3"/>
  </r>
  <r>
    <s v="ORD2905"/>
    <x v="253"/>
    <x v="126"/>
    <s v="Anjali"/>
    <x v="1"/>
    <s v="delhi "/>
    <x v="3"/>
    <s v="Paper"/>
    <s v="Paper 3"/>
    <n v="3"/>
    <n v="8787.67"/>
    <n v="0"/>
    <x v="5"/>
    <x v="2"/>
  </r>
  <r>
    <s v="ORD2906"/>
    <x v="152"/>
    <x v="495"/>
    <s v="Neha"/>
    <x v="3"/>
    <s v="Bengaluru"/>
    <x v="1"/>
    <s v="Phone"/>
    <s v="Phone 21"/>
    <n v="3"/>
    <n v="3040.42"/>
    <n v="15"/>
    <x v="3"/>
    <x v="0"/>
  </r>
  <r>
    <s v="ORD2907"/>
    <x v="121"/>
    <x v="462"/>
    <s v="Sneha"/>
    <x v="3"/>
    <s v="Mumbai"/>
    <x v="1"/>
    <s v="Laptop"/>
    <s v="Laptop 17"/>
    <n v="4"/>
    <n v="11994.71"/>
    <n v="10"/>
    <x v="4"/>
    <x v="2"/>
  </r>
  <r>
    <s v="ORD2908"/>
    <x v="173"/>
    <x v="702"/>
    <s v="Amit"/>
    <x v="1"/>
    <s v="Mumbai"/>
    <x v="0"/>
    <s v="Table"/>
    <s v="Table 19"/>
    <n v="1"/>
    <n v="2093.41"/>
    <n v="10"/>
    <x v="2"/>
    <x v="0"/>
  </r>
  <r>
    <s v="ORD2909"/>
    <x v="119"/>
    <x v="147"/>
    <s v="Neha"/>
    <x v="4"/>
    <s v="Jaipur"/>
    <x v="1"/>
    <s v="Phone"/>
    <s v="Phone 29"/>
    <n v="9"/>
    <n v="7066.9"/>
    <n v="0"/>
    <x v="2"/>
    <x v="2"/>
  </r>
  <r>
    <s v="ORD2910"/>
    <x v="324"/>
    <x v="355"/>
    <s v="Sneha"/>
    <x v="2"/>
    <s v="Delhi"/>
    <x v="0"/>
    <s v="Chair"/>
    <s v="Chair 28"/>
    <n v="8"/>
    <n v="31617.35"/>
    <s v="10 %"/>
    <x v="3"/>
    <x v="2"/>
  </r>
  <r>
    <s v="ORD2911"/>
    <x v="27"/>
    <x v="762"/>
    <s v="Neha"/>
    <x v="1"/>
    <s v="Mumbai"/>
    <x v="1"/>
    <s v="Laptop"/>
    <s v="Laptop 4"/>
    <n v="3"/>
    <n v="7270.04"/>
    <s v="10 %"/>
    <x v="4"/>
    <x v="2"/>
  </r>
  <r>
    <s v="ORD2912"/>
    <x v="641"/>
    <x v="158"/>
    <s v="Rahul"/>
    <x v="2"/>
    <s v="Bengaluru"/>
    <x v="0"/>
    <s v="Table"/>
    <s v="Table 23"/>
    <n v="9"/>
    <n v="38778.28"/>
    <n v="0"/>
    <x v="2"/>
    <x v="3"/>
  </r>
  <r>
    <s v="ORD2914"/>
    <x v="367"/>
    <x v="4"/>
    <s v="Vikas"/>
    <x v="1"/>
    <s v="delhi "/>
    <x v="2"/>
    <s v="Phone"/>
    <s v="Phone 29"/>
    <n v="4"/>
    <n v="19780.5"/>
    <s v="10 %"/>
    <x v="0"/>
    <x v="0"/>
  </r>
  <r>
    <s v="ORD2916"/>
    <x v="492"/>
    <x v="16"/>
    <s v="Neha"/>
    <x v="2"/>
    <s v="Jaipur"/>
    <x v="3"/>
    <s v="Paper"/>
    <s v="Paper 7"/>
    <n v="4"/>
    <n v="9129.32"/>
    <n v="20"/>
    <x v="4"/>
    <x v="3"/>
  </r>
  <r>
    <s v="ORD2917"/>
    <x v="96"/>
    <x v="201"/>
    <s v="Riya"/>
    <x v="0"/>
    <s v="Delhi"/>
    <x v="1"/>
    <s v="Laptop"/>
    <s v="Laptop 20"/>
    <n v="3"/>
    <n v="7041.44"/>
    <n v="10"/>
    <x v="0"/>
    <x v="0"/>
  </r>
  <r>
    <s v="ORD2918"/>
    <x v="449"/>
    <x v="472"/>
    <s v="Vikas"/>
    <x v="3"/>
    <s v="delhi "/>
    <x v="0"/>
    <s v="Table"/>
    <s v="Table 13"/>
    <n v="5"/>
    <n v="3324.06"/>
    <n v="0"/>
    <x v="0"/>
    <x v="3"/>
  </r>
  <r>
    <s v="ORD2919"/>
    <x v="68"/>
    <x v="763"/>
    <s v="Arjun"/>
    <x v="0"/>
    <s v="Jaipur"/>
    <x v="3"/>
    <s v="Paper"/>
    <s v="Paper 26"/>
    <n v="9"/>
    <n v="13049.84"/>
    <s v="10 %"/>
    <x v="1"/>
    <x v="2"/>
  </r>
  <r>
    <s v="ORD2921"/>
    <x v="593"/>
    <x v="748"/>
    <s v="Karan"/>
    <x v="0"/>
    <s v="Delhi"/>
    <x v="0"/>
    <s v="Chair"/>
    <s v="Chair 21"/>
    <n v="9"/>
    <n v="34299.800000000003"/>
    <n v="10"/>
    <x v="0"/>
    <x v="3"/>
  </r>
  <r>
    <s v="ORD2922"/>
    <x v="329"/>
    <x v="215"/>
    <s v="Riya"/>
    <x v="1"/>
    <s v="Delhi"/>
    <x v="0"/>
    <s v="Chair"/>
    <s v="Chair 6"/>
    <n v="8"/>
    <n v="21229.51"/>
    <s v="10 %"/>
    <x v="0"/>
    <x v="2"/>
  </r>
  <r>
    <s v="ORD2924"/>
    <x v="525"/>
    <x v="523"/>
    <s v="Neha"/>
    <x v="0"/>
    <s v="Kolkata"/>
    <x v="3"/>
    <s v="Paper"/>
    <s v="Paper 18"/>
    <n v="10"/>
    <n v="45106.91"/>
    <n v="10"/>
    <x v="3"/>
    <x v="1"/>
  </r>
  <r>
    <s v="ORD2926"/>
    <x v="21"/>
    <x v="136"/>
    <s v="Sneha"/>
    <x v="0"/>
    <s v="Jaipur"/>
    <x v="1"/>
    <s v="Phone"/>
    <s v="Phone 13"/>
    <n v="7"/>
    <n v="23754.27"/>
    <n v="10"/>
    <x v="2"/>
    <x v="1"/>
  </r>
  <r>
    <s v="ORD2927"/>
    <x v="1"/>
    <x v="104"/>
    <s v="Neha "/>
    <x v="3"/>
    <s v="Delhi"/>
    <x v="2"/>
    <s v="Phone"/>
    <s v="Phone 27"/>
    <n v="3"/>
    <n v="7506.8"/>
    <n v="10"/>
    <x v="0"/>
    <x v="0"/>
  </r>
  <r>
    <s v="ORD2928"/>
    <x v="490"/>
    <x v="712"/>
    <s v="Rahul"/>
    <x v="0"/>
    <s v="Delhi"/>
    <x v="1"/>
    <s v="Phone"/>
    <s v="Phone 4"/>
    <n v="3"/>
    <n v="12456.28"/>
    <n v="15"/>
    <x v="3"/>
    <x v="0"/>
  </r>
  <r>
    <s v="ORD2929"/>
    <x v="574"/>
    <x v="106"/>
    <s v="Arjun "/>
    <x v="0"/>
    <s v="Jaipur"/>
    <x v="0"/>
    <s v="Table"/>
    <s v="Table 21"/>
    <n v="7"/>
    <n v="34468.769999999997"/>
    <n v="10"/>
    <x v="2"/>
    <x v="2"/>
  </r>
  <r>
    <s v="ORD2930"/>
    <x v="195"/>
    <x v="509"/>
    <s v="Vikas"/>
    <x v="0"/>
    <s v="delhi "/>
    <x v="2"/>
    <s v="Phone"/>
    <s v="Phone 21"/>
    <n v="2"/>
    <n v="3436.77"/>
    <n v="0"/>
    <x v="0"/>
    <x v="3"/>
  </r>
  <r>
    <s v="ORD2931"/>
    <x v="377"/>
    <x v="559"/>
    <s v="Rahul"/>
    <x v="3"/>
    <s v="Jaipur"/>
    <x v="0"/>
    <s v="Chair"/>
    <s v="Chair 2"/>
    <n v="9"/>
    <n v="25327.84"/>
    <n v="5"/>
    <x v="3"/>
    <x v="2"/>
  </r>
  <r>
    <s v="ORD2932"/>
    <x v="622"/>
    <x v="345"/>
    <s v="Vikas"/>
    <x v="4"/>
    <s v="Delhi"/>
    <x v="1"/>
    <s v="Laptop"/>
    <s v="Laptop 7"/>
    <n v="8"/>
    <n v="17873.32"/>
    <n v="20"/>
    <x v="1"/>
    <x v="2"/>
  </r>
  <r>
    <s v="ORD2933"/>
    <x v="50"/>
    <x v="81"/>
    <s v="Amit"/>
    <x v="1"/>
    <s v="Bengaluru"/>
    <x v="3"/>
    <s v="Paper"/>
    <s v="Paper 20"/>
    <n v="9"/>
    <n v="26836.959999999999"/>
    <n v="0"/>
    <x v="1"/>
    <x v="1"/>
  </r>
  <r>
    <s v="ORD2934"/>
    <x v="366"/>
    <x v="594"/>
    <s v="Priya"/>
    <x v="1"/>
    <s v="Jaipur"/>
    <x v="3"/>
    <s v="Paper"/>
    <s v="Paper 20"/>
    <n v="8"/>
    <n v="13935.47"/>
    <s v="10 %"/>
    <x v="0"/>
    <x v="0"/>
  </r>
  <r>
    <s v="ORD2935"/>
    <x v="640"/>
    <x v="297"/>
    <s v="Priya"/>
    <x v="2"/>
    <s v="Jaipur"/>
    <x v="1"/>
    <s v="Laptop"/>
    <s v="Laptop 28"/>
    <n v="2"/>
    <n v="5312.25"/>
    <n v="0"/>
    <x v="1"/>
    <x v="1"/>
  </r>
  <r>
    <s v="ORD2936"/>
    <x v="269"/>
    <x v="764"/>
    <s v="Sneha"/>
    <x v="4"/>
    <s v="Mumbai"/>
    <x v="0"/>
    <s v="Chair"/>
    <s v="Chair 7"/>
    <n v="10"/>
    <n v="38100.1"/>
    <n v="10"/>
    <x v="4"/>
    <x v="0"/>
  </r>
  <r>
    <s v="ORD2937"/>
    <x v="173"/>
    <x v="154"/>
    <s v="Arjun "/>
    <x v="4"/>
    <s v="Delhi"/>
    <x v="1"/>
    <s v="Phone"/>
    <s v="Phone 24"/>
    <n v="3"/>
    <n v="12544.06"/>
    <n v="5"/>
    <x v="5"/>
    <x v="2"/>
  </r>
  <r>
    <s v="ORD2938"/>
    <x v="182"/>
    <x v="138"/>
    <s v="Anjali"/>
    <x v="3"/>
    <s v="Jaipur"/>
    <x v="0"/>
    <s v="Table"/>
    <s v="Table 25"/>
    <n v="3"/>
    <n v="7856.56"/>
    <n v="5"/>
    <x v="2"/>
    <x v="1"/>
  </r>
  <r>
    <s v="ORD2939"/>
    <x v="375"/>
    <x v="765"/>
    <s v="Anjali"/>
    <x v="4"/>
    <s v="Pune"/>
    <x v="3"/>
    <s v="Paper"/>
    <s v="Paper 9"/>
    <n v="3"/>
    <n v="9414.17"/>
    <n v="20"/>
    <x v="5"/>
    <x v="0"/>
  </r>
  <r>
    <s v="ORD2940"/>
    <x v="307"/>
    <x v="351"/>
    <s v="Amit"/>
    <x v="4"/>
    <s v="Kolkata"/>
    <x v="0"/>
    <s v="Table"/>
    <s v="Table 16"/>
    <n v="7"/>
    <n v="22683.02"/>
    <n v="5"/>
    <x v="5"/>
    <x v="3"/>
  </r>
  <r>
    <s v="ORD2941"/>
    <x v="566"/>
    <x v="215"/>
    <s v="Sneha"/>
    <x v="3"/>
    <s v="Mumbai"/>
    <x v="0"/>
    <s v="Chair"/>
    <s v="Chair 27"/>
    <n v="6"/>
    <n v="23565.05"/>
    <s v="10 %"/>
    <x v="0"/>
    <x v="3"/>
  </r>
  <r>
    <s v="ORD2943"/>
    <x v="187"/>
    <x v="387"/>
    <s v="Rahul"/>
    <x v="1"/>
    <s v="Mumbai"/>
    <x v="0"/>
    <s v="Chair"/>
    <s v="Chair 1"/>
    <n v="10"/>
    <n v="47162.95"/>
    <n v="10"/>
    <x v="1"/>
    <x v="0"/>
  </r>
  <r>
    <s v="ORD2944"/>
    <x v="357"/>
    <x v="320"/>
    <s v="Riya"/>
    <x v="1"/>
    <s v="Pune"/>
    <x v="1"/>
    <s v="Phone"/>
    <s v="Phone 20"/>
    <n v="9"/>
    <n v="22832.29"/>
    <n v="10"/>
    <x v="4"/>
    <x v="0"/>
  </r>
  <r>
    <s v="ORD2945"/>
    <x v="444"/>
    <x v="5"/>
    <s v="Vikas"/>
    <x v="1"/>
    <s v="Bengaluru"/>
    <x v="1"/>
    <s v="Laptop"/>
    <s v="Laptop 20"/>
    <n v="3"/>
    <n v="12014.89"/>
    <n v="10"/>
    <x v="4"/>
    <x v="2"/>
  </r>
  <r>
    <s v="ORD2947"/>
    <x v="642"/>
    <x v="766"/>
    <s v="Priya"/>
    <x v="3"/>
    <s v="Jaipur"/>
    <x v="0"/>
    <s v="Table"/>
    <s v="Table 3"/>
    <n v="1"/>
    <n v="680.67"/>
    <n v="20"/>
    <x v="0"/>
    <x v="0"/>
  </r>
  <r>
    <s v="ORD2948"/>
    <x v="622"/>
    <x v="507"/>
    <s v="Amit"/>
    <x v="2"/>
    <s v="Mumbai"/>
    <x v="2"/>
    <s v="Phone"/>
    <s v="Phone 30"/>
    <n v="1"/>
    <n v="4942.22"/>
    <n v="15"/>
    <x v="1"/>
    <x v="0"/>
  </r>
  <r>
    <s v="ORD2949"/>
    <x v="643"/>
    <x v="517"/>
    <s v="Riya"/>
    <x v="0"/>
    <s v="Jaipur"/>
    <x v="0"/>
    <s v="Chair"/>
    <s v="Chair 23"/>
    <n v="2"/>
    <n v="720.42"/>
    <n v="15"/>
    <x v="4"/>
    <x v="3"/>
  </r>
  <r>
    <s v="ORD2950"/>
    <x v="416"/>
    <x v="96"/>
    <s v="Amit"/>
    <x v="3"/>
    <s v="Mumbai"/>
    <x v="2"/>
    <s v="Phone"/>
    <s v="Phone 30"/>
    <n v="4"/>
    <n v="10792.73"/>
    <n v="20"/>
    <x v="2"/>
    <x v="2"/>
  </r>
  <r>
    <s v="ORD2951"/>
    <x v="478"/>
    <x v="680"/>
    <s v="Anjali"/>
    <x v="0"/>
    <s v="Jaipur"/>
    <x v="0"/>
    <s v="Table"/>
    <s v="Table 13"/>
    <n v="4"/>
    <n v="15653.33"/>
    <s v="10 %"/>
    <x v="0"/>
    <x v="2"/>
  </r>
  <r>
    <s v="ORD2952"/>
    <x v="396"/>
    <x v="367"/>
    <s v="Amit"/>
    <x v="2"/>
    <s v="Delhi"/>
    <x v="2"/>
    <s v="Phone"/>
    <s v="Phone 22"/>
    <n v="7"/>
    <n v="27863.37"/>
    <n v="20"/>
    <x v="1"/>
    <x v="1"/>
  </r>
  <r>
    <s v="ORD2953"/>
    <x v="258"/>
    <x v="767"/>
    <s v="Anjali"/>
    <x v="0"/>
    <s v="Kolkata"/>
    <x v="1"/>
    <s v="Phone"/>
    <s v="Phone 2"/>
    <n v="3"/>
    <n v="6792.59"/>
    <n v="5"/>
    <x v="0"/>
    <x v="1"/>
  </r>
  <r>
    <s v="ORD2954"/>
    <x v="636"/>
    <x v="768"/>
    <s v="Sneha"/>
    <x v="4"/>
    <s v="Bengaluru"/>
    <x v="0"/>
    <s v="Chair"/>
    <s v="Chair 12"/>
    <n v="10"/>
    <n v="15876.56"/>
    <n v="10"/>
    <x v="0"/>
    <x v="1"/>
  </r>
  <r>
    <s v="ORD2955"/>
    <x v="519"/>
    <x v="487"/>
    <s v="Vikas"/>
    <x v="4"/>
    <s v="Bengaluru"/>
    <x v="1"/>
    <s v="Laptop"/>
    <s v="Laptop 20"/>
    <n v="4"/>
    <n v="5588.28"/>
    <n v="5"/>
    <x v="3"/>
    <x v="1"/>
  </r>
  <r>
    <s v="ORD2956"/>
    <x v="409"/>
    <x v="461"/>
    <s v="Riya"/>
    <x v="2"/>
    <s v="Pune"/>
    <x v="3"/>
    <s v="Paper"/>
    <s v="Paper 1"/>
    <n v="10"/>
    <n v="43422.57"/>
    <s v="10 %"/>
    <x v="3"/>
    <x v="3"/>
  </r>
  <r>
    <s v="ORD2957"/>
    <x v="644"/>
    <x v="20"/>
    <s v="Riya"/>
    <x v="0"/>
    <s v="Pune"/>
    <x v="3"/>
    <s v="Paper"/>
    <s v="Paper 17"/>
    <n v="3"/>
    <n v="3026"/>
    <n v="0"/>
    <x v="5"/>
    <x v="0"/>
  </r>
  <r>
    <s v="ORD2958"/>
    <x v="252"/>
    <x v="317"/>
    <s v="Vikas"/>
    <x v="2"/>
    <s v="Bengaluru"/>
    <x v="0"/>
    <s v="Table"/>
    <s v="Table 30"/>
    <n v="10"/>
    <n v="44085.55"/>
    <n v="5"/>
    <x v="3"/>
    <x v="3"/>
  </r>
  <r>
    <s v="ORD2959"/>
    <x v="395"/>
    <x v="122"/>
    <s v="Anjali"/>
    <x v="1"/>
    <s v="Pune"/>
    <x v="0"/>
    <s v="Table"/>
    <s v="Table 3"/>
    <n v="2"/>
    <n v="9654.74"/>
    <n v="5"/>
    <x v="0"/>
    <x v="3"/>
  </r>
  <r>
    <s v="ORD2960"/>
    <x v="645"/>
    <x v="705"/>
    <s v="Sneha"/>
    <x v="0"/>
    <s v="Kolkata"/>
    <x v="1"/>
    <s v="Phone"/>
    <s v="Phone 13"/>
    <n v="5"/>
    <n v="3621.86"/>
    <n v="20"/>
    <x v="0"/>
    <x v="1"/>
  </r>
  <r>
    <s v="ORD2961"/>
    <x v="504"/>
    <x v="495"/>
    <s v="Sneha"/>
    <x v="0"/>
    <s v="Bengaluru"/>
    <x v="2"/>
    <s v="Phone"/>
    <s v="Phone 23"/>
    <n v="6"/>
    <n v="19186.68"/>
    <n v="15"/>
    <x v="3"/>
    <x v="3"/>
  </r>
  <r>
    <s v="ORD2962"/>
    <x v="332"/>
    <x v="472"/>
    <s v="Riya"/>
    <x v="2"/>
    <s v="Bengaluru"/>
    <x v="1"/>
    <s v="Phone"/>
    <s v="Phone 26"/>
    <n v="5"/>
    <n v="17282.16"/>
    <n v="5"/>
    <x v="1"/>
    <x v="0"/>
  </r>
  <r>
    <s v="ORD2963"/>
    <x v="455"/>
    <x v="470"/>
    <s v="Sneha"/>
    <x v="0"/>
    <s v="Bengaluru"/>
    <x v="0"/>
    <s v="Chair"/>
    <s v="Chair 5"/>
    <n v="2"/>
    <n v="2271.46"/>
    <n v="5"/>
    <x v="5"/>
    <x v="2"/>
  </r>
  <r>
    <s v="ORD2964"/>
    <x v="532"/>
    <x v="710"/>
    <s v="Karan"/>
    <x v="3"/>
    <s v="Kolkata"/>
    <x v="3"/>
    <s v="Paper"/>
    <s v="Paper 6"/>
    <n v="10"/>
    <n v="3498.93"/>
    <n v="0"/>
    <x v="2"/>
    <x v="0"/>
  </r>
  <r>
    <s v="ORD2965"/>
    <x v="539"/>
    <x v="557"/>
    <s v="Riya"/>
    <x v="2"/>
    <s v="delhi "/>
    <x v="3"/>
    <s v="Paper"/>
    <s v="Paper 25"/>
    <n v="8"/>
    <n v="8285.81"/>
    <n v="5"/>
    <x v="5"/>
    <x v="2"/>
  </r>
  <r>
    <s v="ORD2966"/>
    <x v="646"/>
    <x v="57"/>
    <s v="Karan"/>
    <x v="1"/>
    <s v="Jaipur"/>
    <x v="3"/>
    <s v="Paper"/>
    <s v="Paper 13"/>
    <n v="10"/>
    <n v="47748.07"/>
    <n v="15"/>
    <x v="1"/>
    <x v="3"/>
  </r>
  <r>
    <s v="ORD2967"/>
    <x v="265"/>
    <x v="236"/>
    <s v="Priya"/>
    <x v="0"/>
    <s v="Delhi"/>
    <x v="2"/>
    <s v="Phone"/>
    <s v="Phone 10"/>
    <n v="7"/>
    <n v="33423.43"/>
    <n v="10"/>
    <x v="4"/>
    <x v="0"/>
  </r>
  <r>
    <s v="ORD2968"/>
    <x v="546"/>
    <x v="288"/>
    <s v="Rahul"/>
    <x v="4"/>
    <s v="Mumbai"/>
    <x v="0"/>
    <s v="Table"/>
    <s v="Table 17"/>
    <n v="2"/>
    <n v="9105.11"/>
    <n v="15"/>
    <x v="2"/>
    <x v="1"/>
  </r>
  <r>
    <s v="ORD2972"/>
    <x v="634"/>
    <x v="624"/>
    <s v="Vikas"/>
    <x v="4"/>
    <s v="Kolkata"/>
    <x v="0"/>
    <s v="Chair"/>
    <s v="Chair 9"/>
    <n v="8"/>
    <n v="2559.44"/>
    <n v="10"/>
    <x v="2"/>
    <x v="0"/>
  </r>
  <r>
    <s v="ORD2973"/>
    <x v="130"/>
    <x v="182"/>
    <s v="Arjun"/>
    <x v="0"/>
    <s v="Delhi"/>
    <x v="0"/>
    <s v="Table"/>
    <s v="Table 16"/>
    <n v="9"/>
    <n v="16949.57"/>
    <n v="10"/>
    <x v="1"/>
    <x v="3"/>
  </r>
  <r>
    <s v="ORD2975"/>
    <x v="503"/>
    <x v="192"/>
    <s v="Amit"/>
    <x v="1"/>
    <s v="Bengaluru"/>
    <x v="1"/>
    <s v="Phone"/>
    <s v="Phone 18"/>
    <n v="10"/>
    <n v="45785.64"/>
    <n v="20"/>
    <x v="0"/>
    <x v="0"/>
  </r>
  <r>
    <s v="ORD2976"/>
    <x v="314"/>
    <x v="461"/>
    <s v="Neha"/>
    <x v="1"/>
    <s v="Pune"/>
    <x v="0"/>
    <s v="Table"/>
    <s v="Table 25"/>
    <n v="6"/>
    <n v="21369.95"/>
    <n v="10"/>
    <x v="0"/>
    <x v="3"/>
  </r>
  <r>
    <s v="ORD2977"/>
    <x v="166"/>
    <x v="769"/>
    <s v="Priya"/>
    <x v="2"/>
    <s v="Kolkata"/>
    <x v="1"/>
    <s v="Laptop"/>
    <s v="Laptop 19"/>
    <n v="9"/>
    <n v="1453.87"/>
    <n v="15"/>
    <x v="1"/>
    <x v="3"/>
  </r>
  <r>
    <s v="ORD2978"/>
    <x v="532"/>
    <x v="28"/>
    <s v="Priya"/>
    <x v="2"/>
    <s v="Kolkata"/>
    <x v="3"/>
    <s v="Paper"/>
    <s v="Paper 25"/>
    <n v="10"/>
    <n v="42861.14"/>
    <n v="5"/>
    <x v="0"/>
    <x v="0"/>
  </r>
  <r>
    <s v="ORD2979"/>
    <x v="549"/>
    <x v="467"/>
    <s v="Rahul"/>
    <x v="2"/>
    <s v="Bengaluru"/>
    <x v="1"/>
    <s v="Phone"/>
    <s v="Phone 29"/>
    <n v="1"/>
    <n v="222.53"/>
    <n v="20"/>
    <x v="1"/>
    <x v="0"/>
  </r>
  <r>
    <s v="ORD2980"/>
    <x v="435"/>
    <x v="677"/>
    <s v="Arjun"/>
    <x v="4"/>
    <s v="Mumbai"/>
    <x v="0"/>
    <s v="Chair"/>
    <s v="Chair 22"/>
    <n v="9"/>
    <n v="7169.12"/>
    <n v="15"/>
    <x v="3"/>
    <x v="0"/>
  </r>
  <r>
    <s v="ORD2981"/>
    <x v="503"/>
    <x v="529"/>
    <s v="Karan "/>
    <x v="2"/>
    <s v="Mumbai"/>
    <x v="0"/>
    <s v="Table"/>
    <s v="Table 27"/>
    <n v="8"/>
    <n v="12805"/>
    <n v="15"/>
    <x v="2"/>
    <x v="3"/>
  </r>
  <r>
    <s v="ORD2982"/>
    <x v="70"/>
    <x v="462"/>
    <s v="Arjun"/>
    <x v="3"/>
    <s v="Delhi"/>
    <x v="0"/>
    <s v="Table"/>
    <s v="Table 20"/>
    <n v="3"/>
    <n v="14337.15"/>
    <s v="10 %"/>
    <x v="1"/>
    <x v="2"/>
  </r>
  <r>
    <s v="ORD2983"/>
    <x v="39"/>
    <x v="309"/>
    <s v="Vikas"/>
    <x v="0"/>
    <s v="Bengaluru"/>
    <x v="1"/>
    <s v="Laptop"/>
    <s v="Laptop 16"/>
    <n v="6"/>
    <n v="5355.55"/>
    <n v="15"/>
    <x v="3"/>
    <x v="3"/>
  </r>
  <r>
    <s v="ORD2984"/>
    <x v="541"/>
    <x v="273"/>
    <s v="Karan"/>
    <x v="1"/>
    <s v="delhi "/>
    <x v="3"/>
    <s v="Paper"/>
    <s v="Paper 16"/>
    <n v="1"/>
    <n v="2235.2399999999998"/>
    <n v="10"/>
    <x v="2"/>
    <x v="3"/>
  </r>
  <r>
    <s v="ORD2986"/>
    <x v="647"/>
    <x v="668"/>
    <s v="Amit"/>
    <x v="4"/>
    <s v="Delhi"/>
    <x v="1"/>
    <s v="Phone"/>
    <s v="Phone 20"/>
    <n v="10"/>
    <n v="29520.44"/>
    <n v="15"/>
    <x v="0"/>
    <x v="1"/>
  </r>
  <r>
    <s v="ORD2987"/>
    <x v="226"/>
    <x v="636"/>
    <s v="Amit"/>
    <x v="3"/>
    <s v="Kolkata"/>
    <x v="2"/>
    <s v="Phone"/>
    <s v="Phone 22"/>
    <n v="3"/>
    <n v="4268.8500000000004"/>
    <n v="10"/>
    <x v="2"/>
    <x v="0"/>
  </r>
  <r>
    <s v="ORD2988"/>
    <x v="648"/>
    <x v="770"/>
    <s v="Amit"/>
    <x v="0"/>
    <s v="Kolkata"/>
    <x v="0"/>
    <s v="Chair"/>
    <s v="Chair 26"/>
    <n v="1"/>
    <n v="4913.6899999999996"/>
    <s v="10 %"/>
    <x v="1"/>
    <x v="3"/>
  </r>
  <r>
    <s v="ORD2989"/>
    <x v="17"/>
    <x v="311"/>
    <s v="Priya"/>
    <x v="3"/>
    <s v="Delhi"/>
    <x v="0"/>
    <s v="Chair"/>
    <s v="Chair 18"/>
    <n v="6"/>
    <n v="28325.17"/>
    <n v="15"/>
    <x v="5"/>
    <x v="2"/>
  </r>
  <r>
    <s v="ORD2990"/>
    <x v="323"/>
    <x v="746"/>
    <s v="Riya"/>
    <x v="3"/>
    <s v="Jaipur"/>
    <x v="0"/>
    <s v="Table"/>
    <s v="Table 9"/>
    <n v="8"/>
    <n v="29414.82"/>
    <s v="10 %"/>
    <x v="4"/>
    <x v="3"/>
  </r>
  <r>
    <s v="ORD2992"/>
    <x v="229"/>
    <x v="414"/>
    <s v="Vikas"/>
    <x v="2"/>
    <s v="Delhi"/>
    <x v="1"/>
    <s v="Phone"/>
    <s v="Phone 17"/>
    <n v="7"/>
    <n v="23335.14"/>
    <s v="10 %"/>
    <x v="4"/>
    <x v="3"/>
  </r>
  <r>
    <s v="ORD2993"/>
    <x v="620"/>
    <x v="179"/>
    <s v="Rahul"/>
    <x v="4"/>
    <s v="delhi "/>
    <x v="0"/>
    <s v="Chair"/>
    <s v="Chair 30"/>
    <n v="6"/>
    <n v="8814.36"/>
    <s v="10 %"/>
    <x v="1"/>
    <x v="3"/>
  </r>
  <r>
    <s v="ORD2994"/>
    <x v="614"/>
    <x v="439"/>
    <s v="Neha"/>
    <x v="1"/>
    <s v="Pune"/>
    <x v="2"/>
    <s v="Phone"/>
    <s v="Phone 8"/>
    <n v="10"/>
    <n v="46893.36"/>
    <s v="10 %"/>
    <x v="4"/>
    <x v="1"/>
  </r>
  <r>
    <s v="ORD2995"/>
    <x v="247"/>
    <x v="653"/>
    <s v="Priya"/>
    <x v="4"/>
    <s v="Delhi"/>
    <x v="0"/>
    <s v="Chair"/>
    <s v="Chair 4"/>
    <n v="8"/>
    <n v="26133.56"/>
    <n v="10"/>
    <x v="4"/>
    <x v="1"/>
  </r>
  <r>
    <s v="ORD2996"/>
    <x v="412"/>
    <x v="253"/>
    <s v="Riya"/>
    <x v="3"/>
    <s v="Pune"/>
    <x v="0"/>
    <s v="Table"/>
    <s v="Table 8"/>
    <n v="4"/>
    <n v="19195.73"/>
    <n v="20"/>
    <x v="4"/>
    <x v="0"/>
  </r>
  <r>
    <s v="ORD2997"/>
    <x v="231"/>
    <x v="660"/>
    <s v="Priya"/>
    <x v="4"/>
    <s v="Jaipur"/>
    <x v="0"/>
    <s v="Table"/>
    <s v="Table 28"/>
    <n v="1"/>
    <n v="3273.5"/>
    <n v="15"/>
    <x v="0"/>
    <x v="3"/>
  </r>
  <r>
    <s v="ORD2998"/>
    <x v="159"/>
    <x v="4"/>
    <s v="Amit"/>
    <x v="0"/>
    <s v="Pune"/>
    <x v="2"/>
    <s v="Phone"/>
    <s v="Phone 19"/>
    <n v="10"/>
    <n v="22137.93"/>
    <n v="15"/>
    <x v="5"/>
    <x v="2"/>
  </r>
  <r>
    <s v="ORD2999"/>
    <x v="240"/>
    <x v="593"/>
    <s v="Sneha"/>
    <x v="0"/>
    <s v="Delhi"/>
    <x v="3"/>
    <s v="Paper"/>
    <s v="Paper 30"/>
    <n v="7"/>
    <n v="26204.44"/>
    <n v="10"/>
    <x v="1"/>
    <x v="0"/>
  </r>
  <r>
    <s v="ORD3000"/>
    <x v="649"/>
    <x v="771"/>
    <s v="Arjun"/>
    <x v="1"/>
    <s v="Jaipur"/>
    <x v="1"/>
    <s v="Laptop"/>
    <s v="Laptop 16"/>
    <n v="6"/>
    <n v="22625.96"/>
    <n v="15"/>
    <x v="3"/>
    <x v="3"/>
  </r>
  <r>
    <s v="ORD3001"/>
    <x v="148"/>
    <x v="559"/>
    <s v="Priya"/>
    <x v="2"/>
    <s v="Delhi"/>
    <x v="1"/>
    <s v="Phone"/>
    <s v="Phone 14"/>
    <n v="2"/>
    <n v="8390.7800000000007"/>
    <n v="5"/>
    <x v="5"/>
    <x v="0"/>
  </r>
  <r>
    <s v="ORD3002"/>
    <x v="330"/>
    <x v="121"/>
    <s v="Arjun"/>
    <x v="0"/>
    <s v="Bengaluru"/>
    <x v="0"/>
    <s v="Chair"/>
    <s v="Chair 10"/>
    <n v="9"/>
    <n v="15834.94"/>
    <n v="20"/>
    <x v="3"/>
    <x v="3"/>
  </r>
  <r>
    <s v="ORD3003"/>
    <x v="322"/>
    <x v="61"/>
    <s v="Amit"/>
    <x v="0"/>
    <s v="Pune"/>
    <x v="0"/>
    <s v="Chair"/>
    <s v="Chair 12"/>
    <n v="7"/>
    <n v="10639.29"/>
    <n v="20"/>
    <x v="1"/>
    <x v="0"/>
  </r>
  <r>
    <s v="ORD3005"/>
    <x v="566"/>
    <x v="772"/>
    <s v="Riya"/>
    <x v="1"/>
    <s v="Bengaluru"/>
    <x v="2"/>
    <s v="Phone"/>
    <s v="Phone 18"/>
    <n v="8"/>
    <n v="932.38"/>
    <s v="10 %"/>
    <x v="5"/>
    <x v="0"/>
  </r>
  <r>
    <s v="ORD3006"/>
    <x v="438"/>
    <x v="357"/>
    <s v="Riya"/>
    <x v="1"/>
    <s v="delhi "/>
    <x v="1"/>
    <s v="Laptop"/>
    <s v="Laptop 7"/>
    <n v="3"/>
    <n v="9933.86"/>
    <n v="15"/>
    <x v="1"/>
    <x v="3"/>
  </r>
  <r>
    <s v="ORD3007"/>
    <x v="637"/>
    <x v="538"/>
    <s v="Neha"/>
    <x v="2"/>
    <s v="Kolkata"/>
    <x v="2"/>
    <s v="Phone"/>
    <s v="Phone 14"/>
    <n v="6"/>
    <n v="18620.900000000001"/>
    <s v="10 %"/>
    <x v="0"/>
    <x v="3"/>
  </r>
  <r>
    <s v="ORD3008"/>
    <x v="184"/>
    <x v="739"/>
    <s v="Amit "/>
    <x v="3"/>
    <s v="Jaipur"/>
    <x v="0"/>
    <s v="Table"/>
    <s v="Table 27"/>
    <n v="8"/>
    <n v="27067.06"/>
    <s v="10 %"/>
    <x v="2"/>
    <x v="1"/>
  </r>
  <r>
    <s v="ORD3010"/>
    <x v="255"/>
    <x v="225"/>
    <s v="Neha"/>
    <x v="0"/>
    <s v="Pune"/>
    <x v="0"/>
    <s v="Table"/>
    <s v="Table 6"/>
    <n v="3"/>
    <n v="10083.209999999999"/>
    <n v="20"/>
    <x v="5"/>
    <x v="3"/>
  </r>
  <r>
    <s v="ORD3012"/>
    <x v="128"/>
    <x v="300"/>
    <s v="Rahul"/>
    <x v="2"/>
    <s v="delhi "/>
    <x v="2"/>
    <s v="Phone"/>
    <s v="Phone 9"/>
    <n v="9"/>
    <n v="13423.12"/>
    <n v="0"/>
    <x v="2"/>
    <x v="0"/>
  </r>
  <r>
    <s v="ORD3013"/>
    <x v="455"/>
    <x v="216"/>
    <s v="Riya"/>
    <x v="1"/>
    <s v="Kolkata"/>
    <x v="0"/>
    <s v="Table"/>
    <s v="Table 10"/>
    <n v="5"/>
    <n v="8855.51"/>
    <n v="15"/>
    <x v="2"/>
    <x v="3"/>
  </r>
  <r>
    <s v="ORD3015"/>
    <x v="650"/>
    <x v="509"/>
    <s v="Arjun"/>
    <x v="4"/>
    <s v="Pune"/>
    <x v="0"/>
    <s v="Table"/>
    <s v="Table 4"/>
    <n v="9"/>
    <n v="41798.769999999997"/>
    <n v="5"/>
    <x v="1"/>
    <x v="3"/>
  </r>
  <r>
    <s v="ORD3016"/>
    <x v="586"/>
    <x v="261"/>
    <s v="Karan"/>
    <x v="0"/>
    <s v="Mumbai"/>
    <x v="2"/>
    <s v="Phone"/>
    <s v="Phone 9"/>
    <n v="5"/>
    <n v="5857.4"/>
    <n v="10"/>
    <x v="0"/>
    <x v="1"/>
  </r>
  <r>
    <s v="ORD3017"/>
    <x v="59"/>
    <x v="321"/>
    <s v="Rahul"/>
    <x v="1"/>
    <s v="Pune"/>
    <x v="1"/>
    <s v="Laptop"/>
    <s v="Laptop 1"/>
    <n v="6"/>
    <n v="14689.1"/>
    <s v="10 %"/>
    <x v="5"/>
    <x v="3"/>
  </r>
  <r>
    <s v="ORD3018"/>
    <x v="335"/>
    <x v="72"/>
    <s v="Neha"/>
    <x v="2"/>
    <s v="Mumbai"/>
    <x v="1"/>
    <s v="Phone"/>
    <s v="Phone 4"/>
    <n v="9"/>
    <n v="41606.07"/>
    <n v="20"/>
    <x v="4"/>
    <x v="0"/>
  </r>
  <r>
    <s v="ORD3019"/>
    <x v="507"/>
    <x v="773"/>
    <s v="Karan"/>
    <x v="0"/>
    <s v="Kolkata"/>
    <x v="1"/>
    <s v="Phone"/>
    <s v="Phone 6"/>
    <n v="5"/>
    <n v="9915.32"/>
    <s v="10 %"/>
    <x v="5"/>
    <x v="3"/>
  </r>
  <r>
    <s v="ORD3020"/>
    <x v="395"/>
    <x v="664"/>
    <s v="Arjun"/>
    <x v="4"/>
    <s v="Bengaluru"/>
    <x v="0"/>
    <s v="Table"/>
    <s v="Table 28"/>
    <n v="10"/>
    <n v="44076.959999999999"/>
    <n v="15"/>
    <x v="0"/>
    <x v="0"/>
  </r>
  <r>
    <s v="ORD3022"/>
    <x v="593"/>
    <x v="159"/>
    <s v="Karan"/>
    <x v="3"/>
    <s v="Mumbai"/>
    <x v="0"/>
    <s v="Chair"/>
    <s v="Chair 11"/>
    <n v="2"/>
    <n v="376.1"/>
    <n v="5"/>
    <x v="0"/>
    <x v="0"/>
  </r>
  <r>
    <s v="ORD3024"/>
    <x v="110"/>
    <x v="143"/>
    <s v="Rahul"/>
    <x v="2"/>
    <s v="delhi "/>
    <x v="1"/>
    <s v="Laptop"/>
    <s v="Laptop 3"/>
    <n v="4"/>
    <n v="15115.24"/>
    <n v="10"/>
    <x v="2"/>
    <x v="3"/>
  </r>
  <r>
    <s v="ORD3025"/>
    <x v="273"/>
    <x v="259"/>
    <s v="Karan"/>
    <x v="1"/>
    <s v="Delhi"/>
    <x v="2"/>
    <s v="Phone"/>
    <s v="Phone 29"/>
    <n v="7"/>
    <n v="19482.689999999999"/>
    <n v="0"/>
    <x v="4"/>
    <x v="1"/>
  </r>
  <r>
    <s v="ORD3026"/>
    <x v="641"/>
    <x v="774"/>
    <s v="Arjun"/>
    <x v="0"/>
    <s v="Bengaluru"/>
    <x v="0"/>
    <s v="Chair"/>
    <s v="Chair 2"/>
    <n v="6"/>
    <n v="11680.28"/>
    <n v="0"/>
    <x v="2"/>
    <x v="0"/>
  </r>
  <r>
    <s v="ORD3027"/>
    <x v="575"/>
    <x v="556"/>
    <s v="Arjun "/>
    <x v="3"/>
    <s v="Bengaluru"/>
    <x v="0"/>
    <s v="Table"/>
    <s v="Table 30"/>
    <n v="1"/>
    <n v="1124.71"/>
    <n v="15"/>
    <x v="5"/>
    <x v="2"/>
  </r>
  <r>
    <s v="ORD3028"/>
    <x v="532"/>
    <x v="19"/>
    <s v="Amit"/>
    <x v="1"/>
    <s v="Kolkata"/>
    <x v="2"/>
    <s v="Phone"/>
    <s v="Phone 10"/>
    <n v="6"/>
    <n v="4301.82"/>
    <s v="10 %"/>
    <x v="3"/>
    <x v="3"/>
  </r>
  <r>
    <s v="ORD3029"/>
    <x v="519"/>
    <x v="661"/>
    <s v="Karan"/>
    <x v="4"/>
    <s v="Jaipur"/>
    <x v="3"/>
    <s v="Paper"/>
    <s v="Paper 5"/>
    <n v="3"/>
    <n v="2717.62"/>
    <n v="20"/>
    <x v="4"/>
    <x v="0"/>
  </r>
  <r>
    <s v="ORD3030"/>
    <x v="519"/>
    <x v="401"/>
    <s v="Rahul"/>
    <x v="0"/>
    <s v="Jaipur"/>
    <x v="2"/>
    <s v="Phone"/>
    <s v="Phone 27"/>
    <n v="10"/>
    <n v="23232.5"/>
    <n v="10"/>
    <x v="1"/>
    <x v="3"/>
  </r>
  <r>
    <s v="ORD3031"/>
    <x v="202"/>
    <x v="231"/>
    <s v="Riya"/>
    <x v="4"/>
    <s v="Delhi"/>
    <x v="0"/>
    <s v="Chair"/>
    <s v="Chair 3"/>
    <n v="8"/>
    <n v="21567.41"/>
    <n v="15"/>
    <x v="4"/>
    <x v="1"/>
  </r>
  <r>
    <s v="ORD3033"/>
    <x v="181"/>
    <x v="558"/>
    <s v="Amit"/>
    <x v="4"/>
    <s v="Bengaluru"/>
    <x v="0"/>
    <s v="Table"/>
    <s v="Table 28"/>
    <n v="7"/>
    <n v="16717.599999999999"/>
    <n v="20"/>
    <x v="1"/>
    <x v="2"/>
  </r>
  <r>
    <s v="ORD3034"/>
    <x v="373"/>
    <x v="309"/>
    <s v="Amit"/>
    <x v="1"/>
    <s v="Kolkata"/>
    <x v="0"/>
    <s v="Table"/>
    <s v="Table 15"/>
    <n v="3"/>
    <n v="6739.83"/>
    <s v="10 %"/>
    <x v="1"/>
    <x v="3"/>
  </r>
  <r>
    <s v="ORD3035"/>
    <x v="599"/>
    <x v="144"/>
    <s v="Sneha"/>
    <x v="2"/>
    <s v="Pune"/>
    <x v="1"/>
    <s v="Phone"/>
    <s v="Phone 1"/>
    <n v="3"/>
    <n v="11407.3"/>
    <s v="10 %"/>
    <x v="3"/>
    <x v="2"/>
  </r>
  <r>
    <s v="ORD3036"/>
    <x v="331"/>
    <x v="332"/>
    <s v="Rahul"/>
    <x v="4"/>
    <s v="Kolkata"/>
    <x v="1"/>
    <s v="Phone"/>
    <s v="Phone 5"/>
    <n v="8"/>
    <n v="7296.47"/>
    <n v="10"/>
    <x v="0"/>
    <x v="3"/>
  </r>
  <r>
    <s v="ORD3037"/>
    <x v="117"/>
    <x v="775"/>
    <s v="Karan"/>
    <x v="2"/>
    <s v="Kolkata"/>
    <x v="0"/>
    <s v="Table"/>
    <s v="Table 11"/>
    <n v="8"/>
    <n v="27766.31"/>
    <n v="10"/>
    <x v="0"/>
    <x v="2"/>
  </r>
  <r>
    <s v="ORD3038"/>
    <x v="406"/>
    <x v="13"/>
    <s v="Rahul"/>
    <x v="2"/>
    <s v="Mumbai"/>
    <x v="2"/>
    <s v="Phone"/>
    <s v="Phone 17"/>
    <n v="3"/>
    <n v="13495.76"/>
    <n v="20"/>
    <x v="3"/>
    <x v="3"/>
  </r>
  <r>
    <s v="ORD3039"/>
    <x v="637"/>
    <x v="242"/>
    <s v="Riya"/>
    <x v="1"/>
    <s v="delhi "/>
    <x v="3"/>
    <s v="Paper"/>
    <s v="Paper 17"/>
    <n v="3"/>
    <n v="6897.18"/>
    <n v="20"/>
    <x v="1"/>
    <x v="1"/>
  </r>
  <r>
    <s v="ORD3040"/>
    <x v="402"/>
    <x v="755"/>
    <s v="Amit"/>
    <x v="2"/>
    <s v="Kolkata"/>
    <x v="0"/>
    <s v="Chair"/>
    <s v="Chair 14"/>
    <n v="9"/>
    <n v="44913.25"/>
    <n v="20"/>
    <x v="3"/>
    <x v="1"/>
  </r>
  <r>
    <s v="ORD3041"/>
    <x v="114"/>
    <x v="332"/>
    <s v="Neha"/>
    <x v="2"/>
    <s v="Kolkata"/>
    <x v="2"/>
    <s v="Phone"/>
    <s v="Phone 27"/>
    <n v="4"/>
    <n v="18594.509999999998"/>
    <s v="10 %"/>
    <x v="1"/>
    <x v="3"/>
  </r>
  <r>
    <s v="ORD3042"/>
    <x v="590"/>
    <x v="776"/>
    <s v="Sneha"/>
    <x v="1"/>
    <s v="delhi "/>
    <x v="1"/>
    <s v="Laptop"/>
    <s v="Laptop 21"/>
    <n v="5"/>
    <n v="22671.21"/>
    <n v="0"/>
    <x v="0"/>
    <x v="0"/>
  </r>
  <r>
    <s v="ORD3043"/>
    <x v="320"/>
    <x v="378"/>
    <s v="Riya"/>
    <x v="1"/>
    <s v="Delhi"/>
    <x v="0"/>
    <s v="Table"/>
    <s v="Table 3"/>
    <n v="4"/>
    <n v="17146.990000000002"/>
    <n v="0"/>
    <x v="1"/>
    <x v="3"/>
  </r>
  <r>
    <s v="ORD3045"/>
    <x v="605"/>
    <x v="98"/>
    <s v="Arjun"/>
    <x v="1"/>
    <s v="Delhi"/>
    <x v="1"/>
    <s v="Phone"/>
    <s v="Phone 20"/>
    <n v="10"/>
    <n v="31036.71"/>
    <n v="0"/>
    <x v="2"/>
    <x v="3"/>
  </r>
  <r>
    <s v="ORD3046"/>
    <x v="371"/>
    <x v="554"/>
    <s v="Rahul"/>
    <x v="0"/>
    <s v="delhi "/>
    <x v="1"/>
    <s v="Phone"/>
    <s v="Phone 6"/>
    <n v="7"/>
    <n v="24691.61"/>
    <n v="10"/>
    <x v="1"/>
    <x v="3"/>
  </r>
  <r>
    <s v="ORD3047"/>
    <x v="505"/>
    <x v="777"/>
    <s v="Rahul"/>
    <x v="0"/>
    <s v="delhi "/>
    <x v="2"/>
    <s v="Phone"/>
    <s v="Phone 26"/>
    <n v="3"/>
    <n v="6306.15"/>
    <n v="10"/>
    <x v="0"/>
    <x v="0"/>
  </r>
  <r>
    <s v="ORD3049"/>
    <x v="104"/>
    <x v="561"/>
    <s v="Priya"/>
    <x v="3"/>
    <s v="Jaipur"/>
    <x v="0"/>
    <s v="Table"/>
    <s v="Table 17"/>
    <n v="8"/>
    <n v="22208.47"/>
    <n v="0"/>
    <x v="5"/>
    <x v="3"/>
  </r>
  <r>
    <s v="ORD3050"/>
    <x v="374"/>
    <x v="129"/>
    <s v="Neha"/>
    <x v="4"/>
    <s v="Mumbai"/>
    <x v="1"/>
    <s v="Laptop"/>
    <s v="Laptop 28"/>
    <n v="10"/>
    <n v="42957.65"/>
    <n v="20"/>
    <x v="4"/>
    <x v="0"/>
  </r>
  <r>
    <s v="ORD3051"/>
    <x v="10"/>
    <x v="648"/>
    <s v="Rahul"/>
    <x v="2"/>
    <s v="Mumbai"/>
    <x v="1"/>
    <s v="Laptop"/>
    <s v="Laptop 20"/>
    <n v="7"/>
    <n v="8120.7"/>
    <n v="10"/>
    <x v="4"/>
    <x v="0"/>
  </r>
  <r>
    <s v="ORD3052"/>
    <x v="520"/>
    <x v="778"/>
    <s v="Anjali"/>
    <x v="4"/>
    <s v="Bengaluru"/>
    <x v="3"/>
    <s v="Paper"/>
    <s v="Paper 9"/>
    <n v="5"/>
    <n v="19591.25"/>
    <n v="0"/>
    <x v="4"/>
    <x v="1"/>
  </r>
  <r>
    <s v="ORD3054"/>
    <x v="345"/>
    <x v="41"/>
    <s v="Vikas"/>
    <x v="1"/>
    <s v="Pune"/>
    <x v="1"/>
    <s v="Laptop"/>
    <s v="Laptop 1"/>
    <n v="5"/>
    <n v="12401.34"/>
    <n v="0"/>
    <x v="3"/>
    <x v="3"/>
  </r>
  <r>
    <s v="ORD3056"/>
    <x v="376"/>
    <x v="63"/>
    <s v="Neha"/>
    <x v="2"/>
    <s v="Delhi"/>
    <x v="1"/>
    <s v="Phone"/>
    <s v="Phone 26"/>
    <n v="4"/>
    <n v="687.18"/>
    <n v="15"/>
    <x v="5"/>
    <x v="2"/>
  </r>
  <r>
    <s v="ORD3058"/>
    <x v="403"/>
    <x v="257"/>
    <s v="Amit"/>
    <x v="1"/>
    <s v="Jaipur"/>
    <x v="3"/>
    <s v="Paper"/>
    <s v="Paper 18"/>
    <n v="3"/>
    <n v="4007.92"/>
    <s v="10 %"/>
    <x v="0"/>
    <x v="3"/>
  </r>
  <r>
    <s v="ORD3059"/>
    <x v="298"/>
    <x v="21"/>
    <s v="Amit"/>
    <x v="1"/>
    <s v="Kolkata"/>
    <x v="0"/>
    <s v="Chair"/>
    <s v="Chair 22"/>
    <n v="1"/>
    <n v="2155.98"/>
    <n v="20"/>
    <x v="5"/>
    <x v="3"/>
  </r>
  <r>
    <s v="ORD3060"/>
    <x v="561"/>
    <x v="460"/>
    <s v="Neha"/>
    <x v="4"/>
    <s v="Mumbai"/>
    <x v="0"/>
    <s v="Chair"/>
    <s v="Chair 2"/>
    <n v="5"/>
    <n v="16681.560000000001"/>
    <n v="20"/>
    <x v="1"/>
    <x v="0"/>
  </r>
  <r>
    <s v="ORD3061"/>
    <x v="447"/>
    <x v="265"/>
    <s v="Riya"/>
    <x v="1"/>
    <s v="Mumbai"/>
    <x v="2"/>
    <s v="Phone"/>
    <s v="Phone 10"/>
    <n v="1"/>
    <n v="3810.31"/>
    <n v="10"/>
    <x v="2"/>
    <x v="0"/>
  </r>
  <r>
    <s v="ORD3062"/>
    <x v="603"/>
    <x v="239"/>
    <s v="Arjun"/>
    <x v="0"/>
    <s v="delhi "/>
    <x v="1"/>
    <s v="Phone"/>
    <s v="Phone 8"/>
    <n v="5"/>
    <n v="20372.57"/>
    <n v="5"/>
    <x v="0"/>
    <x v="3"/>
  </r>
  <r>
    <s v="ORD3063"/>
    <x v="468"/>
    <x v="588"/>
    <s v="Neha"/>
    <x v="3"/>
    <s v="Kolkata"/>
    <x v="2"/>
    <s v="Phone"/>
    <s v="Phone 27"/>
    <n v="9"/>
    <n v="35638.65"/>
    <n v="10"/>
    <x v="4"/>
    <x v="2"/>
  </r>
  <r>
    <s v="ORD3064"/>
    <x v="229"/>
    <x v="158"/>
    <s v="Neha"/>
    <x v="0"/>
    <s v="Kolkata"/>
    <x v="3"/>
    <s v="Paper"/>
    <s v="Paper 26"/>
    <n v="2"/>
    <n v="5664.12"/>
    <n v="0"/>
    <x v="4"/>
    <x v="3"/>
  </r>
  <r>
    <s v="ORD3065"/>
    <x v="555"/>
    <x v="172"/>
    <s v="Karan"/>
    <x v="3"/>
    <s v="Kolkata"/>
    <x v="1"/>
    <s v="Phone"/>
    <s v="Phone 18"/>
    <n v="9"/>
    <n v="24740.9"/>
    <n v="15"/>
    <x v="1"/>
    <x v="2"/>
  </r>
  <r>
    <s v="ORD3067"/>
    <x v="638"/>
    <x v="769"/>
    <s v="Neha "/>
    <x v="3"/>
    <s v="Jaipur"/>
    <x v="1"/>
    <s v="Laptop"/>
    <s v="Laptop 27"/>
    <n v="3"/>
    <n v="14608.68"/>
    <n v="10"/>
    <x v="5"/>
    <x v="0"/>
  </r>
  <r>
    <s v="ORD3068"/>
    <x v="650"/>
    <x v="634"/>
    <s v="Karan"/>
    <x v="0"/>
    <s v="delhi "/>
    <x v="3"/>
    <s v="Paper"/>
    <s v="Paper 3"/>
    <n v="5"/>
    <n v="4559.18"/>
    <n v="15"/>
    <x v="3"/>
    <x v="3"/>
  </r>
  <r>
    <s v="ORD3069"/>
    <x v="368"/>
    <x v="131"/>
    <s v="Sneha"/>
    <x v="2"/>
    <s v="Pune"/>
    <x v="1"/>
    <s v="Laptop"/>
    <s v="Laptop 5"/>
    <n v="7"/>
    <n v="8113.9"/>
    <n v="20"/>
    <x v="1"/>
    <x v="2"/>
  </r>
  <r>
    <s v="ORD3070"/>
    <x v="340"/>
    <x v="606"/>
    <s v="Vikas"/>
    <x v="2"/>
    <s v="Bengaluru"/>
    <x v="1"/>
    <s v="Phone"/>
    <s v="Phone 28"/>
    <n v="7"/>
    <n v="12958.2"/>
    <n v="20"/>
    <x v="5"/>
    <x v="0"/>
  </r>
  <r>
    <s v="ORD3071"/>
    <x v="609"/>
    <x v="153"/>
    <s v="Rahul"/>
    <x v="0"/>
    <s v="Mumbai"/>
    <x v="2"/>
    <s v="Phone"/>
    <s v="Phone 23"/>
    <n v="1"/>
    <n v="2227.77"/>
    <n v="10"/>
    <x v="0"/>
    <x v="3"/>
  </r>
  <r>
    <s v="ORD3072"/>
    <x v="643"/>
    <x v="431"/>
    <s v="Vikas"/>
    <x v="3"/>
    <s v="Delhi"/>
    <x v="1"/>
    <s v="Phone"/>
    <s v="Phone 14"/>
    <n v="1"/>
    <n v="2124.11"/>
    <n v="15"/>
    <x v="1"/>
    <x v="0"/>
  </r>
  <r>
    <s v="ORD3073"/>
    <x v="384"/>
    <x v="162"/>
    <s v="Karan"/>
    <x v="4"/>
    <s v="delhi "/>
    <x v="1"/>
    <s v="Phone"/>
    <s v="Phone 5"/>
    <n v="9"/>
    <n v="16922.48"/>
    <n v="20"/>
    <x v="0"/>
    <x v="3"/>
  </r>
  <r>
    <s v="ORD3074"/>
    <x v="457"/>
    <x v="270"/>
    <s v="Rahul"/>
    <x v="4"/>
    <s v="Pune"/>
    <x v="2"/>
    <s v="Phone"/>
    <s v="Phone 12"/>
    <n v="7"/>
    <n v="23141.119999999999"/>
    <n v="10"/>
    <x v="1"/>
    <x v="3"/>
  </r>
  <r>
    <s v="ORD3075"/>
    <x v="172"/>
    <x v="779"/>
    <s v="Sneha"/>
    <x v="0"/>
    <s v="delhi "/>
    <x v="0"/>
    <s v="Table"/>
    <s v="Table 3"/>
    <n v="7"/>
    <n v="6325.68"/>
    <n v="5"/>
    <x v="3"/>
    <x v="3"/>
  </r>
  <r>
    <s v="ORD3076"/>
    <x v="440"/>
    <x v="507"/>
    <s v="Riya"/>
    <x v="3"/>
    <s v="Delhi"/>
    <x v="0"/>
    <s v="Chair"/>
    <s v="Chair 28"/>
    <n v="5"/>
    <n v="24182.84"/>
    <n v="10"/>
    <x v="0"/>
    <x v="3"/>
  </r>
  <r>
    <s v="ORD3077"/>
    <x v="541"/>
    <x v="413"/>
    <s v="Karan"/>
    <x v="0"/>
    <s v="Pune"/>
    <x v="1"/>
    <s v="Phone"/>
    <s v="Phone 12"/>
    <n v="5"/>
    <n v="729.49"/>
    <n v="15"/>
    <x v="5"/>
    <x v="1"/>
  </r>
  <r>
    <s v="ORD3078"/>
    <x v="395"/>
    <x v="774"/>
    <s v="Arjun"/>
    <x v="0"/>
    <s v="Jaipur"/>
    <x v="0"/>
    <s v="Chair"/>
    <s v="Chair 14"/>
    <n v="8"/>
    <n v="14013.61"/>
    <n v="5"/>
    <x v="4"/>
    <x v="1"/>
  </r>
  <r>
    <s v="ORD3079"/>
    <x v="651"/>
    <x v="731"/>
    <s v="Riya"/>
    <x v="2"/>
    <s v="Pune"/>
    <x v="2"/>
    <s v="Phone"/>
    <s v="Phone 15"/>
    <n v="8"/>
    <n v="2663.8"/>
    <n v="10"/>
    <x v="1"/>
    <x v="1"/>
  </r>
  <r>
    <s v="ORD3081"/>
    <x v="124"/>
    <x v="517"/>
    <s v="Priya"/>
    <x v="0"/>
    <s v="Bengaluru"/>
    <x v="0"/>
    <s v="Chair"/>
    <s v="Chair 12"/>
    <n v="5"/>
    <n v="2115.31"/>
    <n v="15"/>
    <x v="2"/>
    <x v="0"/>
  </r>
  <r>
    <s v="ORD3082"/>
    <x v="622"/>
    <x v="780"/>
    <s v="Arjun"/>
    <x v="4"/>
    <s v="Bengaluru"/>
    <x v="2"/>
    <s v="Phone"/>
    <s v="Phone 27"/>
    <n v="8"/>
    <n v="4669.92"/>
    <n v="10"/>
    <x v="0"/>
    <x v="0"/>
  </r>
  <r>
    <s v="ORD3083"/>
    <x v="368"/>
    <x v="781"/>
    <s v="Vikas"/>
    <x v="4"/>
    <s v="Pune"/>
    <x v="0"/>
    <s v="Table"/>
    <s v="Table 30"/>
    <n v="8"/>
    <n v="2124.4"/>
    <n v="20"/>
    <x v="2"/>
    <x v="2"/>
  </r>
  <r>
    <s v="ORD3084"/>
    <x v="409"/>
    <x v="207"/>
    <s v="Arjun"/>
    <x v="0"/>
    <s v="Pune"/>
    <x v="1"/>
    <s v="Phone"/>
    <s v="Phone 15"/>
    <n v="1"/>
    <n v="3757.95"/>
    <n v="10"/>
    <x v="1"/>
    <x v="3"/>
  </r>
  <r>
    <s v="ORD3085"/>
    <x v="259"/>
    <x v="602"/>
    <s v="Anjali"/>
    <x v="0"/>
    <s v="delhi "/>
    <x v="0"/>
    <s v="Chair"/>
    <s v="Chair 1"/>
    <n v="1"/>
    <n v="1754.22"/>
    <s v="10 %"/>
    <x v="2"/>
    <x v="0"/>
  </r>
  <r>
    <s v="ORD3086"/>
    <x v="559"/>
    <x v="782"/>
    <s v="Neha"/>
    <x v="3"/>
    <s v="Jaipur"/>
    <x v="1"/>
    <s v="Phone"/>
    <s v="Phone 21"/>
    <n v="9"/>
    <n v="44333.599999999999"/>
    <n v="20"/>
    <x v="5"/>
    <x v="3"/>
  </r>
  <r>
    <s v="ORD3087"/>
    <x v="610"/>
    <x v="724"/>
    <s v="Amit"/>
    <x v="1"/>
    <s v="Delhi"/>
    <x v="0"/>
    <s v="Table"/>
    <s v="Table 6"/>
    <n v="3"/>
    <n v="6755.46"/>
    <n v="0"/>
    <x v="5"/>
    <x v="3"/>
  </r>
  <r>
    <s v="ORD3088"/>
    <x v="603"/>
    <x v="67"/>
    <s v="Karan"/>
    <x v="1"/>
    <s v="Bengaluru"/>
    <x v="3"/>
    <s v="Paper"/>
    <s v="Paper 13"/>
    <n v="2"/>
    <n v="3792.8"/>
    <n v="10"/>
    <x v="4"/>
    <x v="0"/>
  </r>
  <r>
    <s v="ORD3089"/>
    <x v="652"/>
    <x v="155"/>
    <s v="Vikas"/>
    <x v="0"/>
    <s v="Kolkata"/>
    <x v="0"/>
    <s v="Chair"/>
    <s v="Chair 6"/>
    <n v="9"/>
    <n v="42134.879999999997"/>
    <n v="5"/>
    <x v="3"/>
    <x v="0"/>
  </r>
  <r>
    <s v="ORD3090"/>
    <x v="177"/>
    <x v="419"/>
    <s v="Riya"/>
    <x v="0"/>
    <s v="delhi "/>
    <x v="1"/>
    <s v="Phone"/>
    <s v="Phone 15"/>
    <n v="9"/>
    <n v="33215.42"/>
    <n v="20"/>
    <x v="3"/>
    <x v="3"/>
  </r>
  <r>
    <s v="ORD3091"/>
    <x v="153"/>
    <x v="704"/>
    <s v="Neha"/>
    <x v="0"/>
    <s v="delhi "/>
    <x v="0"/>
    <s v="Table"/>
    <s v="Table 11"/>
    <n v="5"/>
    <n v="661.32"/>
    <n v="20"/>
    <x v="1"/>
    <x v="0"/>
  </r>
  <r>
    <s v="ORD3092"/>
    <x v="23"/>
    <x v="141"/>
    <s v="Arjun"/>
    <x v="3"/>
    <s v="Jaipur"/>
    <x v="1"/>
    <s v="Laptop"/>
    <s v="Laptop 3"/>
    <n v="3"/>
    <n v="6135.24"/>
    <n v="0"/>
    <x v="1"/>
    <x v="3"/>
  </r>
  <r>
    <s v="ORD3094"/>
    <x v="653"/>
    <x v="50"/>
    <s v="Karan"/>
    <x v="1"/>
    <s v="Jaipur"/>
    <x v="1"/>
    <s v="Laptop"/>
    <s v="Laptop 7"/>
    <n v="9"/>
    <n v="40154.51"/>
    <n v="20"/>
    <x v="2"/>
    <x v="2"/>
  </r>
  <r>
    <s v="ORD3095"/>
    <x v="493"/>
    <x v="519"/>
    <s v="Vikas"/>
    <x v="0"/>
    <s v="Delhi"/>
    <x v="2"/>
    <s v="Phone"/>
    <s v="Phone 5"/>
    <n v="9"/>
    <n v="13744.22"/>
    <n v="20"/>
    <x v="2"/>
    <x v="0"/>
  </r>
  <r>
    <s v="ORD3096"/>
    <x v="514"/>
    <x v="172"/>
    <s v="Amit"/>
    <x v="0"/>
    <s v="Jaipur"/>
    <x v="0"/>
    <s v="Table"/>
    <s v="Table 20"/>
    <n v="8"/>
    <n v="15024.68"/>
    <s v="10 %"/>
    <x v="1"/>
    <x v="0"/>
  </r>
  <r>
    <s v="ORD3097"/>
    <x v="564"/>
    <x v="748"/>
    <s v="Vikas"/>
    <x v="0"/>
    <s v="Kolkata"/>
    <x v="1"/>
    <s v="Laptop"/>
    <s v="Laptop 14"/>
    <n v="3"/>
    <n v="5805.75"/>
    <s v="10 %"/>
    <x v="4"/>
    <x v="3"/>
  </r>
  <r>
    <s v="ORD3099"/>
    <x v="546"/>
    <x v="713"/>
    <s v="Sneha"/>
    <x v="2"/>
    <s v="Jaipur"/>
    <x v="0"/>
    <s v="Table"/>
    <s v="Table 8"/>
    <n v="3"/>
    <n v="5787.44"/>
    <n v="10"/>
    <x v="5"/>
    <x v="1"/>
  </r>
  <r>
    <s v="ORD3100"/>
    <x v="301"/>
    <x v="459"/>
    <s v="Arjun"/>
    <x v="1"/>
    <s v="Mumbai"/>
    <x v="1"/>
    <s v="Phone"/>
    <s v="Phone 1"/>
    <n v="10"/>
    <n v="27335.13"/>
    <n v="0"/>
    <x v="1"/>
    <x v="1"/>
  </r>
  <r>
    <s v="ORD3101"/>
    <x v="599"/>
    <x v="78"/>
    <s v="Riya"/>
    <x v="0"/>
    <s v="Kolkata"/>
    <x v="2"/>
    <s v="Phone"/>
    <s v="Phone 11"/>
    <n v="2"/>
    <n v="6645.42"/>
    <n v="0"/>
    <x v="5"/>
    <x v="3"/>
  </r>
  <r>
    <s v="ORD3102"/>
    <x v="24"/>
    <x v="441"/>
    <s v="Amit"/>
    <x v="0"/>
    <s v="delhi "/>
    <x v="1"/>
    <s v="Laptop"/>
    <s v="Laptop 13"/>
    <n v="10"/>
    <n v="32340.79"/>
    <n v="0"/>
    <x v="5"/>
    <x v="0"/>
  </r>
  <r>
    <s v="ORD3103"/>
    <x v="211"/>
    <x v="261"/>
    <s v="Anjali"/>
    <x v="0"/>
    <s v="Jaipur"/>
    <x v="0"/>
    <s v="Chair"/>
    <s v="Chair 13"/>
    <n v="6"/>
    <n v="25840.1"/>
    <n v="0"/>
    <x v="1"/>
    <x v="0"/>
  </r>
  <r>
    <s v="ORD3104"/>
    <x v="110"/>
    <x v="240"/>
    <s v="Karan"/>
    <x v="2"/>
    <s v="Pune"/>
    <x v="0"/>
    <s v="Chair"/>
    <s v="Chair 19"/>
    <n v="4"/>
    <n v="12641.06"/>
    <n v="20"/>
    <x v="3"/>
    <x v="3"/>
  </r>
  <r>
    <s v="ORD3105"/>
    <x v="625"/>
    <x v="229"/>
    <s v="Vikas "/>
    <x v="0"/>
    <s v="Delhi"/>
    <x v="0"/>
    <s v="Chair"/>
    <s v="Chair 20"/>
    <n v="4"/>
    <n v="15821.57"/>
    <n v="15"/>
    <x v="1"/>
    <x v="0"/>
  </r>
  <r>
    <s v="ORD3106"/>
    <x v="637"/>
    <x v="664"/>
    <s v="Vikas"/>
    <x v="0"/>
    <s v="Bengaluru"/>
    <x v="0"/>
    <s v="Chair"/>
    <s v="Chair 1"/>
    <n v="4"/>
    <n v="2798.75"/>
    <n v="15"/>
    <x v="5"/>
    <x v="1"/>
  </r>
  <r>
    <s v="ORD3107"/>
    <x v="102"/>
    <x v="464"/>
    <s v="Arjun"/>
    <x v="3"/>
    <s v="delhi "/>
    <x v="0"/>
    <s v="Table"/>
    <s v="Table 13"/>
    <n v="10"/>
    <n v="11689.5"/>
    <n v="5"/>
    <x v="5"/>
    <x v="0"/>
  </r>
  <r>
    <s v="ORD3108"/>
    <x v="654"/>
    <x v="13"/>
    <s v="Amit"/>
    <x v="3"/>
    <s v="Bengaluru"/>
    <x v="2"/>
    <s v="Phone"/>
    <s v="Phone 1"/>
    <n v="1"/>
    <n v="2824.4"/>
    <n v="20"/>
    <x v="0"/>
    <x v="1"/>
  </r>
  <r>
    <s v="ORD3110"/>
    <x v="355"/>
    <x v="91"/>
    <s v="Karan"/>
    <x v="1"/>
    <s v="delhi "/>
    <x v="2"/>
    <s v="Phone"/>
    <s v="Phone 10"/>
    <n v="8"/>
    <n v="14995.98"/>
    <s v="10 %"/>
    <x v="2"/>
    <x v="0"/>
  </r>
  <r>
    <s v="ORD3111"/>
    <x v="195"/>
    <x v="199"/>
    <s v="Karan"/>
    <x v="3"/>
    <s v="Jaipur"/>
    <x v="2"/>
    <s v="Phone"/>
    <s v="Phone 2"/>
    <n v="10"/>
    <n v="5030.08"/>
    <n v="10"/>
    <x v="0"/>
    <x v="3"/>
  </r>
  <r>
    <s v="ORD3112"/>
    <x v="592"/>
    <x v="692"/>
    <s v="Amit"/>
    <x v="3"/>
    <s v="Bengaluru"/>
    <x v="2"/>
    <s v="Phone"/>
    <s v="Phone 27"/>
    <n v="1"/>
    <n v="1638.97"/>
    <n v="10"/>
    <x v="5"/>
    <x v="2"/>
  </r>
  <r>
    <s v="ORD3113"/>
    <x v="592"/>
    <x v="741"/>
    <s v="Karan"/>
    <x v="4"/>
    <s v="Delhi"/>
    <x v="0"/>
    <s v="Table"/>
    <s v="Table 25"/>
    <n v="9"/>
    <n v="7342.09"/>
    <n v="20"/>
    <x v="3"/>
    <x v="3"/>
  </r>
  <r>
    <s v="ORD3114"/>
    <x v="125"/>
    <x v="783"/>
    <s v="Riya"/>
    <x v="1"/>
    <s v="delhi "/>
    <x v="0"/>
    <s v="Chair"/>
    <s v="Chair 19"/>
    <n v="10"/>
    <n v="14019.42"/>
    <n v="5"/>
    <x v="1"/>
    <x v="0"/>
  </r>
  <r>
    <s v="ORD3115"/>
    <x v="591"/>
    <x v="392"/>
    <s v="Neha"/>
    <x v="0"/>
    <s v="delhi "/>
    <x v="3"/>
    <s v="Paper"/>
    <s v="Paper 16"/>
    <n v="3"/>
    <n v="8075.98"/>
    <n v="10"/>
    <x v="4"/>
    <x v="1"/>
  </r>
  <r>
    <s v="ORD3116"/>
    <x v="515"/>
    <x v="193"/>
    <s v="Priya "/>
    <x v="0"/>
    <s v="Jaipur"/>
    <x v="1"/>
    <s v="Phone"/>
    <s v="Phone 18"/>
    <n v="1"/>
    <n v="1577.99"/>
    <n v="0"/>
    <x v="3"/>
    <x v="0"/>
  </r>
  <r>
    <s v="ORD3118"/>
    <x v="60"/>
    <x v="320"/>
    <s v="Vikas "/>
    <x v="2"/>
    <s v="Bengaluru"/>
    <x v="3"/>
    <s v="Paper"/>
    <s v="Paper 26"/>
    <n v="1"/>
    <n v="498.41"/>
    <n v="15"/>
    <x v="5"/>
    <x v="3"/>
  </r>
  <r>
    <s v="ORD3119"/>
    <x v="545"/>
    <x v="365"/>
    <s v="Vikas"/>
    <x v="3"/>
    <s v="Mumbai"/>
    <x v="2"/>
    <s v="Phone"/>
    <s v="Phone 27"/>
    <n v="2"/>
    <n v="4181.67"/>
    <n v="5"/>
    <x v="2"/>
    <x v="1"/>
  </r>
  <r>
    <s v="ORD3120"/>
    <x v="129"/>
    <x v="312"/>
    <s v="Anjali"/>
    <x v="0"/>
    <s v="Jaipur"/>
    <x v="3"/>
    <s v="Paper"/>
    <s v="Paper 22"/>
    <n v="6"/>
    <n v="6763.48"/>
    <s v="10 %"/>
    <x v="5"/>
    <x v="3"/>
  </r>
  <r>
    <s v="ORD3121"/>
    <x v="408"/>
    <x v="661"/>
    <s v="Priya"/>
    <x v="0"/>
    <s v="Delhi"/>
    <x v="1"/>
    <s v="Phone"/>
    <s v="Phone 25"/>
    <n v="2"/>
    <n v="8705.58"/>
    <n v="0"/>
    <x v="1"/>
    <x v="1"/>
  </r>
  <r>
    <s v="ORD3123"/>
    <x v="655"/>
    <x v="578"/>
    <s v="Priya"/>
    <x v="0"/>
    <s v="delhi "/>
    <x v="3"/>
    <s v="Paper"/>
    <s v="Paper 10"/>
    <n v="1"/>
    <n v="540.66"/>
    <n v="15"/>
    <x v="2"/>
    <x v="3"/>
  </r>
  <r>
    <s v="ORD3124"/>
    <x v="70"/>
    <x v="207"/>
    <s v="Riya"/>
    <x v="2"/>
    <s v="Kolkata"/>
    <x v="0"/>
    <s v="Chair"/>
    <s v="Chair 16"/>
    <n v="6"/>
    <n v="25904.45"/>
    <n v="10"/>
    <x v="5"/>
    <x v="2"/>
  </r>
  <r>
    <s v="ORD3125"/>
    <x v="234"/>
    <x v="414"/>
    <s v="Riya"/>
    <x v="0"/>
    <s v="Pune"/>
    <x v="3"/>
    <s v="Paper"/>
    <s v="Paper 19"/>
    <n v="9"/>
    <n v="22569.05"/>
    <n v="0"/>
    <x v="1"/>
    <x v="0"/>
  </r>
  <r>
    <s v="ORD3126"/>
    <x v="614"/>
    <x v="495"/>
    <s v="Amit"/>
    <x v="3"/>
    <s v="Mumbai"/>
    <x v="2"/>
    <s v="Phone"/>
    <s v="Phone 18"/>
    <n v="1"/>
    <n v="1987.57"/>
    <n v="10"/>
    <x v="3"/>
    <x v="3"/>
  </r>
  <r>
    <s v="ORD1414"/>
    <x v="440"/>
    <x v="84"/>
    <s v="Vikas"/>
    <x v="0"/>
    <s v="Bengaluru"/>
    <x v="1"/>
    <s v="Laptop"/>
    <s v="Laptop 30"/>
    <n v="2"/>
    <n v="7510.68"/>
    <n v="0"/>
    <x v="4"/>
    <x v="1"/>
  </r>
  <r>
    <s v="ORD3128"/>
    <x v="355"/>
    <x v="784"/>
    <s v="Karan "/>
    <x v="0"/>
    <s v="Mumbai"/>
    <x v="0"/>
    <s v="Chair"/>
    <s v="Chair 1"/>
    <n v="6"/>
    <n v="14252.8"/>
    <n v="10"/>
    <x v="5"/>
    <x v="2"/>
  </r>
  <r>
    <s v="ORD3129"/>
    <x v="109"/>
    <x v="393"/>
    <s v="Arjun"/>
    <x v="3"/>
    <s v="Delhi"/>
    <x v="3"/>
    <s v="Paper"/>
    <s v="Paper 13"/>
    <n v="3"/>
    <n v="11946.19"/>
    <n v="5"/>
    <x v="4"/>
    <x v="2"/>
  </r>
  <r>
    <s v="ORD3130"/>
    <x v="151"/>
    <x v="332"/>
    <s v="Karan"/>
    <x v="0"/>
    <s v="delhi "/>
    <x v="1"/>
    <s v="Laptop"/>
    <s v="Laptop 9"/>
    <n v="5"/>
    <n v="20923.16"/>
    <n v="5"/>
    <x v="1"/>
    <x v="3"/>
  </r>
  <r>
    <s v="ORD3131"/>
    <x v="399"/>
    <x v="238"/>
    <s v="Amit"/>
    <x v="3"/>
    <s v="Kolkata"/>
    <x v="1"/>
    <s v="Phone"/>
    <s v="Phone 2"/>
    <n v="2"/>
    <n v="3187.33"/>
    <s v="10 %"/>
    <x v="2"/>
    <x v="3"/>
  </r>
  <r>
    <s v="ORD3132"/>
    <x v="273"/>
    <x v="387"/>
    <s v="Priya"/>
    <x v="1"/>
    <s v="Mumbai"/>
    <x v="2"/>
    <s v="Phone"/>
    <s v="Phone 3"/>
    <n v="10"/>
    <n v="34951.01"/>
    <n v="0"/>
    <x v="5"/>
    <x v="3"/>
  </r>
  <r>
    <s v="ORD3133"/>
    <x v="518"/>
    <x v="672"/>
    <s v="Neha"/>
    <x v="2"/>
    <s v="Pune"/>
    <x v="2"/>
    <s v="Phone"/>
    <s v="Phone 27"/>
    <n v="1"/>
    <n v="688.72"/>
    <n v="5"/>
    <x v="1"/>
    <x v="1"/>
  </r>
  <r>
    <s v="ORD3134"/>
    <x v="617"/>
    <x v="652"/>
    <s v="Karan"/>
    <x v="1"/>
    <s v="Pune"/>
    <x v="3"/>
    <s v="Paper"/>
    <s v="Paper 26"/>
    <n v="3"/>
    <n v="4879.76"/>
    <n v="10"/>
    <x v="1"/>
    <x v="1"/>
  </r>
  <r>
    <s v="ORD3135"/>
    <x v="217"/>
    <x v="256"/>
    <s v="Arjun"/>
    <x v="3"/>
    <s v="Delhi"/>
    <x v="0"/>
    <s v="Table"/>
    <s v="Table 1"/>
    <n v="7"/>
    <n v="23082.95"/>
    <n v="10"/>
    <x v="2"/>
    <x v="0"/>
  </r>
  <r>
    <s v="ORD3136"/>
    <x v="91"/>
    <x v="53"/>
    <s v="Priya"/>
    <x v="3"/>
    <s v="Bengaluru"/>
    <x v="1"/>
    <s v="Phone"/>
    <s v="Phone 26"/>
    <n v="4"/>
    <n v="10204.299999999999"/>
    <n v="0"/>
    <x v="0"/>
    <x v="2"/>
  </r>
  <r>
    <s v="ORD3137"/>
    <x v="539"/>
    <x v="419"/>
    <s v="Sneha"/>
    <x v="1"/>
    <s v="Jaipur"/>
    <x v="3"/>
    <s v="Paper"/>
    <s v="Paper 13"/>
    <n v="4"/>
    <n v="965.74"/>
    <n v="0"/>
    <x v="3"/>
    <x v="3"/>
  </r>
  <r>
    <s v="ORD3138"/>
    <x v="473"/>
    <x v="482"/>
    <s v="Amit"/>
    <x v="0"/>
    <s v="Mumbai"/>
    <x v="0"/>
    <s v="Table"/>
    <s v="Table 28"/>
    <n v="9"/>
    <n v="41451.21"/>
    <s v="10 %"/>
    <x v="0"/>
    <x v="3"/>
  </r>
  <r>
    <s v="ORD3139"/>
    <x v="395"/>
    <x v="741"/>
    <s v="Sneha"/>
    <x v="0"/>
    <s v="Bengaluru"/>
    <x v="1"/>
    <s v="Phone"/>
    <s v="Phone 14"/>
    <n v="3"/>
    <n v="10118.200000000001"/>
    <n v="10"/>
    <x v="2"/>
    <x v="3"/>
  </r>
  <r>
    <s v="ORD3141"/>
    <x v="619"/>
    <x v="40"/>
    <s v="Neha"/>
    <x v="4"/>
    <s v="Kolkata"/>
    <x v="1"/>
    <s v="Laptop"/>
    <s v="Laptop 10"/>
    <n v="4"/>
    <n v="9824.36"/>
    <n v="10"/>
    <x v="3"/>
    <x v="1"/>
  </r>
  <r>
    <s v="ORD3142"/>
    <x v="232"/>
    <x v="690"/>
    <s v="Anjali"/>
    <x v="3"/>
    <s v="Kolkata"/>
    <x v="0"/>
    <s v="Table"/>
    <s v="Table 20"/>
    <n v="10"/>
    <n v="40939.279999999999"/>
    <n v="10"/>
    <x v="5"/>
    <x v="3"/>
  </r>
  <r>
    <s v="ORD3143"/>
    <x v="583"/>
    <x v="346"/>
    <s v="Sneha"/>
    <x v="2"/>
    <s v="delhi "/>
    <x v="0"/>
    <s v="Table"/>
    <s v="Table 11"/>
    <n v="6"/>
    <n v="12832.99"/>
    <s v="10 %"/>
    <x v="5"/>
    <x v="0"/>
  </r>
  <r>
    <s v="ORD3145"/>
    <x v="656"/>
    <x v="156"/>
    <s v="Karan"/>
    <x v="1"/>
    <s v="Pune"/>
    <x v="1"/>
    <s v="Phone"/>
    <s v="Phone 17"/>
    <n v="7"/>
    <n v="20906"/>
    <n v="15"/>
    <x v="0"/>
    <x v="0"/>
  </r>
  <r>
    <s v="ORD3146"/>
    <x v="508"/>
    <x v="611"/>
    <s v="Vikas"/>
    <x v="3"/>
    <s v="Delhi"/>
    <x v="0"/>
    <s v="Table"/>
    <s v="Table 19"/>
    <n v="5"/>
    <n v="20348.509999999998"/>
    <s v="10 %"/>
    <x v="2"/>
    <x v="3"/>
  </r>
  <r>
    <s v="ORD3148"/>
    <x v="278"/>
    <x v="785"/>
    <s v="Neha"/>
    <x v="4"/>
    <s v="Delhi"/>
    <x v="2"/>
    <s v="Phone"/>
    <s v="Phone 15"/>
    <n v="3"/>
    <n v="10083.290000000001"/>
    <s v="10 %"/>
    <x v="4"/>
    <x v="3"/>
  </r>
  <r>
    <s v="ORD3149"/>
    <x v="645"/>
    <x v="170"/>
    <s v="Arjun"/>
    <x v="0"/>
    <s v="Pune"/>
    <x v="2"/>
    <s v="Phone"/>
    <s v="Phone 19"/>
    <n v="2"/>
    <n v="2861.4"/>
    <n v="10"/>
    <x v="1"/>
    <x v="3"/>
  </r>
  <r>
    <s v="ORD3150"/>
    <x v="657"/>
    <x v="693"/>
    <s v="Priya"/>
    <x v="2"/>
    <s v="Kolkata"/>
    <x v="1"/>
    <s v="Phone"/>
    <s v="Phone 28"/>
    <n v="10"/>
    <n v="39715.64"/>
    <n v="10"/>
    <x v="1"/>
    <x v="1"/>
  </r>
  <r>
    <s v="ORD3151"/>
    <x v="163"/>
    <x v="739"/>
    <s v="Riya"/>
    <x v="0"/>
    <s v="Delhi"/>
    <x v="2"/>
    <s v="Phone"/>
    <s v="Phone 8"/>
    <n v="9"/>
    <n v="43627.02"/>
    <n v="0"/>
    <x v="3"/>
    <x v="2"/>
  </r>
  <r>
    <s v="ORD3152"/>
    <x v="658"/>
    <x v="549"/>
    <s v="Priya"/>
    <x v="2"/>
    <s v="Mumbai"/>
    <x v="0"/>
    <s v="Table"/>
    <s v="Table 16"/>
    <n v="1"/>
    <n v="4670.0600000000004"/>
    <n v="5"/>
    <x v="0"/>
    <x v="0"/>
  </r>
  <r>
    <s v="ORD3153"/>
    <x v="301"/>
    <x v="151"/>
    <s v="Sneha"/>
    <x v="0"/>
    <s v="Bengaluru"/>
    <x v="2"/>
    <s v="Phone"/>
    <s v="Phone 7"/>
    <n v="8"/>
    <n v="39251.42"/>
    <n v="20"/>
    <x v="0"/>
    <x v="0"/>
  </r>
  <r>
    <s v="ORD3155"/>
    <x v="382"/>
    <x v="445"/>
    <s v="Riya"/>
    <x v="0"/>
    <s v="Kolkata"/>
    <x v="0"/>
    <s v="Chair"/>
    <s v="Chair 20"/>
    <n v="4"/>
    <n v="1205.7"/>
    <n v="5"/>
    <x v="1"/>
    <x v="3"/>
  </r>
  <r>
    <s v="ORD3156"/>
    <x v="119"/>
    <x v="355"/>
    <s v="Riya"/>
    <x v="0"/>
    <s v="delhi "/>
    <x v="1"/>
    <s v="Laptop"/>
    <s v="Laptop 12"/>
    <n v="6"/>
    <n v="6967.89"/>
    <n v="15"/>
    <x v="0"/>
    <x v="3"/>
  </r>
  <r>
    <s v="ORD3157"/>
    <x v="9"/>
    <x v="190"/>
    <s v="Karan "/>
    <x v="4"/>
    <s v="Jaipur"/>
    <x v="1"/>
    <s v="Phone"/>
    <s v="Phone 16"/>
    <n v="5"/>
    <n v="4106.2299999999996"/>
    <s v="10 %"/>
    <x v="1"/>
    <x v="3"/>
  </r>
  <r>
    <s v="ORD3158"/>
    <x v="539"/>
    <x v="92"/>
    <s v="Vikas"/>
    <x v="0"/>
    <s v="Bengaluru"/>
    <x v="1"/>
    <s v="Phone"/>
    <s v="Phone 2"/>
    <n v="5"/>
    <n v="1484.97"/>
    <n v="0"/>
    <x v="3"/>
    <x v="0"/>
  </r>
  <r>
    <s v="ORD3159"/>
    <x v="540"/>
    <x v="773"/>
    <s v="Neha"/>
    <x v="0"/>
    <s v="delhi "/>
    <x v="3"/>
    <s v="Paper"/>
    <s v="Paper 23"/>
    <n v="1"/>
    <n v="2334.13"/>
    <n v="15"/>
    <x v="3"/>
    <x v="1"/>
  </r>
  <r>
    <s v="ORD3160"/>
    <x v="84"/>
    <x v="221"/>
    <s v="Karan"/>
    <x v="4"/>
    <s v="Mumbai"/>
    <x v="3"/>
    <s v="Paper"/>
    <s v="Paper 21"/>
    <n v="4"/>
    <n v="4646.21"/>
    <n v="0"/>
    <x v="1"/>
    <x v="0"/>
  </r>
  <r>
    <s v="ORD3161"/>
    <x v="304"/>
    <x v="283"/>
    <s v="Neha"/>
    <x v="4"/>
    <s v="Mumbai"/>
    <x v="0"/>
    <s v="Chair"/>
    <s v="Chair 13"/>
    <n v="2"/>
    <n v="6026.54"/>
    <s v="10 %"/>
    <x v="1"/>
    <x v="3"/>
  </r>
  <r>
    <s v="ORD3162"/>
    <x v="434"/>
    <x v="116"/>
    <s v="Amit"/>
    <x v="0"/>
    <s v="Delhi"/>
    <x v="1"/>
    <s v="Laptop"/>
    <s v="Laptop 18"/>
    <n v="3"/>
    <n v="6536.33"/>
    <n v="15"/>
    <x v="4"/>
    <x v="0"/>
  </r>
  <r>
    <s v="ORD3163"/>
    <x v="543"/>
    <x v="226"/>
    <s v="Karan"/>
    <x v="1"/>
    <s v="Bengaluru"/>
    <x v="1"/>
    <s v="Laptop"/>
    <s v="Laptop 2"/>
    <n v="8"/>
    <n v="24302.36"/>
    <n v="15"/>
    <x v="2"/>
    <x v="2"/>
  </r>
  <r>
    <s v="ORD3164"/>
    <x v="2"/>
    <x v="345"/>
    <s v="Rahul"/>
    <x v="0"/>
    <s v="Mumbai"/>
    <x v="3"/>
    <s v="Paper"/>
    <s v="Paper 21"/>
    <n v="3"/>
    <n v="12195.74"/>
    <n v="15"/>
    <x v="0"/>
    <x v="3"/>
  </r>
  <r>
    <s v="ORD3165"/>
    <x v="585"/>
    <x v="786"/>
    <s v="Priya"/>
    <x v="4"/>
    <s v="Bengaluru"/>
    <x v="1"/>
    <s v="Phone"/>
    <s v="Phone 11"/>
    <n v="4"/>
    <n v="16939.57"/>
    <n v="15"/>
    <x v="5"/>
    <x v="2"/>
  </r>
  <r>
    <s v="ORD3167"/>
    <x v="659"/>
    <x v="394"/>
    <s v="Karan"/>
    <x v="1"/>
    <s v="Bengaluru"/>
    <x v="1"/>
    <s v="Phone"/>
    <s v="Phone 27"/>
    <n v="8"/>
    <n v="36062.22"/>
    <n v="20"/>
    <x v="5"/>
    <x v="0"/>
  </r>
  <r>
    <s v="ORD3169"/>
    <x v="660"/>
    <x v="96"/>
    <s v="Amit"/>
    <x v="4"/>
    <s v="Pune"/>
    <x v="0"/>
    <s v="Chair"/>
    <s v="Chair 14"/>
    <n v="4"/>
    <n v="502.54"/>
    <n v="10"/>
    <x v="0"/>
    <x v="3"/>
  </r>
  <r>
    <s v="ORD3171"/>
    <x v="86"/>
    <x v="778"/>
    <s v="Priya"/>
    <x v="1"/>
    <s v="Mumbai"/>
    <x v="0"/>
    <s v="Table"/>
    <s v="Table 13"/>
    <n v="5"/>
    <n v="1851.78"/>
    <s v="10 %"/>
    <x v="3"/>
    <x v="0"/>
  </r>
  <r>
    <s v="ORD3172"/>
    <x v="144"/>
    <x v="309"/>
    <s v="Riya"/>
    <x v="2"/>
    <s v="delhi "/>
    <x v="1"/>
    <s v="Laptop"/>
    <s v="Laptop 17"/>
    <n v="5"/>
    <n v="15306.61"/>
    <s v="10 %"/>
    <x v="0"/>
    <x v="1"/>
  </r>
  <r>
    <s v="ORD3173"/>
    <x v="166"/>
    <x v="769"/>
    <s v="Amit"/>
    <x v="4"/>
    <s v="Pune"/>
    <x v="0"/>
    <s v="Table"/>
    <s v="Table 23"/>
    <n v="7"/>
    <n v="22784.21"/>
    <n v="15"/>
    <x v="5"/>
    <x v="1"/>
  </r>
  <r>
    <s v="ORD3175"/>
    <x v="469"/>
    <x v="261"/>
    <s v="Vikas"/>
    <x v="3"/>
    <s v="delhi "/>
    <x v="1"/>
    <s v="Laptop"/>
    <s v="Laptop 11"/>
    <n v="8"/>
    <n v="14301.9"/>
    <n v="5"/>
    <x v="0"/>
    <x v="2"/>
  </r>
  <r>
    <s v="ORD3176"/>
    <x v="403"/>
    <x v="670"/>
    <s v="Sneha"/>
    <x v="1"/>
    <s v="Pune"/>
    <x v="0"/>
    <s v="Table"/>
    <s v="Table 22"/>
    <n v="8"/>
    <n v="16966.849999999999"/>
    <n v="5"/>
    <x v="1"/>
    <x v="3"/>
  </r>
  <r>
    <s v="ORD3178"/>
    <x v="470"/>
    <x v="10"/>
    <s v="Riya"/>
    <x v="3"/>
    <s v="Pune"/>
    <x v="0"/>
    <s v="Table"/>
    <s v="Table 18"/>
    <n v="9"/>
    <n v="33391.19"/>
    <n v="10"/>
    <x v="4"/>
    <x v="2"/>
  </r>
  <r>
    <s v="ORD3179"/>
    <x v="594"/>
    <x v="507"/>
    <s v="Karan"/>
    <x v="1"/>
    <s v="Kolkata"/>
    <x v="1"/>
    <s v="Laptop"/>
    <s v="Laptop 25"/>
    <n v="5"/>
    <n v="10337.629999999999"/>
    <n v="20"/>
    <x v="3"/>
    <x v="0"/>
  </r>
  <r>
    <s v="ORD3180"/>
    <x v="218"/>
    <x v="787"/>
    <s v="Arjun"/>
    <x v="2"/>
    <s v="delhi "/>
    <x v="3"/>
    <s v="Paper"/>
    <s v="Paper 27"/>
    <n v="4"/>
    <n v="3054.78"/>
    <n v="10"/>
    <x v="5"/>
    <x v="0"/>
  </r>
  <r>
    <s v="ORD3182"/>
    <x v="661"/>
    <x v="597"/>
    <s v="Rahul"/>
    <x v="1"/>
    <s v="Kolkata"/>
    <x v="0"/>
    <s v="Table"/>
    <s v="Table 12"/>
    <n v="1"/>
    <n v="3610.98"/>
    <n v="10"/>
    <x v="3"/>
    <x v="3"/>
  </r>
  <r>
    <s v="ORD3183"/>
    <x v="365"/>
    <x v="669"/>
    <s v="Anjali"/>
    <x v="1"/>
    <s v="delhi "/>
    <x v="1"/>
    <s v="Laptop"/>
    <s v="Laptop 14"/>
    <n v="3"/>
    <n v="8358.23"/>
    <n v="15"/>
    <x v="2"/>
    <x v="3"/>
  </r>
  <r>
    <s v="ORD3184"/>
    <x v="196"/>
    <x v="559"/>
    <s v="Anjali"/>
    <x v="4"/>
    <s v="Bengaluru"/>
    <x v="3"/>
    <s v="Paper"/>
    <s v="Paper 5"/>
    <n v="8"/>
    <n v="8764.1"/>
    <n v="5"/>
    <x v="1"/>
    <x v="2"/>
  </r>
  <r>
    <s v="ORD3185"/>
    <x v="77"/>
    <x v="461"/>
    <s v="Anjali"/>
    <x v="0"/>
    <s v="Mumbai"/>
    <x v="1"/>
    <s v="Laptop"/>
    <s v="Laptop 22"/>
    <n v="5"/>
    <n v="1768.07"/>
    <n v="0"/>
    <x v="2"/>
    <x v="0"/>
  </r>
  <r>
    <s v="ORD3186"/>
    <x v="562"/>
    <x v="394"/>
    <s v="Neha"/>
    <x v="4"/>
    <s v="Mumbai"/>
    <x v="1"/>
    <s v="Laptop"/>
    <s v="Laptop 29"/>
    <n v="6"/>
    <n v="6573.39"/>
    <n v="10"/>
    <x v="5"/>
    <x v="0"/>
  </r>
  <r>
    <s v="ORD3189"/>
    <x v="498"/>
    <x v="238"/>
    <s v="Sneha"/>
    <x v="0"/>
    <s v="Pune"/>
    <x v="1"/>
    <s v="Phone"/>
    <s v="Phone 24"/>
    <n v="-3"/>
    <n v="11168.54"/>
    <n v="5"/>
    <x v="3"/>
    <x v="2"/>
  </r>
  <r>
    <s v="ORD3190"/>
    <x v="311"/>
    <x v="362"/>
    <s v="Anjali"/>
    <x v="1"/>
    <s v="Delhi"/>
    <x v="1"/>
    <s v="Laptop"/>
    <s v="Laptop 17"/>
    <n v="7"/>
    <n v="27920.04"/>
    <s v="10 %"/>
    <x v="3"/>
    <x v="2"/>
  </r>
  <r>
    <s v="ORD3191"/>
    <x v="306"/>
    <x v="490"/>
    <s v="Neha"/>
    <x v="0"/>
    <s v="delhi "/>
    <x v="2"/>
    <s v="Phone"/>
    <s v="Phone 20"/>
    <n v="8"/>
    <n v="38980.730000000003"/>
    <n v="20"/>
    <x v="4"/>
    <x v="3"/>
  </r>
  <r>
    <s v="ORD3192"/>
    <x v="276"/>
    <x v="394"/>
    <s v="Priya"/>
    <x v="3"/>
    <s v="Pune"/>
    <x v="0"/>
    <s v="Chair"/>
    <s v="Chair 13"/>
    <n v="5"/>
    <n v="10077.68"/>
    <n v="0"/>
    <x v="4"/>
    <x v="3"/>
  </r>
  <r>
    <s v="ORD3194"/>
    <x v="12"/>
    <x v="788"/>
    <s v="Neha"/>
    <x v="3"/>
    <s v="Pune"/>
    <x v="1"/>
    <s v="Laptop"/>
    <s v="Laptop 2"/>
    <n v="2"/>
    <n v="3511.21"/>
    <n v="10"/>
    <x v="2"/>
    <x v="1"/>
  </r>
  <r>
    <s v="ORD3195"/>
    <x v="166"/>
    <x v="593"/>
    <s v="Priya "/>
    <x v="2"/>
    <s v="Delhi"/>
    <x v="2"/>
    <s v="Phone"/>
    <s v="Phone 18"/>
    <n v="8"/>
    <n v="16716.88"/>
    <n v="15"/>
    <x v="1"/>
    <x v="3"/>
  </r>
  <r>
    <s v="ORD3196"/>
    <x v="646"/>
    <x v="752"/>
    <s v="Rahul"/>
    <x v="0"/>
    <s v="Bengaluru"/>
    <x v="3"/>
    <s v="Paper"/>
    <s v="Paper 23"/>
    <n v="7"/>
    <n v="27715.46"/>
    <n v="5"/>
    <x v="4"/>
    <x v="2"/>
  </r>
  <r>
    <s v="ORD3197"/>
    <x v="337"/>
    <x v="480"/>
    <s v="Anjali"/>
    <x v="0"/>
    <s v="Bengaluru"/>
    <x v="0"/>
    <s v="Chair"/>
    <s v="Chair 28"/>
    <n v="9"/>
    <n v="33153.68"/>
    <n v="0"/>
    <x v="0"/>
    <x v="0"/>
  </r>
  <r>
    <s v="ORD3198"/>
    <x v="13"/>
    <x v="97"/>
    <s v="Rahul"/>
    <x v="1"/>
    <s v="Pune"/>
    <x v="3"/>
    <s v="Paper"/>
    <s v="Paper 25"/>
    <n v="10"/>
    <n v="37947.9"/>
    <n v="20"/>
    <x v="1"/>
    <x v="0"/>
  </r>
  <r>
    <s v="ORD3200"/>
    <x v="197"/>
    <x v="604"/>
    <s v="Rahul"/>
    <x v="2"/>
    <s v="Kolkata"/>
    <x v="1"/>
    <s v="Phone"/>
    <s v="Phone 1"/>
    <n v="4"/>
    <n v="15749.21"/>
    <n v="10"/>
    <x v="3"/>
    <x v="0"/>
  </r>
  <r>
    <s v="ORD3202"/>
    <x v="463"/>
    <x v="59"/>
    <s v="Arjun"/>
    <x v="4"/>
    <s v="Bengaluru"/>
    <x v="1"/>
    <s v="Phone"/>
    <s v="Phone 4"/>
    <n v="9"/>
    <n v="16117.36"/>
    <n v="20"/>
    <x v="3"/>
    <x v="2"/>
  </r>
  <r>
    <s v="ORD3203"/>
    <x v="116"/>
    <x v="228"/>
    <s v="Priya"/>
    <x v="2"/>
    <s v="delhi "/>
    <x v="2"/>
    <s v="Phone"/>
    <s v="Phone 1"/>
    <n v="4"/>
    <n v="6064.42"/>
    <n v="0"/>
    <x v="3"/>
    <x v="3"/>
  </r>
  <r>
    <s v="ORD3204"/>
    <x v="3"/>
    <x v="352"/>
    <s v="Amit"/>
    <x v="4"/>
    <s v="Bengaluru"/>
    <x v="1"/>
    <s v="Phone"/>
    <s v="Phone 16"/>
    <n v="9"/>
    <n v="38556.629999999997"/>
    <n v="10"/>
    <x v="5"/>
    <x v="0"/>
  </r>
  <r>
    <s v="ORD3205"/>
    <x v="556"/>
    <x v="789"/>
    <s v="Rahul"/>
    <x v="0"/>
    <s v="Kolkata"/>
    <x v="2"/>
    <s v="Phone"/>
    <s v="Phone 16"/>
    <n v="9"/>
    <n v="29062.94"/>
    <n v="10"/>
    <x v="3"/>
    <x v="3"/>
  </r>
  <r>
    <s v="ORD3206"/>
    <x v="559"/>
    <x v="790"/>
    <s v="Priya "/>
    <x v="0"/>
    <s v="Pune"/>
    <x v="0"/>
    <s v="Chair"/>
    <s v="Chair 28"/>
    <n v="8"/>
    <n v="30958.13"/>
    <n v="10"/>
    <x v="2"/>
    <x v="2"/>
  </r>
  <r>
    <s v="ORD3208"/>
    <x v="189"/>
    <x v="782"/>
    <s v="Neha"/>
    <x v="2"/>
    <s v="Delhi"/>
    <x v="1"/>
    <s v="Laptop"/>
    <s v="Laptop 23"/>
    <n v="9"/>
    <n v="26810.9"/>
    <n v="5"/>
    <x v="2"/>
    <x v="0"/>
  </r>
  <r>
    <s v="ORD3209"/>
    <x v="529"/>
    <x v="682"/>
    <s v="Rahul"/>
    <x v="0"/>
    <s v="Bengaluru"/>
    <x v="1"/>
    <s v="Laptop"/>
    <s v="Laptop 16"/>
    <n v="9"/>
    <n v="27276.12"/>
    <s v="10 %"/>
    <x v="4"/>
    <x v="0"/>
  </r>
  <r>
    <s v="ORD3210"/>
    <x v="549"/>
    <x v="525"/>
    <s v="Amit"/>
    <x v="0"/>
    <s v="Pune"/>
    <x v="1"/>
    <s v="Phone"/>
    <s v="Phone 16"/>
    <n v="1"/>
    <n v="3206.76"/>
    <n v="0"/>
    <x v="1"/>
    <x v="0"/>
  </r>
  <r>
    <s v="ORD3212"/>
    <x v="640"/>
    <x v="741"/>
    <s v="Neha"/>
    <x v="2"/>
    <s v="Jaipur"/>
    <x v="0"/>
    <s v="Chair"/>
    <s v="Chair 23"/>
    <n v="2"/>
    <n v="3448.57"/>
    <n v="0"/>
    <x v="0"/>
    <x v="3"/>
  </r>
  <r>
    <s v="ORD3213"/>
    <x v="290"/>
    <x v="749"/>
    <s v="Neha"/>
    <x v="2"/>
    <s v="Delhi"/>
    <x v="1"/>
    <s v="Phone"/>
    <s v="Phone 14"/>
    <n v="5"/>
    <n v="23254.28"/>
    <n v="5"/>
    <x v="2"/>
    <x v="3"/>
  </r>
  <r>
    <s v="ORD3214"/>
    <x v="219"/>
    <x v="791"/>
    <s v="Riya "/>
    <x v="4"/>
    <s v="delhi "/>
    <x v="0"/>
    <s v="Table"/>
    <s v="Table 26"/>
    <n v="7"/>
    <n v="6851.84"/>
    <n v="15"/>
    <x v="5"/>
    <x v="0"/>
  </r>
  <r>
    <s v="ORD3215"/>
    <x v="238"/>
    <x v="24"/>
    <s v="Priya "/>
    <x v="1"/>
    <s v="Jaipur"/>
    <x v="1"/>
    <s v="Phone"/>
    <s v="Phone 23"/>
    <n v="8"/>
    <n v="20289.3"/>
    <s v="10 %"/>
    <x v="2"/>
    <x v="0"/>
  </r>
  <r>
    <s v="ORD3216"/>
    <x v="368"/>
    <x v="25"/>
    <s v="Karan"/>
    <x v="3"/>
    <s v="Delhi"/>
    <x v="3"/>
    <s v="Paper"/>
    <s v="Paper 14"/>
    <n v="3"/>
    <n v="5267.41"/>
    <s v="10 %"/>
    <x v="3"/>
    <x v="3"/>
  </r>
  <r>
    <s v="ORD3217"/>
    <x v="118"/>
    <x v="503"/>
    <s v="Vikas "/>
    <x v="4"/>
    <s v="Kolkata"/>
    <x v="1"/>
    <s v="Phone"/>
    <s v="Phone 29"/>
    <n v="7"/>
    <n v="20063.78"/>
    <s v="10 %"/>
    <x v="5"/>
    <x v="3"/>
  </r>
  <r>
    <s v="ORD3218"/>
    <x v="392"/>
    <x v="277"/>
    <s v="Karan"/>
    <x v="0"/>
    <s v="Mumbai"/>
    <x v="1"/>
    <s v="Phone"/>
    <s v="Phone 29"/>
    <n v="6"/>
    <n v="24948.39"/>
    <n v="20"/>
    <x v="3"/>
    <x v="2"/>
  </r>
  <r>
    <s v="ORD3219"/>
    <x v="252"/>
    <x v="132"/>
    <s v="Vikas"/>
    <x v="3"/>
    <s v="Bengaluru"/>
    <x v="3"/>
    <s v="Paper"/>
    <s v="Paper 12"/>
    <n v="2"/>
    <n v="5346.67"/>
    <n v="5"/>
    <x v="3"/>
    <x v="3"/>
  </r>
  <r>
    <s v="ORD3220"/>
    <x v="421"/>
    <x v="792"/>
    <s v="Vikas"/>
    <x v="0"/>
    <s v="Mumbai"/>
    <x v="3"/>
    <s v="Paper"/>
    <s v="Paper 13"/>
    <n v="4"/>
    <n v="12358.8"/>
    <n v="0"/>
    <x v="3"/>
    <x v="3"/>
  </r>
  <r>
    <s v="ORD3221"/>
    <x v="338"/>
    <x v="428"/>
    <s v="Arjun "/>
    <x v="4"/>
    <s v="Kolkata"/>
    <x v="3"/>
    <s v="Paper"/>
    <s v="Paper 10"/>
    <n v="4"/>
    <n v="18154.52"/>
    <n v="5"/>
    <x v="4"/>
    <x v="3"/>
  </r>
  <r>
    <s v="ORD3222"/>
    <x v="330"/>
    <x v="284"/>
    <s v="Priya"/>
    <x v="4"/>
    <s v="Jaipur"/>
    <x v="0"/>
    <s v="Chair"/>
    <s v="Chair 11"/>
    <n v="8"/>
    <n v="21526.73"/>
    <n v="0"/>
    <x v="0"/>
    <x v="3"/>
  </r>
  <r>
    <s v="ORD3223"/>
    <x v="552"/>
    <x v="793"/>
    <s v="Anjali "/>
    <x v="0"/>
    <s v="Bengaluru"/>
    <x v="0"/>
    <s v="Chair"/>
    <s v="Chair 18"/>
    <n v="9"/>
    <n v="41048.92"/>
    <n v="20"/>
    <x v="4"/>
    <x v="0"/>
  </r>
  <r>
    <s v="ORD3224"/>
    <x v="143"/>
    <x v="119"/>
    <s v="Karan"/>
    <x v="1"/>
    <s v="delhi "/>
    <x v="0"/>
    <s v="Chair"/>
    <s v="Chair 16"/>
    <n v="1"/>
    <n v="2970.93"/>
    <n v="15"/>
    <x v="1"/>
    <x v="0"/>
  </r>
  <r>
    <s v="ORD3226"/>
    <x v="305"/>
    <x v="300"/>
    <s v="Rahul"/>
    <x v="2"/>
    <s v="Kolkata"/>
    <x v="0"/>
    <s v="Table"/>
    <s v="Table 17"/>
    <n v="7"/>
    <n v="14246.86"/>
    <n v="5"/>
    <x v="3"/>
    <x v="0"/>
  </r>
  <r>
    <s v="ORD3229"/>
    <x v="145"/>
    <x v="139"/>
    <s v="Rahul"/>
    <x v="0"/>
    <s v="Bengaluru"/>
    <x v="3"/>
    <s v="Paper"/>
    <s v="Paper 24"/>
    <n v="10"/>
    <n v="35304.269999999997"/>
    <n v="20"/>
    <x v="4"/>
    <x v="0"/>
  </r>
  <r>
    <s v="ORD3231"/>
    <x v="196"/>
    <x v="210"/>
    <s v="Neha"/>
    <x v="4"/>
    <s v="Delhi"/>
    <x v="1"/>
    <s v="Phone"/>
    <s v="Phone 2"/>
    <n v="3"/>
    <n v="2057.9499999999998"/>
    <n v="5"/>
    <x v="1"/>
    <x v="1"/>
  </r>
  <r>
    <s v="ORD3232"/>
    <x v="644"/>
    <x v="48"/>
    <s v="Vikas"/>
    <x v="0"/>
    <s v="delhi "/>
    <x v="0"/>
    <s v="Chair"/>
    <s v="Chair 20"/>
    <n v="10"/>
    <n v="11602.53"/>
    <n v="10"/>
    <x v="4"/>
    <x v="0"/>
  </r>
  <r>
    <s v="ORD3233"/>
    <x v="297"/>
    <x v="171"/>
    <s v="Vikas"/>
    <x v="0"/>
    <s v="Delhi"/>
    <x v="0"/>
    <s v="Chair"/>
    <s v="Chair 2"/>
    <n v="3"/>
    <n v="11820.2"/>
    <n v="10"/>
    <x v="3"/>
    <x v="0"/>
  </r>
  <r>
    <s v="ORD3234"/>
    <x v="566"/>
    <x v="553"/>
    <s v="Amit"/>
    <x v="3"/>
    <s v="Kolkata"/>
    <x v="1"/>
    <s v="Laptop"/>
    <s v="Laptop 14"/>
    <n v="5"/>
    <n v="17436.07"/>
    <n v="15"/>
    <x v="3"/>
    <x v="0"/>
  </r>
  <r>
    <s v="ORD3235"/>
    <x v="464"/>
    <x v="496"/>
    <s v="Neha"/>
    <x v="3"/>
    <s v="Delhi"/>
    <x v="1"/>
    <s v="Laptop"/>
    <s v="Laptop 2"/>
    <n v="10"/>
    <n v="10200.19"/>
    <n v="15"/>
    <x v="2"/>
    <x v="0"/>
  </r>
  <r>
    <s v="ORD3236"/>
    <x v="393"/>
    <x v="534"/>
    <s v="Riya"/>
    <x v="0"/>
    <s v="delhi "/>
    <x v="0"/>
    <s v="Table"/>
    <s v="Table 1"/>
    <n v="3"/>
    <n v="3665.97"/>
    <n v="0"/>
    <x v="4"/>
    <x v="0"/>
  </r>
  <r>
    <s v="ORD3237"/>
    <x v="72"/>
    <x v="455"/>
    <s v="Riya"/>
    <x v="2"/>
    <s v="Delhi"/>
    <x v="0"/>
    <s v="Chair"/>
    <s v="Chair 15"/>
    <n v="2"/>
    <n v="3012.37"/>
    <n v="5"/>
    <x v="0"/>
    <x v="1"/>
  </r>
  <r>
    <s v="ORD3238"/>
    <x v="21"/>
    <x v="283"/>
    <s v="Amit"/>
    <x v="0"/>
    <s v="Delhi"/>
    <x v="0"/>
    <s v="Table"/>
    <s v="Table 6"/>
    <n v="7"/>
    <n v="21632.2"/>
    <n v="0"/>
    <x v="5"/>
    <x v="2"/>
  </r>
  <r>
    <s v="ORD3239"/>
    <x v="49"/>
    <x v="677"/>
    <s v="Vikas"/>
    <x v="2"/>
    <s v="Delhi"/>
    <x v="0"/>
    <s v="Table"/>
    <s v="Table 3"/>
    <n v="1"/>
    <n v="403.89"/>
    <n v="15"/>
    <x v="2"/>
    <x v="0"/>
  </r>
  <r>
    <s v="ORD3240"/>
    <x v="595"/>
    <x v="498"/>
    <s v="Neha"/>
    <x v="0"/>
    <s v="Pune"/>
    <x v="3"/>
    <s v="Paper"/>
    <s v="Paper 19"/>
    <n v="9"/>
    <n v="35862.18"/>
    <n v="0"/>
    <x v="0"/>
    <x v="3"/>
  </r>
  <r>
    <s v="ORD3241"/>
    <x v="0"/>
    <x v="185"/>
    <s v="Amit"/>
    <x v="4"/>
    <s v="Jaipur"/>
    <x v="2"/>
    <s v="Phone"/>
    <s v="Phone 2"/>
    <n v="3"/>
    <n v="1885.18"/>
    <n v="15"/>
    <x v="2"/>
    <x v="2"/>
  </r>
  <r>
    <s v="ORD3242"/>
    <x v="307"/>
    <x v="649"/>
    <s v="Neha"/>
    <x v="2"/>
    <s v="Jaipur"/>
    <x v="0"/>
    <s v="Chair"/>
    <s v="Chair 5"/>
    <n v="1"/>
    <n v="1553.28"/>
    <n v="10"/>
    <x v="3"/>
    <x v="3"/>
  </r>
  <r>
    <s v="ORD3243"/>
    <x v="570"/>
    <x v="173"/>
    <s v="Karan"/>
    <x v="4"/>
    <s v="delhi "/>
    <x v="0"/>
    <s v="Table"/>
    <s v="Table 3"/>
    <n v="9"/>
    <n v="26527.31"/>
    <n v="5"/>
    <x v="4"/>
    <x v="1"/>
  </r>
  <r>
    <s v="ORD3245"/>
    <x v="325"/>
    <x v="592"/>
    <s v="Amit"/>
    <x v="2"/>
    <s v="Mumbai"/>
    <x v="0"/>
    <s v="Table"/>
    <s v="Table 12"/>
    <n v="7"/>
    <n v="15969.67"/>
    <n v="10"/>
    <x v="1"/>
    <x v="0"/>
  </r>
  <r>
    <s v="ORD3246"/>
    <x v="624"/>
    <x v="162"/>
    <s v="Priya"/>
    <x v="1"/>
    <s v="Bengaluru"/>
    <x v="0"/>
    <s v="Table"/>
    <s v="Table 24"/>
    <n v="8"/>
    <n v="13924.72"/>
    <n v="15"/>
    <x v="1"/>
    <x v="0"/>
  </r>
  <r>
    <s v="ORD3247"/>
    <x v="201"/>
    <x v="794"/>
    <s v="Arjun"/>
    <x v="1"/>
    <s v="Kolkata"/>
    <x v="0"/>
    <s v="Table"/>
    <s v="Table 9"/>
    <n v="2"/>
    <n v="643.21"/>
    <s v="10 %"/>
    <x v="2"/>
    <x v="0"/>
  </r>
  <r>
    <s v="ORD3248"/>
    <x v="404"/>
    <x v="621"/>
    <s v="Neha"/>
    <x v="0"/>
    <s v="Jaipur"/>
    <x v="1"/>
    <s v="Laptop"/>
    <s v="Laptop 17"/>
    <n v="3"/>
    <n v="9494.5400000000009"/>
    <n v="0"/>
    <x v="3"/>
    <x v="0"/>
  </r>
  <r>
    <s v="ORD3249"/>
    <x v="243"/>
    <x v="795"/>
    <s v="Neha"/>
    <x v="3"/>
    <s v="Delhi"/>
    <x v="2"/>
    <s v="Phone"/>
    <s v="Phone 22"/>
    <n v="6"/>
    <n v="9297.75"/>
    <n v="10"/>
    <x v="2"/>
    <x v="0"/>
  </r>
  <r>
    <s v="ORD3250"/>
    <x v="229"/>
    <x v="796"/>
    <s v="Rahul"/>
    <x v="0"/>
    <s v="Pune"/>
    <x v="1"/>
    <s v="Laptop"/>
    <s v="Laptop 27"/>
    <n v="8"/>
    <n v="15220.3"/>
    <n v="20"/>
    <x v="1"/>
    <x v="2"/>
  </r>
  <r>
    <s v="ORD3251"/>
    <x v="408"/>
    <x v="366"/>
    <s v="Karan"/>
    <x v="0"/>
    <s v="delhi "/>
    <x v="2"/>
    <s v="Phone"/>
    <s v="Phone 3"/>
    <n v="3"/>
    <n v="4245.0600000000004"/>
    <n v="20"/>
    <x v="0"/>
    <x v="2"/>
  </r>
  <r>
    <s v="ORD3252"/>
    <x v="334"/>
    <x v="648"/>
    <s v="Neha"/>
    <x v="0"/>
    <s v="Pune"/>
    <x v="1"/>
    <s v="Laptop"/>
    <s v="Laptop 17"/>
    <n v="9"/>
    <n v="3906.46"/>
    <n v="5"/>
    <x v="1"/>
    <x v="0"/>
  </r>
  <r>
    <s v="ORD3253"/>
    <x v="504"/>
    <x v="118"/>
    <s v="Arjun"/>
    <x v="3"/>
    <s v="Delhi"/>
    <x v="1"/>
    <s v="Laptop"/>
    <s v="Laptop 28"/>
    <n v="1"/>
    <n v="4464.63"/>
    <n v="20"/>
    <x v="3"/>
    <x v="0"/>
  </r>
  <r>
    <s v="ORD3254"/>
    <x v="135"/>
    <x v="183"/>
    <s v="Riya"/>
    <x v="3"/>
    <s v="delhi "/>
    <x v="0"/>
    <s v="Chair"/>
    <s v="Chair 28"/>
    <n v="7"/>
    <n v="33349.46"/>
    <s v="10 %"/>
    <x v="2"/>
    <x v="3"/>
  </r>
  <r>
    <s v="ORD1362"/>
    <x v="94"/>
    <x v="334"/>
    <s v="Karan"/>
    <x v="3"/>
    <s v="delhi "/>
    <x v="3"/>
    <s v="Paper"/>
    <s v="Paper 8"/>
    <n v="2"/>
    <n v="826.91"/>
    <n v="15"/>
    <x v="3"/>
    <x v="0"/>
  </r>
  <r>
    <s v="ORD3256"/>
    <x v="447"/>
    <x v="522"/>
    <s v="Karan"/>
    <x v="0"/>
    <s v="Mumbai"/>
    <x v="0"/>
    <s v="Chair"/>
    <s v="Chair 27"/>
    <n v="8"/>
    <n v="31403.89"/>
    <s v="10 %"/>
    <x v="0"/>
    <x v="2"/>
  </r>
  <r>
    <s v="ORD3257"/>
    <x v="521"/>
    <x v="328"/>
    <s v="Rahul"/>
    <x v="0"/>
    <s v="Kolkata"/>
    <x v="2"/>
    <s v="Phone"/>
    <s v="Phone 8"/>
    <n v="-2"/>
    <n v="1813.55"/>
    <n v="5"/>
    <x v="3"/>
    <x v="3"/>
  </r>
  <r>
    <s v="ORD3258"/>
    <x v="258"/>
    <x v="193"/>
    <s v="Anjali"/>
    <x v="1"/>
    <s v="delhi "/>
    <x v="2"/>
    <s v="Phone"/>
    <s v="Phone 8"/>
    <n v="4"/>
    <n v="6144.24"/>
    <n v="15"/>
    <x v="5"/>
    <x v="3"/>
  </r>
  <r>
    <s v="ORD3259"/>
    <x v="490"/>
    <x v="797"/>
    <s v="Karan"/>
    <x v="3"/>
    <s v="Mumbai"/>
    <x v="1"/>
    <s v="Laptop"/>
    <s v="Laptop 2"/>
    <n v="10"/>
    <n v="9528.16"/>
    <s v="10 %"/>
    <x v="3"/>
    <x v="3"/>
  </r>
  <r>
    <s v="ORD3260"/>
    <x v="395"/>
    <x v="713"/>
    <s v="Vikas"/>
    <x v="0"/>
    <s v="Delhi"/>
    <x v="3"/>
    <s v="Paper"/>
    <s v="Paper 12"/>
    <n v="9"/>
    <n v="15484.92"/>
    <n v="20"/>
    <x v="3"/>
    <x v="1"/>
  </r>
  <r>
    <s v="ORD3261"/>
    <x v="648"/>
    <x v="798"/>
    <s v="Sneha"/>
    <x v="1"/>
    <s v="Mumbai"/>
    <x v="0"/>
    <s v="Table"/>
    <s v="Table 28"/>
    <n v="9"/>
    <n v="35633.57"/>
    <n v="0"/>
    <x v="5"/>
    <x v="3"/>
  </r>
  <r>
    <s v="ORD3262"/>
    <x v="231"/>
    <x v="572"/>
    <s v="Vikas "/>
    <x v="1"/>
    <s v="delhi "/>
    <x v="3"/>
    <s v="Paper"/>
    <s v="Paper 18"/>
    <n v="4"/>
    <n v="1196.9100000000001"/>
    <n v="10"/>
    <x v="3"/>
    <x v="0"/>
  </r>
  <r>
    <s v="ORD3263"/>
    <x v="193"/>
    <x v="586"/>
    <s v="Priya"/>
    <x v="1"/>
    <s v="delhi "/>
    <x v="1"/>
    <s v="Laptop"/>
    <s v="Laptop 29"/>
    <n v="5"/>
    <n v="13660.44"/>
    <s v="10 %"/>
    <x v="2"/>
    <x v="0"/>
  </r>
  <r>
    <s v="ORD3264"/>
    <x v="587"/>
    <x v="241"/>
    <s v="Riya"/>
    <x v="0"/>
    <s v="Mumbai"/>
    <x v="0"/>
    <s v="Table"/>
    <s v="Table 20"/>
    <n v="7"/>
    <n v="32496.41"/>
    <n v="20"/>
    <x v="0"/>
    <x v="0"/>
  </r>
  <r>
    <s v="ORD3265"/>
    <x v="623"/>
    <x v="621"/>
    <s v="Priya"/>
    <x v="2"/>
    <s v="Jaipur"/>
    <x v="3"/>
    <s v="Paper"/>
    <s v="Paper 18"/>
    <n v="10"/>
    <n v="28697.66"/>
    <n v="10"/>
    <x v="0"/>
    <x v="0"/>
  </r>
  <r>
    <s v="ORD3266"/>
    <x v="587"/>
    <x v="304"/>
    <s v="Amit"/>
    <x v="3"/>
    <s v="Mumbai"/>
    <x v="1"/>
    <s v="Laptop"/>
    <s v="Laptop 24"/>
    <n v="7"/>
    <n v="20507.54"/>
    <n v="20"/>
    <x v="0"/>
    <x v="3"/>
  </r>
  <r>
    <s v="ORD3268"/>
    <x v="536"/>
    <x v="799"/>
    <s v="Sneha"/>
    <x v="0"/>
    <s v="delhi "/>
    <x v="0"/>
    <s v="Table"/>
    <s v="Table 28"/>
    <n v="6"/>
    <n v="27766.89"/>
    <n v="0"/>
    <x v="3"/>
    <x v="2"/>
  </r>
  <r>
    <s v="ORD3269"/>
    <x v="592"/>
    <x v="627"/>
    <s v="Vikas "/>
    <x v="1"/>
    <s v="Delhi"/>
    <x v="0"/>
    <s v="Table"/>
    <s v="Table 29"/>
    <n v="3"/>
    <n v="11305.52"/>
    <s v="10 %"/>
    <x v="5"/>
    <x v="3"/>
  </r>
  <r>
    <s v="ORD3270"/>
    <x v="139"/>
    <x v="60"/>
    <s v="Priya"/>
    <x v="0"/>
    <s v="Pune"/>
    <x v="0"/>
    <s v="Table"/>
    <s v="Table 3"/>
    <n v="5"/>
    <n v="5466.77"/>
    <n v="20"/>
    <x v="3"/>
    <x v="3"/>
  </r>
  <r>
    <s v="ORD3271"/>
    <x v="521"/>
    <x v="80"/>
    <s v="Vikas"/>
    <x v="2"/>
    <s v="Delhi"/>
    <x v="3"/>
    <s v="Paper"/>
    <s v="Paper 1"/>
    <n v="9"/>
    <n v="22588.080000000002"/>
    <n v="15"/>
    <x v="4"/>
    <x v="0"/>
  </r>
  <r>
    <s v="ORD3272"/>
    <x v="630"/>
    <x v="505"/>
    <s v="Sneha"/>
    <x v="3"/>
    <s v="Mumbai"/>
    <x v="1"/>
    <s v="Laptop"/>
    <s v="Laptop 6"/>
    <n v="1"/>
    <n v="4473.5"/>
    <n v="10"/>
    <x v="0"/>
    <x v="0"/>
  </r>
  <r>
    <s v="ORD3273"/>
    <x v="466"/>
    <x v="781"/>
    <s v="Karan"/>
    <x v="0"/>
    <s v="Mumbai"/>
    <x v="1"/>
    <s v="Laptop"/>
    <s v="Laptop 2"/>
    <n v="8"/>
    <n v="38090.76"/>
    <n v="5"/>
    <x v="1"/>
    <x v="0"/>
  </r>
  <r>
    <s v="ORD3274"/>
    <x v="459"/>
    <x v="644"/>
    <s v="Riya"/>
    <x v="0"/>
    <s v="Delhi"/>
    <x v="0"/>
    <s v="Chair"/>
    <s v="Chair 5"/>
    <n v="7"/>
    <n v="22010.51"/>
    <s v="10 %"/>
    <x v="2"/>
    <x v="3"/>
  </r>
  <r>
    <s v="ORD3275"/>
    <x v="191"/>
    <x v="464"/>
    <s v="Anjali"/>
    <x v="0"/>
    <s v="Delhi"/>
    <x v="0"/>
    <s v="Table"/>
    <s v="Table 1"/>
    <n v="1"/>
    <n v="1369.2"/>
    <n v="10"/>
    <x v="1"/>
    <x v="2"/>
  </r>
  <r>
    <s v="ORD3276"/>
    <x v="658"/>
    <x v="503"/>
    <s v="Karan"/>
    <x v="4"/>
    <s v="Kolkata"/>
    <x v="0"/>
    <s v="Chair"/>
    <s v="Chair 24"/>
    <n v="6"/>
    <n v="6744.46"/>
    <n v="20"/>
    <x v="4"/>
    <x v="0"/>
  </r>
  <r>
    <s v="ORD3277"/>
    <x v="82"/>
    <x v="23"/>
    <s v="Riya"/>
    <x v="3"/>
    <s v="Delhi"/>
    <x v="0"/>
    <s v="Table"/>
    <s v="Table 19"/>
    <n v="8"/>
    <n v="13957.93"/>
    <n v="5"/>
    <x v="2"/>
    <x v="3"/>
  </r>
  <r>
    <s v="ORD3278"/>
    <x v="636"/>
    <x v="361"/>
    <s v="Karan"/>
    <x v="4"/>
    <s v="Kolkata"/>
    <x v="1"/>
    <s v="Phone"/>
    <s v="Phone 25"/>
    <n v="4"/>
    <n v="18979.8"/>
    <s v="10 %"/>
    <x v="5"/>
    <x v="0"/>
  </r>
  <r>
    <s v="ORD3279"/>
    <x v="328"/>
    <x v="800"/>
    <s v="Karan"/>
    <x v="3"/>
    <s v="delhi "/>
    <x v="0"/>
    <s v="Chair"/>
    <s v="Chair 30"/>
    <n v="8"/>
    <n v="13442.45"/>
    <n v="15"/>
    <x v="3"/>
    <x v="2"/>
  </r>
  <r>
    <s v="ORD3280"/>
    <x v="527"/>
    <x v="773"/>
    <s v="Vikas"/>
    <x v="0"/>
    <s v="delhi "/>
    <x v="1"/>
    <s v="Laptop"/>
    <s v="Laptop 9"/>
    <n v="5"/>
    <n v="9922.18"/>
    <s v="10 %"/>
    <x v="4"/>
    <x v="3"/>
  </r>
  <r>
    <s v="ORD3281"/>
    <x v="175"/>
    <x v="111"/>
    <s v="Amit"/>
    <x v="0"/>
    <s v="Mumbai"/>
    <x v="1"/>
    <s v="Laptop"/>
    <s v="Laptop 6"/>
    <n v="8"/>
    <n v="7103.14"/>
    <n v="15"/>
    <x v="4"/>
    <x v="2"/>
  </r>
  <r>
    <s v="ORD3282"/>
    <x v="476"/>
    <x v="150"/>
    <s v="Anjali"/>
    <x v="0"/>
    <s v="delhi "/>
    <x v="0"/>
    <s v="Table"/>
    <s v="Table 20"/>
    <n v="4"/>
    <n v="14543.45"/>
    <n v="10"/>
    <x v="2"/>
    <x v="3"/>
  </r>
  <r>
    <s v="ORD3283"/>
    <x v="13"/>
    <x v="611"/>
    <s v="Vikas"/>
    <x v="4"/>
    <s v="Mumbai"/>
    <x v="3"/>
    <s v="Paper"/>
    <s v="Paper 7"/>
    <n v="4"/>
    <n v="5770.09"/>
    <n v="15"/>
    <x v="2"/>
    <x v="0"/>
  </r>
  <r>
    <s v="ORD3284"/>
    <x v="116"/>
    <x v="640"/>
    <s v="Amit"/>
    <x v="3"/>
    <s v="Bengaluru"/>
    <x v="3"/>
    <s v="Paper"/>
    <s v="Paper 3"/>
    <n v="1"/>
    <n v="3878.37"/>
    <n v="0"/>
    <x v="2"/>
    <x v="3"/>
  </r>
  <r>
    <s v="ORD3286"/>
    <x v="194"/>
    <x v="801"/>
    <s v="Karan"/>
    <x v="0"/>
    <s v="Kolkata"/>
    <x v="0"/>
    <s v="Chair"/>
    <s v="Chair 7"/>
    <n v="9"/>
    <n v="12181.68"/>
    <s v="10 %"/>
    <x v="0"/>
    <x v="0"/>
  </r>
  <r>
    <s v="ORD3287"/>
    <x v="623"/>
    <x v="128"/>
    <s v="Neha"/>
    <x v="3"/>
    <s v="Kolkata"/>
    <x v="2"/>
    <s v="Phone"/>
    <s v="Phone 9"/>
    <n v="8"/>
    <n v="10617.89"/>
    <n v="20"/>
    <x v="1"/>
    <x v="3"/>
  </r>
  <r>
    <s v="ORD3288"/>
    <x v="533"/>
    <x v="712"/>
    <s v="Rahul"/>
    <x v="0"/>
    <s v="Jaipur"/>
    <x v="2"/>
    <s v="Phone"/>
    <s v="Phone 27"/>
    <n v="5"/>
    <n v="3501.06"/>
    <n v="5"/>
    <x v="5"/>
    <x v="0"/>
  </r>
  <r>
    <s v="ORD3290"/>
    <x v="259"/>
    <x v="646"/>
    <s v="Neha"/>
    <x v="1"/>
    <s v="Mumbai"/>
    <x v="3"/>
    <s v="Paper"/>
    <s v="Paper 28"/>
    <n v="1"/>
    <n v="839.8"/>
    <n v="20"/>
    <x v="4"/>
    <x v="1"/>
  </r>
  <r>
    <s v="ORD3291"/>
    <x v="181"/>
    <x v="711"/>
    <s v="Vikas"/>
    <x v="1"/>
    <s v="Bengaluru"/>
    <x v="0"/>
    <s v="Chair"/>
    <s v="Chair 27"/>
    <n v="7"/>
    <n v="25244.9"/>
    <n v="0"/>
    <x v="1"/>
    <x v="0"/>
  </r>
  <r>
    <s v="ORD3292"/>
    <x v="120"/>
    <x v="276"/>
    <s v="Priya"/>
    <x v="1"/>
    <s v="Bengaluru"/>
    <x v="3"/>
    <s v="Paper"/>
    <s v="Paper 1"/>
    <n v="5"/>
    <n v="10413.27"/>
    <n v="5"/>
    <x v="5"/>
    <x v="3"/>
  </r>
  <r>
    <s v="ORD3293"/>
    <x v="333"/>
    <x v="1"/>
    <s v="Neha"/>
    <x v="1"/>
    <s v="Jaipur"/>
    <x v="2"/>
    <s v="Phone"/>
    <s v="Phone 7"/>
    <n v="3"/>
    <n v="10875.62"/>
    <n v="5"/>
    <x v="3"/>
    <x v="0"/>
  </r>
  <r>
    <s v="ORD3294"/>
    <x v="83"/>
    <x v="572"/>
    <s v="Rahul"/>
    <x v="2"/>
    <s v="Bengaluru"/>
    <x v="2"/>
    <s v="Phone"/>
    <s v="Phone 23"/>
    <n v="6"/>
    <n v="14185.36"/>
    <n v="15"/>
    <x v="1"/>
    <x v="0"/>
  </r>
  <r>
    <s v="ORD3295"/>
    <x v="294"/>
    <x v="118"/>
    <s v="Sneha"/>
    <x v="3"/>
    <s v="Mumbai"/>
    <x v="0"/>
    <s v="Table"/>
    <s v="Table 13"/>
    <n v="4"/>
    <n v="10078.280000000001"/>
    <s v="10 %"/>
    <x v="4"/>
    <x v="0"/>
  </r>
  <r>
    <s v="ORD3297"/>
    <x v="487"/>
    <x v="143"/>
    <s v="Rahul"/>
    <x v="0"/>
    <s v="Pune"/>
    <x v="0"/>
    <s v="Chair"/>
    <s v="Chair 13"/>
    <n v="7"/>
    <n v="12662.3"/>
    <n v="0"/>
    <x v="3"/>
    <x v="3"/>
  </r>
  <r>
    <s v="ORD3298"/>
    <x v="221"/>
    <x v="272"/>
    <s v="Riya"/>
    <x v="2"/>
    <s v="delhi "/>
    <x v="0"/>
    <s v="Chair"/>
    <s v="Chair 28"/>
    <n v="3"/>
    <n v="11535.23"/>
    <n v="20"/>
    <x v="2"/>
    <x v="2"/>
  </r>
  <r>
    <s v="ORD3299"/>
    <x v="169"/>
    <x v="401"/>
    <s v="Rahul"/>
    <x v="3"/>
    <s v="Bengaluru"/>
    <x v="3"/>
    <s v="Paper"/>
    <s v="Paper 25"/>
    <n v="6"/>
    <n v="8114.41"/>
    <n v="20"/>
    <x v="4"/>
    <x v="3"/>
  </r>
  <r>
    <s v="ORD3301"/>
    <x v="272"/>
    <x v="285"/>
    <s v="Neha"/>
    <x v="1"/>
    <s v="Mumbai"/>
    <x v="0"/>
    <s v="Chair"/>
    <s v="Chair 14"/>
    <n v="8"/>
    <n v="17954.5"/>
    <s v="10 %"/>
    <x v="2"/>
    <x v="1"/>
  </r>
  <r>
    <s v="ORD3302"/>
    <x v="621"/>
    <x v="630"/>
    <s v="Arjun"/>
    <x v="3"/>
    <s v="Jaipur"/>
    <x v="1"/>
    <s v="Phone"/>
    <s v="Phone 28"/>
    <n v="9"/>
    <n v="40420.25"/>
    <n v="10"/>
    <x v="5"/>
    <x v="3"/>
  </r>
  <r>
    <s v="ORD3303"/>
    <x v="47"/>
    <x v="433"/>
    <s v="Amit "/>
    <x v="1"/>
    <s v="Mumbai"/>
    <x v="0"/>
    <s v="Chair"/>
    <s v="Chair 27"/>
    <n v="6"/>
    <n v="9603.69"/>
    <n v="0"/>
    <x v="5"/>
    <x v="0"/>
  </r>
  <r>
    <s v="ORD3304"/>
    <x v="390"/>
    <x v="131"/>
    <s v="Amit"/>
    <x v="0"/>
    <s v="Kolkata"/>
    <x v="3"/>
    <s v="Paper"/>
    <s v="Paper 9"/>
    <n v="6"/>
    <n v="23077.83"/>
    <s v="10 %"/>
    <x v="5"/>
    <x v="1"/>
  </r>
  <r>
    <s v="ORD3306"/>
    <x v="163"/>
    <x v="802"/>
    <s v="Sneha"/>
    <x v="3"/>
    <s v="Pune"/>
    <x v="0"/>
    <s v="Chair"/>
    <s v="Chair 1"/>
    <n v="3"/>
    <n v="11506.25"/>
    <n v="0"/>
    <x v="3"/>
    <x v="2"/>
  </r>
  <r>
    <s v="ORD3307"/>
    <x v="662"/>
    <x v="754"/>
    <s v="Rahul"/>
    <x v="3"/>
    <s v="delhi "/>
    <x v="2"/>
    <s v="Phone"/>
    <s v="Phone 16"/>
    <n v="4"/>
    <n v="3622.26"/>
    <n v="0"/>
    <x v="1"/>
    <x v="1"/>
  </r>
  <r>
    <s v="ORD3308"/>
    <x v="484"/>
    <x v="420"/>
    <s v="Priya"/>
    <x v="0"/>
    <s v="delhi "/>
    <x v="1"/>
    <s v="Phone"/>
    <s v="Phone 4"/>
    <n v="4"/>
    <n v="16425.04"/>
    <n v="10"/>
    <x v="3"/>
    <x v="3"/>
  </r>
  <r>
    <s v="ORD3309"/>
    <x v="192"/>
    <x v="208"/>
    <s v="Arjun"/>
    <x v="1"/>
    <s v="Mumbai"/>
    <x v="3"/>
    <s v="Paper"/>
    <s v="Paper 2"/>
    <n v="6"/>
    <n v="13937.27"/>
    <s v="10 %"/>
    <x v="1"/>
    <x v="3"/>
  </r>
  <r>
    <s v="ORD3312"/>
    <x v="24"/>
    <x v="774"/>
    <s v="Sneha"/>
    <x v="4"/>
    <s v="Delhi"/>
    <x v="0"/>
    <s v="Chair"/>
    <s v="Chair 21"/>
    <n v="10"/>
    <n v="24779.08"/>
    <n v="5"/>
    <x v="5"/>
    <x v="0"/>
  </r>
  <r>
    <s v="ORD3313"/>
    <x v="346"/>
    <x v="405"/>
    <s v="Riya"/>
    <x v="0"/>
    <s v="Bengaluru"/>
    <x v="1"/>
    <s v="Phone"/>
    <s v="Phone 3"/>
    <n v="8"/>
    <n v="5497.26"/>
    <n v="10"/>
    <x v="5"/>
    <x v="1"/>
  </r>
  <r>
    <s v="ORD3314"/>
    <x v="543"/>
    <x v="795"/>
    <s v="Arjun"/>
    <x v="4"/>
    <s v="Mumbai"/>
    <x v="3"/>
    <s v="Paper"/>
    <s v="Paper 30"/>
    <n v="2"/>
    <n v="6012.02"/>
    <s v="10 %"/>
    <x v="3"/>
    <x v="1"/>
  </r>
  <r>
    <s v="ORD3315"/>
    <x v="348"/>
    <x v="297"/>
    <s v="Priya"/>
    <x v="0"/>
    <s v="Jaipur"/>
    <x v="0"/>
    <s v="Chair"/>
    <s v="Chair 28"/>
    <n v="8"/>
    <n v="24481.71"/>
    <n v="15"/>
    <x v="5"/>
    <x v="0"/>
  </r>
  <r>
    <s v="ORD3316"/>
    <x v="36"/>
    <x v="380"/>
    <s v="Arjun"/>
    <x v="4"/>
    <s v="Jaipur"/>
    <x v="1"/>
    <s v="Laptop"/>
    <s v="Laptop 25"/>
    <n v="3"/>
    <n v="1455.86"/>
    <n v="20"/>
    <x v="5"/>
    <x v="0"/>
  </r>
  <r>
    <s v="ORD3317"/>
    <x v="199"/>
    <x v="380"/>
    <s v="Arjun"/>
    <x v="2"/>
    <s v="Mumbai"/>
    <x v="1"/>
    <s v="Laptop"/>
    <s v="Laptop 2"/>
    <n v="7"/>
    <n v="11199.2"/>
    <n v="0"/>
    <x v="1"/>
    <x v="2"/>
  </r>
  <r>
    <s v="ORD3318"/>
    <x v="334"/>
    <x v="405"/>
    <s v="Priya"/>
    <x v="4"/>
    <s v="Mumbai"/>
    <x v="1"/>
    <s v="Laptop"/>
    <s v="Laptop 20"/>
    <n v="10"/>
    <n v="15750.35"/>
    <n v="20"/>
    <x v="4"/>
    <x v="0"/>
  </r>
  <r>
    <s v="ORD3319"/>
    <x v="152"/>
    <x v="558"/>
    <s v="Rahul"/>
    <x v="1"/>
    <s v="delhi "/>
    <x v="1"/>
    <s v="Phone"/>
    <s v="Phone 24"/>
    <n v="4"/>
    <n v="4690"/>
    <n v="15"/>
    <x v="0"/>
    <x v="1"/>
  </r>
  <r>
    <s v="ORD3321"/>
    <x v="593"/>
    <x v="790"/>
    <s v="Neha"/>
    <x v="0"/>
    <s v="Kolkata"/>
    <x v="1"/>
    <s v="Laptop"/>
    <s v="Laptop 13"/>
    <n v="1"/>
    <n v="4196.2299999999996"/>
    <n v="5"/>
    <x v="0"/>
    <x v="0"/>
  </r>
  <r>
    <s v="ORD3323"/>
    <x v="663"/>
    <x v="95"/>
    <s v="Sneha"/>
    <x v="0"/>
    <s v="Mumbai"/>
    <x v="2"/>
    <s v="Phone"/>
    <s v="Phone 16"/>
    <n v="7"/>
    <n v="28774.46"/>
    <n v="15"/>
    <x v="0"/>
    <x v="1"/>
  </r>
  <r>
    <s v="ORD3324"/>
    <x v="96"/>
    <x v="161"/>
    <s v="Rahul"/>
    <x v="0"/>
    <s v="Mumbai"/>
    <x v="1"/>
    <s v="Phone"/>
    <s v="Phone 9"/>
    <n v="1"/>
    <n v="4812.21"/>
    <n v="20"/>
    <x v="3"/>
    <x v="3"/>
  </r>
  <r>
    <s v="ORD3325"/>
    <x v="248"/>
    <x v="65"/>
    <s v="Priya"/>
    <x v="4"/>
    <s v="Mumbai"/>
    <x v="3"/>
    <s v="Paper"/>
    <s v="Paper 5"/>
    <n v="5"/>
    <n v="10611.68"/>
    <n v="10"/>
    <x v="3"/>
    <x v="0"/>
  </r>
  <r>
    <s v="ORD3326"/>
    <x v="373"/>
    <x v="714"/>
    <s v="Vikas"/>
    <x v="2"/>
    <s v="Mumbai"/>
    <x v="1"/>
    <s v="Phone"/>
    <s v="Phone 29"/>
    <n v="2"/>
    <n v="4776.6400000000003"/>
    <n v="15"/>
    <x v="0"/>
    <x v="2"/>
  </r>
  <r>
    <s v="ORD3327"/>
    <x v="622"/>
    <x v="487"/>
    <s v="Sneha"/>
    <x v="0"/>
    <s v="Kolkata"/>
    <x v="2"/>
    <s v="Phone"/>
    <s v="Phone 10"/>
    <n v="3"/>
    <n v="2936.33"/>
    <n v="10"/>
    <x v="1"/>
    <x v="3"/>
  </r>
  <r>
    <s v="ORD3328"/>
    <x v="664"/>
    <x v="322"/>
    <s v="Karan"/>
    <x v="0"/>
    <s v="Bengaluru"/>
    <x v="1"/>
    <s v="Laptop"/>
    <s v="Laptop 8"/>
    <n v="2"/>
    <n v="540.35"/>
    <n v="10"/>
    <x v="5"/>
    <x v="1"/>
  </r>
  <r>
    <s v="ORD3331"/>
    <x v="323"/>
    <x v="803"/>
    <s v="Priya"/>
    <x v="0"/>
    <s v="Delhi"/>
    <x v="1"/>
    <s v="Phone"/>
    <s v="Phone 17"/>
    <n v="10"/>
    <n v="5444.99"/>
    <n v="15"/>
    <x v="3"/>
    <x v="1"/>
  </r>
  <r>
    <s v="ORD3332"/>
    <x v="76"/>
    <x v="98"/>
    <s v="Karan"/>
    <x v="1"/>
    <s v="Jaipur"/>
    <x v="1"/>
    <s v="Laptop"/>
    <s v="Laptop 12"/>
    <n v="4"/>
    <n v="16332.58"/>
    <n v="5"/>
    <x v="4"/>
    <x v="2"/>
  </r>
  <r>
    <s v="ORD3333"/>
    <x v="120"/>
    <x v="276"/>
    <s v="Sneha "/>
    <x v="0"/>
    <s v="Delhi"/>
    <x v="3"/>
    <s v="Paper"/>
    <s v="Paper 6"/>
    <n v="3"/>
    <n v="10613.52"/>
    <n v="15"/>
    <x v="1"/>
    <x v="0"/>
  </r>
  <r>
    <s v="ORD3335"/>
    <x v="288"/>
    <x v="190"/>
    <s v="Amit"/>
    <x v="1"/>
    <s v="Jaipur"/>
    <x v="1"/>
    <s v="Laptop"/>
    <s v="Laptop 6"/>
    <n v="9"/>
    <n v="21950.66"/>
    <s v="10 %"/>
    <x v="4"/>
    <x v="0"/>
  </r>
  <r>
    <s v="ORD3336"/>
    <x v="522"/>
    <x v="44"/>
    <s v="Amit"/>
    <x v="2"/>
    <s v="Pune"/>
    <x v="2"/>
    <s v="Phone"/>
    <s v="Phone 10"/>
    <n v="3"/>
    <n v="9370.84"/>
    <n v="10"/>
    <x v="2"/>
    <x v="1"/>
  </r>
  <r>
    <s v="ORD3337"/>
    <x v="120"/>
    <x v="804"/>
    <s v="Anjali"/>
    <x v="0"/>
    <s v="Pune"/>
    <x v="3"/>
    <s v="Paper"/>
    <s v="Paper 7"/>
    <n v="5"/>
    <n v="23267.56"/>
    <n v="10"/>
    <x v="2"/>
    <x v="1"/>
  </r>
  <r>
    <s v="ORD3338"/>
    <x v="434"/>
    <x v="805"/>
    <s v="Sneha"/>
    <x v="0"/>
    <s v="Mumbai"/>
    <x v="1"/>
    <s v="Phone"/>
    <s v="Phone 28"/>
    <n v="9"/>
    <n v="20320.32"/>
    <n v="10"/>
    <x v="5"/>
    <x v="0"/>
  </r>
  <r>
    <s v="ORD3339"/>
    <x v="355"/>
    <x v="451"/>
    <s v="Rahul"/>
    <x v="0"/>
    <s v="Jaipur"/>
    <x v="0"/>
    <s v="Table"/>
    <s v="Table 17"/>
    <n v="9"/>
    <n v="12805.1"/>
    <n v="5"/>
    <x v="3"/>
    <x v="2"/>
  </r>
  <r>
    <s v="ORD3340"/>
    <x v="377"/>
    <x v="806"/>
    <s v="Neha "/>
    <x v="0"/>
    <s v="Pune"/>
    <x v="0"/>
    <s v="Chair"/>
    <s v="Chair 2"/>
    <n v="2"/>
    <n v="5441.26"/>
    <s v="10 %"/>
    <x v="1"/>
    <x v="3"/>
  </r>
  <r>
    <s v="ORD3341"/>
    <x v="316"/>
    <x v="279"/>
    <s v="Sneha"/>
    <x v="0"/>
    <s v="delhi "/>
    <x v="0"/>
    <s v="Table"/>
    <s v="Table 15"/>
    <n v="6"/>
    <n v="8159.89"/>
    <n v="5"/>
    <x v="1"/>
    <x v="0"/>
  </r>
  <r>
    <s v="ORD3342"/>
    <x v="72"/>
    <x v="663"/>
    <s v="Karan "/>
    <x v="1"/>
    <s v="delhi "/>
    <x v="3"/>
    <s v="Paper"/>
    <s v="Paper 16"/>
    <n v="2"/>
    <n v="9421.76"/>
    <n v="15"/>
    <x v="5"/>
    <x v="0"/>
  </r>
  <r>
    <s v="ORD3343"/>
    <x v="7"/>
    <x v="470"/>
    <s v="Amit"/>
    <x v="0"/>
    <s v="Delhi"/>
    <x v="0"/>
    <s v="Chair"/>
    <s v="Chair 23"/>
    <n v="6"/>
    <n v="1771.11"/>
    <n v="10"/>
    <x v="1"/>
    <x v="0"/>
  </r>
  <r>
    <s v="ORD3344"/>
    <x v="452"/>
    <x v="509"/>
    <s v="Sneha"/>
    <x v="0"/>
    <s v="Pune"/>
    <x v="1"/>
    <s v="Laptop"/>
    <s v="Laptop 14"/>
    <n v="9"/>
    <n v="37703.03"/>
    <n v="10"/>
    <x v="3"/>
    <x v="0"/>
  </r>
  <r>
    <s v="ORD3346"/>
    <x v="240"/>
    <x v="807"/>
    <s v="Vikas"/>
    <x v="0"/>
    <s v="Kolkata"/>
    <x v="1"/>
    <s v="Phone"/>
    <s v="Phone 1"/>
    <n v="5"/>
    <n v="7684.36"/>
    <n v="5"/>
    <x v="1"/>
    <x v="2"/>
  </r>
  <r>
    <s v="ORD3347"/>
    <x v="556"/>
    <x v="362"/>
    <s v="Vikas"/>
    <x v="3"/>
    <s v="Jaipur"/>
    <x v="0"/>
    <s v="Chair"/>
    <s v="Chair 17"/>
    <n v="3"/>
    <n v="6656.85"/>
    <n v="5"/>
    <x v="2"/>
    <x v="2"/>
  </r>
  <r>
    <s v="ORD3348"/>
    <x v="162"/>
    <x v="612"/>
    <s v="Sneha"/>
    <x v="1"/>
    <s v="Jaipur"/>
    <x v="1"/>
    <s v="Phone"/>
    <s v="Phone 2"/>
    <n v="9"/>
    <n v="7125.53"/>
    <n v="10"/>
    <x v="1"/>
    <x v="2"/>
  </r>
  <r>
    <s v="ORD3349"/>
    <x v="665"/>
    <x v="440"/>
    <s v="Priya"/>
    <x v="2"/>
    <s v="Pune"/>
    <x v="2"/>
    <s v="Phone"/>
    <s v="Phone 23"/>
    <n v="3"/>
    <n v="8814.75"/>
    <n v="20"/>
    <x v="0"/>
    <x v="0"/>
  </r>
  <r>
    <s v="ORD3350"/>
    <x v="174"/>
    <x v="431"/>
    <s v="Anjali"/>
    <x v="1"/>
    <s v="Mumbai"/>
    <x v="2"/>
    <s v="Phone"/>
    <s v="Phone 2"/>
    <n v="3"/>
    <n v="2877.65"/>
    <n v="15"/>
    <x v="2"/>
    <x v="0"/>
  </r>
  <r>
    <s v="ORD3351"/>
    <x v="31"/>
    <x v="372"/>
    <s v="Priya"/>
    <x v="0"/>
    <s v="Jaipur"/>
    <x v="1"/>
    <s v="Phone"/>
    <s v="Phone 12"/>
    <n v="7"/>
    <n v="11000.41"/>
    <n v="10"/>
    <x v="5"/>
    <x v="0"/>
  </r>
  <r>
    <s v="ORD3352"/>
    <x v="46"/>
    <x v="468"/>
    <s v="Vikas"/>
    <x v="4"/>
    <s v="Delhi"/>
    <x v="0"/>
    <s v="Table"/>
    <s v="Table 29"/>
    <n v="10"/>
    <n v="20075.52"/>
    <s v="10 %"/>
    <x v="1"/>
    <x v="0"/>
  </r>
  <r>
    <s v="ORD3353"/>
    <x v="477"/>
    <x v="808"/>
    <s v="Priya"/>
    <x v="3"/>
    <s v="Jaipur"/>
    <x v="0"/>
    <s v="Table"/>
    <s v="Table 16"/>
    <n v="7"/>
    <n v="13387.06"/>
    <n v="10"/>
    <x v="5"/>
    <x v="0"/>
  </r>
  <r>
    <s v="ORD3354"/>
    <x v="363"/>
    <x v="639"/>
    <s v="Sneha"/>
    <x v="2"/>
    <s v="Bengaluru"/>
    <x v="0"/>
    <s v="Chair"/>
    <s v="Chair 15"/>
    <n v="5"/>
    <n v="16903.7"/>
    <n v="5"/>
    <x v="0"/>
    <x v="3"/>
  </r>
  <r>
    <s v="ORD3355"/>
    <x v="208"/>
    <x v="30"/>
    <s v="Anjali"/>
    <x v="0"/>
    <s v="Bengaluru"/>
    <x v="0"/>
    <s v="Table"/>
    <s v="Table 16"/>
    <n v="6"/>
    <n v="14032.64"/>
    <n v="10"/>
    <x v="2"/>
    <x v="3"/>
  </r>
  <r>
    <s v="ORD3356"/>
    <x v="650"/>
    <x v="22"/>
    <s v="Arjun"/>
    <x v="1"/>
    <s v="Delhi"/>
    <x v="3"/>
    <s v="Paper"/>
    <s v="Paper 27"/>
    <n v="8"/>
    <n v="37476.199999999997"/>
    <s v="10 %"/>
    <x v="3"/>
    <x v="1"/>
  </r>
  <r>
    <s v="ORD3358"/>
    <x v="527"/>
    <x v="0"/>
    <s v="Anjali"/>
    <x v="0"/>
    <s v="delhi "/>
    <x v="0"/>
    <s v="Chair"/>
    <s v="Chair 21"/>
    <n v="2"/>
    <n v="2652.14"/>
    <s v="10 %"/>
    <x v="1"/>
    <x v="3"/>
  </r>
  <r>
    <s v="ORD3361"/>
    <x v="616"/>
    <x v="775"/>
    <s v="Rahul"/>
    <x v="0"/>
    <s v="delhi "/>
    <x v="3"/>
    <s v="Paper"/>
    <s v="Paper 28"/>
    <n v="9"/>
    <n v="16954.810000000001"/>
    <n v="20"/>
    <x v="1"/>
    <x v="2"/>
  </r>
  <r>
    <s v="ORD3362"/>
    <x v="49"/>
    <x v="626"/>
    <s v="Anjali "/>
    <x v="4"/>
    <s v="Delhi"/>
    <x v="1"/>
    <s v="Phone"/>
    <s v="Phone 20"/>
    <n v="-2"/>
    <n v="3642.84"/>
    <n v="0"/>
    <x v="5"/>
    <x v="0"/>
  </r>
  <r>
    <s v="ORD3364"/>
    <x v="339"/>
    <x v="625"/>
    <s v="Vikas"/>
    <x v="0"/>
    <s v="Jaipur"/>
    <x v="0"/>
    <s v="Table"/>
    <s v="Table 5"/>
    <n v="3"/>
    <n v="901.67"/>
    <n v="20"/>
    <x v="4"/>
    <x v="0"/>
  </r>
  <r>
    <s v="ORD3365"/>
    <x v="490"/>
    <x v="541"/>
    <s v="Anjali"/>
    <x v="0"/>
    <s v="Mumbai"/>
    <x v="1"/>
    <s v="Laptop"/>
    <s v="Laptop 30"/>
    <n v="7"/>
    <n v="20167.13"/>
    <s v="10 %"/>
    <x v="5"/>
    <x v="1"/>
  </r>
  <r>
    <s v="ORD3366"/>
    <x v="541"/>
    <x v="809"/>
    <s v="Vikas"/>
    <x v="0"/>
    <s v="Bengaluru"/>
    <x v="2"/>
    <s v="Phone"/>
    <s v="Phone 16"/>
    <n v="8"/>
    <n v="30148.89"/>
    <s v="10 %"/>
    <x v="1"/>
    <x v="1"/>
  </r>
  <r>
    <s v="ORD3367"/>
    <x v="529"/>
    <x v="642"/>
    <s v="Karan"/>
    <x v="3"/>
    <s v="Pune"/>
    <x v="2"/>
    <s v="Phone"/>
    <s v="Phone 11"/>
    <n v="1"/>
    <n v="1568.59"/>
    <n v="5"/>
    <x v="2"/>
    <x v="0"/>
  </r>
  <r>
    <s v="ORD3368"/>
    <x v="106"/>
    <x v="482"/>
    <s v="Amit"/>
    <x v="0"/>
    <s v="Mumbai"/>
    <x v="0"/>
    <s v="Chair"/>
    <s v="Chair 21"/>
    <n v="9"/>
    <n v="1261.1600000000001"/>
    <n v="20"/>
    <x v="3"/>
    <x v="0"/>
  </r>
  <r>
    <s v="ORD3370"/>
    <x v="591"/>
    <x v="81"/>
    <s v="Rahul"/>
    <x v="1"/>
    <s v="Jaipur"/>
    <x v="3"/>
    <s v="Paper"/>
    <s v="Paper 9"/>
    <n v="4"/>
    <n v="928.1"/>
    <n v="20"/>
    <x v="2"/>
    <x v="0"/>
  </r>
  <r>
    <s v="ORD3371"/>
    <x v="379"/>
    <x v="179"/>
    <s v="Neha"/>
    <x v="2"/>
    <s v="Pune"/>
    <x v="0"/>
    <s v="Chair"/>
    <s v="Chair 8"/>
    <n v="9"/>
    <n v="5480.95"/>
    <n v="10"/>
    <x v="5"/>
    <x v="3"/>
  </r>
  <r>
    <s v="ORD3372"/>
    <x v="359"/>
    <x v="132"/>
    <s v="Arjun"/>
    <x v="3"/>
    <s v="Delhi"/>
    <x v="3"/>
    <s v="Paper"/>
    <s v="Paper 12"/>
    <n v="1"/>
    <n v="1889.88"/>
    <n v="10"/>
    <x v="2"/>
    <x v="3"/>
  </r>
  <r>
    <s v="ORD3373"/>
    <x v="539"/>
    <x v="123"/>
    <s v="Anjali"/>
    <x v="4"/>
    <s v="Pune"/>
    <x v="0"/>
    <s v="Chair"/>
    <s v="Chair 2"/>
    <n v="7"/>
    <n v="21229.52"/>
    <n v="5"/>
    <x v="0"/>
    <x v="0"/>
  </r>
  <r>
    <s v="ORD3374"/>
    <x v="143"/>
    <x v="657"/>
    <s v="Karan"/>
    <x v="0"/>
    <s v="Jaipur"/>
    <x v="0"/>
    <s v="Chair"/>
    <s v="Chair 25"/>
    <n v="7"/>
    <n v="30132.17"/>
    <s v="10 %"/>
    <x v="4"/>
    <x v="3"/>
  </r>
  <r>
    <s v="ORD3375"/>
    <x v="100"/>
    <x v="217"/>
    <s v="Riya"/>
    <x v="4"/>
    <s v="Pune"/>
    <x v="3"/>
    <s v="Paper"/>
    <s v="Paper 15"/>
    <n v="10"/>
    <n v="2080.0500000000002"/>
    <n v="0"/>
    <x v="3"/>
    <x v="3"/>
  </r>
  <r>
    <s v="ORD3376"/>
    <x v="513"/>
    <x v="382"/>
    <s v="Vikas"/>
    <x v="1"/>
    <s v="Bengaluru"/>
    <x v="2"/>
    <s v="Phone"/>
    <s v="Phone 1"/>
    <n v="9"/>
    <n v="30547.96"/>
    <n v="0"/>
    <x v="1"/>
    <x v="1"/>
  </r>
  <r>
    <s v="ORD3377"/>
    <x v="564"/>
    <x v="244"/>
    <s v="Priya"/>
    <x v="4"/>
    <s v="Delhi"/>
    <x v="2"/>
    <s v="Phone"/>
    <s v="Phone 17"/>
    <n v="10"/>
    <n v="17422.36"/>
    <s v="10 %"/>
    <x v="0"/>
    <x v="1"/>
  </r>
  <r>
    <s v="ORD3378"/>
    <x v="666"/>
    <x v="608"/>
    <s v="Amit "/>
    <x v="2"/>
    <s v="Bengaluru"/>
    <x v="1"/>
    <s v="Phone"/>
    <s v="Phone 23"/>
    <n v="2"/>
    <n v="1230.1199999999999"/>
    <n v="10"/>
    <x v="0"/>
    <x v="2"/>
  </r>
  <r>
    <s v="ORD3379"/>
    <x v="615"/>
    <x v="44"/>
    <s v="Vikas"/>
    <x v="0"/>
    <s v="Kolkata"/>
    <x v="1"/>
    <s v="Laptop"/>
    <s v="Laptop 18"/>
    <n v="3"/>
    <n v="4680.41"/>
    <n v="5"/>
    <x v="1"/>
    <x v="2"/>
  </r>
  <r>
    <s v="ORD3381"/>
    <x v="446"/>
    <x v="348"/>
    <s v="Sneha"/>
    <x v="2"/>
    <s v="Pune"/>
    <x v="0"/>
    <s v="Table"/>
    <s v="Table 23"/>
    <n v="9"/>
    <n v="35445.040000000001"/>
    <s v="10 %"/>
    <x v="3"/>
    <x v="3"/>
  </r>
  <r>
    <s v="ORD3382"/>
    <x v="194"/>
    <x v="67"/>
    <s v="Neha "/>
    <x v="0"/>
    <s v="Delhi"/>
    <x v="0"/>
    <s v="Table"/>
    <s v="Table 5"/>
    <n v="8"/>
    <n v="14140.68"/>
    <n v="5"/>
    <x v="1"/>
    <x v="0"/>
  </r>
  <r>
    <s v="ORD3383"/>
    <x v="546"/>
    <x v="497"/>
    <s v="Amit"/>
    <x v="2"/>
    <s v="Bengaluru"/>
    <x v="1"/>
    <s v="Laptop"/>
    <s v="Laptop 10"/>
    <n v="1"/>
    <n v="2417.83"/>
    <n v="0"/>
    <x v="3"/>
    <x v="3"/>
  </r>
  <r>
    <s v="ORD3384"/>
    <x v="279"/>
    <x v="256"/>
    <s v="Arjun"/>
    <x v="2"/>
    <s v="Mumbai"/>
    <x v="3"/>
    <s v="Paper"/>
    <s v="Paper 20"/>
    <n v="10"/>
    <n v="39711.24"/>
    <n v="20"/>
    <x v="0"/>
    <x v="2"/>
  </r>
  <r>
    <s v="ORD3385"/>
    <x v="261"/>
    <x v="788"/>
    <s v="Neha"/>
    <x v="0"/>
    <s v="Kolkata"/>
    <x v="2"/>
    <s v="Phone"/>
    <s v="Phone 26"/>
    <n v="5"/>
    <n v="16123.73"/>
    <n v="15"/>
    <x v="2"/>
    <x v="0"/>
  </r>
  <r>
    <s v="ORD3387"/>
    <x v="667"/>
    <x v="371"/>
    <s v="Karan"/>
    <x v="4"/>
    <s v="Kolkata"/>
    <x v="0"/>
    <s v="Chair"/>
    <s v="Chair 24"/>
    <n v="7"/>
    <n v="32079.05"/>
    <n v="15"/>
    <x v="3"/>
    <x v="0"/>
  </r>
  <r>
    <s v="ORD3388"/>
    <x v="668"/>
    <x v="422"/>
    <s v="Arjun"/>
    <x v="1"/>
    <s v="Bengaluru"/>
    <x v="3"/>
    <s v="Paper"/>
    <s v="Paper 4"/>
    <n v="4"/>
    <n v="13624.73"/>
    <n v="5"/>
    <x v="0"/>
    <x v="0"/>
  </r>
  <r>
    <s v="ORD3390"/>
    <x v="433"/>
    <x v="706"/>
    <s v="Sneha "/>
    <x v="4"/>
    <s v="Bengaluru"/>
    <x v="0"/>
    <s v="Table"/>
    <s v="Table 9"/>
    <n v="3"/>
    <n v="2118.7800000000002"/>
    <n v="5"/>
    <x v="4"/>
    <x v="0"/>
  </r>
  <r>
    <s v="ORD3391"/>
    <x v="93"/>
    <x v="635"/>
    <s v="Sneha"/>
    <x v="4"/>
    <s v="Kolkata"/>
    <x v="3"/>
    <s v="Paper"/>
    <s v="Paper 2"/>
    <n v="9"/>
    <n v="19428.849999999999"/>
    <n v="5"/>
    <x v="4"/>
    <x v="1"/>
  </r>
  <r>
    <s v="ORD3392"/>
    <x v="281"/>
    <x v="179"/>
    <s v="Sneha"/>
    <x v="0"/>
    <s v="delhi "/>
    <x v="1"/>
    <s v="Phone"/>
    <s v="Phone 5"/>
    <n v="1"/>
    <n v="3806.6"/>
    <n v="15"/>
    <x v="5"/>
    <x v="1"/>
  </r>
  <r>
    <s v="ORD3393"/>
    <x v="345"/>
    <x v="490"/>
    <s v="Priya"/>
    <x v="0"/>
    <s v="Mumbai"/>
    <x v="0"/>
    <s v="Chair"/>
    <s v="Chair 2"/>
    <n v="7"/>
    <n v="15195.28"/>
    <n v="20"/>
    <x v="3"/>
    <x v="1"/>
  </r>
  <r>
    <s v="ORD3394"/>
    <x v="509"/>
    <x v="810"/>
    <s v="Neha"/>
    <x v="2"/>
    <s v="delhi "/>
    <x v="3"/>
    <s v="Paper"/>
    <s v="Paper 6"/>
    <n v="9"/>
    <n v="18057.310000000001"/>
    <n v="0"/>
    <x v="3"/>
    <x v="3"/>
  </r>
  <r>
    <s v="ORD3396"/>
    <x v="447"/>
    <x v="208"/>
    <s v="Riya"/>
    <x v="2"/>
    <s v="Mumbai"/>
    <x v="0"/>
    <s v="Chair"/>
    <s v="Chair 11"/>
    <n v="9"/>
    <n v="41506.92"/>
    <n v="0"/>
    <x v="3"/>
    <x v="2"/>
  </r>
  <r>
    <s v="ORD3397"/>
    <x v="531"/>
    <x v="7"/>
    <s v="Karan"/>
    <x v="3"/>
    <s v="Bengaluru"/>
    <x v="1"/>
    <s v="Laptop"/>
    <s v="Laptop 16"/>
    <n v="2"/>
    <n v="646.91999999999996"/>
    <n v="5"/>
    <x v="5"/>
    <x v="2"/>
  </r>
  <r>
    <s v="ORD3398"/>
    <x v="376"/>
    <x v="667"/>
    <s v="Sneha"/>
    <x v="1"/>
    <s v="Delhi"/>
    <x v="2"/>
    <s v="Phone"/>
    <s v="Phone 13"/>
    <n v="1"/>
    <n v="1084.6099999999999"/>
    <n v="10"/>
    <x v="1"/>
    <x v="0"/>
  </r>
  <r>
    <s v="ORD3399"/>
    <x v="669"/>
    <x v="698"/>
    <s v="Riya"/>
    <x v="1"/>
    <s v="Jaipur"/>
    <x v="1"/>
    <s v="Phone"/>
    <s v="Phone 7"/>
    <n v="7"/>
    <n v="20100.830000000002"/>
    <n v="15"/>
    <x v="5"/>
    <x v="3"/>
  </r>
  <r>
    <s v="ORD3400"/>
    <x v="229"/>
    <x v="279"/>
    <s v="Priya"/>
    <x v="2"/>
    <s v="Jaipur"/>
    <x v="1"/>
    <s v="Laptop"/>
    <s v="Laptop 27"/>
    <n v="8"/>
    <n v="16425.18"/>
    <n v="15"/>
    <x v="1"/>
    <x v="2"/>
  </r>
  <r>
    <s v="ORD3401"/>
    <x v="34"/>
    <x v="286"/>
    <s v="Rahul"/>
    <x v="3"/>
    <s v="Mumbai"/>
    <x v="0"/>
    <s v="Table"/>
    <s v="Table 8"/>
    <n v="3"/>
    <n v="1902.61"/>
    <n v="10"/>
    <x v="1"/>
    <x v="3"/>
  </r>
  <r>
    <s v="ORD3402"/>
    <x v="378"/>
    <x v="36"/>
    <s v="Sneha"/>
    <x v="0"/>
    <s v="Delhi"/>
    <x v="0"/>
    <s v="Table"/>
    <s v="Table 3"/>
    <n v="9"/>
    <n v="8532.24"/>
    <n v="5"/>
    <x v="4"/>
    <x v="0"/>
  </r>
  <r>
    <s v="ORD3403"/>
    <x v="17"/>
    <x v="356"/>
    <s v="Rahul"/>
    <x v="0"/>
    <s v="Bengaluru"/>
    <x v="0"/>
    <s v="Table"/>
    <s v="Table 7"/>
    <n v="10"/>
    <n v="33393.89"/>
    <n v="5"/>
    <x v="2"/>
    <x v="0"/>
  </r>
  <r>
    <s v="ORD3404"/>
    <x v="455"/>
    <x v="586"/>
    <s v="Arjun"/>
    <x v="0"/>
    <s v="Bengaluru"/>
    <x v="1"/>
    <s v="Phone"/>
    <s v="Phone 30"/>
    <n v="7"/>
    <n v="18944.22"/>
    <n v="5"/>
    <x v="5"/>
    <x v="3"/>
  </r>
  <r>
    <s v="ORD3405"/>
    <x v="102"/>
    <x v="811"/>
    <s v="Priya"/>
    <x v="3"/>
    <s v="Kolkata"/>
    <x v="3"/>
    <s v="Paper"/>
    <s v="Paper 9"/>
    <n v="9"/>
    <n v="27920.35"/>
    <n v="20"/>
    <x v="2"/>
    <x v="2"/>
  </r>
  <r>
    <s v="ORD3406"/>
    <x v="199"/>
    <x v="628"/>
    <s v="Neha"/>
    <x v="4"/>
    <s v="Jaipur"/>
    <x v="1"/>
    <s v="Laptop"/>
    <s v="Laptop 20"/>
    <n v="6"/>
    <n v="8340.94"/>
    <n v="10"/>
    <x v="5"/>
    <x v="1"/>
  </r>
  <r>
    <s v="ORD3407"/>
    <x v="105"/>
    <x v="812"/>
    <s v="Sneha"/>
    <x v="0"/>
    <s v="Jaipur"/>
    <x v="2"/>
    <s v="Phone"/>
    <s v="Phone 1"/>
    <n v="1"/>
    <n v="4970.33"/>
    <n v="20"/>
    <x v="4"/>
    <x v="3"/>
  </r>
  <r>
    <s v="ORD3408"/>
    <x v="108"/>
    <x v="157"/>
    <s v="Sneha"/>
    <x v="4"/>
    <s v="Mumbai"/>
    <x v="1"/>
    <s v="Laptop"/>
    <s v="Laptop 28"/>
    <n v="6"/>
    <n v="16766.82"/>
    <n v="0"/>
    <x v="5"/>
    <x v="2"/>
  </r>
  <r>
    <s v="ORD3409"/>
    <x v="24"/>
    <x v="40"/>
    <s v="Rahul"/>
    <x v="0"/>
    <s v="Kolkata"/>
    <x v="3"/>
    <s v="Paper"/>
    <s v="Paper 19"/>
    <n v="10"/>
    <n v="17007.46"/>
    <n v="0"/>
    <x v="5"/>
    <x v="0"/>
  </r>
  <r>
    <s v="ORD3410"/>
    <x v="670"/>
    <x v="446"/>
    <s v="Vikas"/>
    <x v="4"/>
    <s v="Jaipur"/>
    <x v="0"/>
    <s v="Chair"/>
    <s v="Chair 28"/>
    <n v="6"/>
    <n v="957.21"/>
    <n v="15"/>
    <x v="4"/>
    <x v="3"/>
  </r>
  <r>
    <s v="ORD3412"/>
    <x v="328"/>
    <x v="12"/>
    <s v="Sneha"/>
    <x v="2"/>
    <s v="Pune"/>
    <x v="0"/>
    <s v="Chair"/>
    <s v="Chair 8"/>
    <n v="3"/>
    <n v="3475.92"/>
    <s v="10 %"/>
    <x v="4"/>
    <x v="0"/>
  </r>
  <r>
    <s v="ORD3413"/>
    <x v="640"/>
    <x v="99"/>
    <s v="Vikas "/>
    <x v="0"/>
    <s v="Kolkata"/>
    <x v="1"/>
    <s v="Laptop"/>
    <s v="Laptop 15"/>
    <n v="9"/>
    <n v="13317.4"/>
    <n v="20"/>
    <x v="2"/>
    <x v="0"/>
  </r>
  <r>
    <s v="ORD3415"/>
    <x v="471"/>
    <x v="655"/>
    <s v="Rahul "/>
    <x v="0"/>
    <s v="Jaipur"/>
    <x v="0"/>
    <s v="Chair"/>
    <s v="Chair 10"/>
    <n v="4"/>
    <n v="12970.62"/>
    <n v="10"/>
    <x v="1"/>
    <x v="2"/>
  </r>
  <r>
    <s v="ORD3417"/>
    <x v="166"/>
    <x v="519"/>
    <s v="Riya"/>
    <x v="4"/>
    <s v="Kolkata"/>
    <x v="2"/>
    <s v="Phone"/>
    <s v="Phone 17"/>
    <n v="7"/>
    <n v="3632.66"/>
    <n v="5"/>
    <x v="2"/>
    <x v="3"/>
  </r>
  <r>
    <s v="ORD3418"/>
    <x v="544"/>
    <x v="516"/>
    <s v="Vikas"/>
    <x v="1"/>
    <s v="Jaipur"/>
    <x v="3"/>
    <s v="Paper"/>
    <s v="Paper 7"/>
    <n v="6"/>
    <n v="25621.3"/>
    <n v="5"/>
    <x v="0"/>
    <x v="0"/>
  </r>
  <r>
    <s v="ORD3419"/>
    <x v="671"/>
    <x v="531"/>
    <s v="Rahul"/>
    <x v="4"/>
    <s v="Pune"/>
    <x v="1"/>
    <s v="Laptop"/>
    <s v="Laptop 26"/>
    <n v="10"/>
    <n v="2031.83"/>
    <n v="10"/>
    <x v="3"/>
    <x v="2"/>
  </r>
  <r>
    <s v="ORD3420"/>
    <x v="626"/>
    <x v="813"/>
    <s v="Anjali"/>
    <x v="3"/>
    <s v="Pune"/>
    <x v="0"/>
    <s v="Table"/>
    <s v="Table 28"/>
    <n v="2"/>
    <n v="2765.81"/>
    <n v="0"/>
    <x v="5"/>
    <x v="1"/>
  </r>
  <r>
    <s v="ORD3421"/>
    <x v="119"/>
    <x v="668"/>
    <s v="Neha"/>
    <x v="0"/>
    <s v="Jaipur"/>
    <x v="0"/>
    <s v="Table"/>
    <s v="Table 4"/>
    <n v="3"/>
    <n v="2512.35"/>
    <n v="15"/>
    <x v="4"/>
    <x v="0"/>
  </r>
  <r>
    <s v="ORD3422"/>
    <x v="297"/>
    <x v="30"/>
    <s v="Vikas"/>
    <x v="0"/>
    <s v="Delhi"/>
    <x v="1"/>
    <s v="Laptop"/>
    <s v="Laptop 9"/>
    <n v="1"/>
    <n v="2310.1799999999998"/>
    <n v="5"/>
    <x v="2"/>
    <x v="3"/>
  </r>
  <r>
    <s v="ORD3425"/>
    <x v="584"/>
    <x v="217"/>
    <s v="Amit"/>
    <x v="3"/>
    <s v="Jaipur"/>
    <x v="3"/>
    <s v="Paper"/>
    <s v="Paper 2"/>
    <n v="6"/>
    <n v="14929.39"/>
    <n v="20"/>
    <x v="3"/>
    <x v="3"/>
  </r>
  <r>
    <s v="ORD3426"/>
    <x v="619"/>
    <x v="553"/>
    <s v="Neha"/>
    <x v="0"/>
    <s v="Pune"/>
    <x v="1"/>
    <s v="Phone"/>
    <s v="Phone 17"/>
    <n v="7"/>
    <n v="25244.05"/>
    <n v="5"/>
    <x v="0"/>
    <x v="0"/>
  </r>
  <r>
    <s v="ORD3427"/>
    <x v="499"/>
    <x v="248"/>
    <s v="Rahul"/>
    <x v="0"/>
    <s v="Mumbai"/>
    <x v="0"/>
    <s v="Chair"/>
    <s v="Chair 21"/>
    <n v="5"/>
    <n v="9230.36"/>
    <n v="20"/>
    <x v="1"/>
    <x v="3"/>
  </r>
  <r>
    <s v="ORD3428"/>
    <x v="31"/>
    <x v="267"/>
    <s v="Rahul"/>
    <x v="4"/>
    <s v="Delhi"/>
    <x v="3"/>
    <s v="Paper"/>
    <s v="Paper 30"/>
    <n v="1"/>
    <n v="2356.87"/>
    <n v="0"/>
    <x v="1"/>
    <x v="0"/>
  </r>
  <r>
    <s v="ORD3429"/>
    <x v="515"/>
    <x v="713"/>
    <s v="Sneha"/>
    <x v="0"/>
    <s v="Pune"/>
    <x v="0"/>
    <s v="Chair"/>
    <s v="Chair 29"/>
    <n v="7"/>
    <n v="1876.04"/>
    <n v="15"/>
    <x v="4"/>
    <x v="2"/>
  </r>
  <r>
    <s v="ORD3430"/>
    <x v="634"/>
    <x v="59"/>
    <s v="Amit"/>
    <x v="1"/>
    <s v="Jaipur"/>
    <x v="1"/>
    <s v="Laptop"/>
    <s v="Laptop 18"/>
    <n v="1"/>
    <n v="4558.59"/>
    <n v="15"/>
    <x v="5"/>
    <x v="2"/>
  </r>
  <r>
    <s v="ORD3431"/>
    <x v="631"/>
    <x v="291"/>
    <s v="Arjun"/>
    <x v="0"/>
    <s v="Kolkata"/>
    <x v="0"/>
    <s v="Table"/>
    <s v="Table 27"/>
    <n v="5"/>
    <n v="2127.54"/>
    <n v="15"/>
    <x v="0"/>
    <x v="2"/>
  </r>
  <r>
    <s v="ORD3433"/>
    <x v="506"/>
    <x v="29"/>
    <s v="Anjali"/>
    <x v="1"/>
    <s v="Jaipur"/>
    <x v="2"/>
    <s v="Phone"/>
    <s v="Phone 6"/>
    <n v="6"/>
    <n v="24437.74"/>
    <n v="15"/>
    <x v="5"/>
    <x v="3"/>
  </r>
  <r>
    <s v="ORD3434"/>
    <x v="360"/>
    <x v="29"/>
    <s v="Vikas"/>
    <x v="2"/>
    <s v="delhi "/>
    <x v="1"/>
    <s v="Laptop"/>
    <s v="Laptop 21"/>
    <n v="1"/>
    <n v="1203.1500000000001"/>
    <n v="10"/>
    <x v="3"/>
    <x v="2"/>
  </r>
  <r>
    <s v="ORD3435"/>
    <x v="398"/>
    <x v="814"/>
    <s v="Riya"/>
    <x v="1"/>
    <s v="Bengaluru"/>
    <x v="3"/>
    <s v="Paper"/>
    <s v="Paper 26"/>
    <n v="4"/>
    <n v="10627.82"/>
    <n v="10"/>
    <x v="4"/>
    <x v="2"/>
  </r>
  <r>
    <s v="ORD3436"/>
    <x v="470"/>
    <x v="416"/>
    <s v="Anjali"/>
    <x v="0"/>
    <s v="Bengaluru"/>
    <x v="3"/>
    <s v="Paper"/>
    <s v="Paper 26"/>
    <n v="9"/>
    <n v="4856.21"/>
    <n v="15"/>
    <x v="3"/>
    <x v="2"/>
  </r>
  <r>
    <s v="ORD3437"/>
    <x v="672"/>
    <x v="270"/>
    <s v="Vikas "/>
    <x v="0"/>
    <s v="delhi "/>
    <x v="0"/>
    <s v="Chair"/>
    <s v="Chair 14"/>
    <n v="2"/>
    <n v="7978.41"/>
    <n v="10"/>
    <x v="5"/>
    <x v="3"/>
  </r>
  <r>
    <s v="ORD3438"/>
    <x v="558"/>
    <x v="108"/>
    <s v="Amit"/>
    <x v="2"/>
    <s v="Jaipur"/>
    <x v="1"/>
    <s v="Phone"/>
    <s v="Phone 11"/>
    <n v="3"/>
    <n v="12438.36"/>
    <n v="20"/>
    <x v="4"/>
    <x v="2"/>
  </r>
  <r>
    <s v="ORD3439"/>
    <x v="316"/>
    <x v="271"/>
    <s v="Riya "/>
    <x v="4"/>
    <s v="Delhi"/>
    <x v="3"/>
    <s v="Paper"/>
    <s v="Paper 25"/>
    <n v="2"/>
    <n v="542.26"/>
    <n v="20"/>
    <x v="2"/>
    <x v="2"/>
  </r>
  <r>
    <s v="ORD3440"/>
    <x v="673"/>
    <x v="660"/>
    <s v="Vikas"/>
    <x v="0"/>
    <s v="Jaipur"/>
    <x v="0"/>
    <s v="Chair"/>
    <s v="Chair 29"/>
    <n v="7"/>
    <n v="20311.810000000001"/>
    <s v="10 %"/>
    <x v="0"/>
    <x v="0"/>
  </r>
  <r>
    <s v="ORD3441"/>
    <x v="648"/>
    <x v="476"/>
    <s v="Vikas"/>
    <x v="4"/>
    <s v="Pune"/>
    <x v="2"/>
    <s v="Phone"/>
    <s v="Phone 13"/>
    <n v="4"/>
    <n v="12083.67"/>
    <n v="5"/>
    <x v="0"/>
    <x v="3"/>
  </r>
  <r>
    <s v="ORD3442"/>
    <x v="383"/>
    <x v="220"/>
    <s v="Vikas "/>
    <x v="2"/>
    <s v="Bengaluru"/>
    <x v="2"/>
    <s v="Phone"/>
    <s v="Phone 5"/>
    <n v="5"/>
    <n v="1849.5"/>
    <n v="5"/>
    <x v="3"/>
    <x v="0"/>
  </r>
  <r>
    <s v="ORD1325"/>
    <x v="60"/>
    <x v="126"/>
    <s v="Sneha"/>
    <x v="0"/>
    <s v="Kolkata"/>
    <x v="1"/>
    <s v="Laptop"/>
    <s v="Laptop 23"/>
    <n v="3"/>
    <n v="10221.41"/>
    <n v="5"/>
    <x v="1"/>
    <x v="1"/>
  </r>
  <r>
    <s v="ORD3444"/>
    <x v="205"/>
    <x v="88"/>
    <s v="Arjun"/>
    <x v="0"/>
    <s v="delhi "/>
    <x v="3"/>
    <s v="Paper"/>
    <s v="Paper 14"/>
    <n v="8"/>
    <n v="11127.51"/>
    <n v="20"/>
    <x v="5"/>
    <x v="3"/>
  </r>
  <r>
    <s v="ORD3445"/>
    <x v="292"/>
    <x v="465"/>
    <s v="Riya"/>
    <x v="4"/>
    <s v="Delhi"/>
    <x v="0"/>
    <s v="Table"/>
    <s v="Table 30"/>
    <n v="6"/>
    <n v="10417.290000000001"/>
    <s v="10 %"/>
    <x v="1"/>
    <x v="3"/>
  </r>
  <r>
    <s v="ORD3446"/>
    <x v="90"/>
    <x v="67"/>
    <s v="Priya"/>
    <x v="0"/>
    <s v="Kolkata"/>
    <x v="2"/>
    <s v="Phone"/>
    <s v="Phone 25"/>
    <n v="6"/>
    <n v="29677.21"/>
    <s v="10 %"/>
    <x v="2"/>
    <x v="2"/>
  </r>
  <r>
    <s v="ORD3447"/>
    <x v="87"/>
    <x v="586"/>
    <s v="Priya "/>
    <x v="2"/>
    <s v="Pune"/>
    <x v="0"/>
    <s v="Chair"/>
    <s v="Chair 15"/>
    <n v="8"/>
    <n v="7415.04"/>
    <n v="5"/>
    <x v="5"/>
    <x v="3"/>
  </r>
  <r>
    <s v="ORD3450"/>
    <x v="158"/>
    <x v="439"/>
    <s v="Riya"/>
    <x v="4"/>
    <s v="Mumbai"/>
    <x v="3"/>
    <s v="Paper"/>
    <s v="Paper 7"/>
    <n v="9"/>
    <n v="6357.26"/>
    <n v="0"/>
    <x v="2"/>
    <x v="1"/>
  </r>
  <r>
    <s v="ORD3452"/>
    <x v="658"/>
    <x v="663"/>
    <s v="Priya"/>
    <x v="0"/>
    <s v="Bengaluru"/>
    <x v="2"/>
    <s v="Phone"/>
    <s v="Phone 15"/>
    <n v="7"/>
    <n v="12269.38"/>
    <n v="10"/>
    <x v="5"/>
    <x v="2"/>
  </r>
  <r>
    <s v="ORD3453"/>
    <x v="219"/>
    <x v="307"/>
    <s v="Vikas "/>
    <x v="3"/>
    <s v="Bengaluru"/>
    <x v="1"/>
    <s v="Phone"/>
    <s v="Phone 2"/>
    <n v="9"/>
    <n v="23844.71"/>
    <n v="0"/>
    <x v="4"/>
    <x v="0"/>
  </r>
  <r>
    <s v="ORD3454"/>
    <x v="421"/>
    <x v="416"/>
    <s v="Anjali"/>
    <x v="0"/>
    <s v="Delhi"/>
    <x v="0"/>
    <s v="Table"/>
    <s v="Table 15"/>
    <n v="1"/>
    <n v="3480.01"/>
    <n v="0"/>
    <x v="1"/>
    <x v="2"/>
  </r>
  <r>
    <s v="ORD3455"/>
    <x v="138"/>
    <x v="550"/>
    <s v="Riya"/>
    <x v="4"/>
    <s v="Delhi"/>
    <x v="0"/>
    <s v="Chair"/>
    <s v="Chair 7"/>
    <n v="2"/>
    <n v="3861.06"/>
    <n v="20"/>
    <x v="1"/>
    <x v="1"/>
  </r>
  <r>
    <s v="ORD3456"/>
    <x v="457"/>
    <x v="678"/>
    <s v="Vikas"/>
    <x v="3"/>
    <s v="delhi "/>
    <x v="1"/>
    <s v="Laptop"/>
    <s v="Laptop 22"/>
    <n v="5"/>
    <n v="14886.89"/>
    <n v="15"/>
    <x v="1"/>
    <x v="2"/>
  </r>
  <r>
    <s v="ORD3457"/>
    <x v="400"/>
    <x v="815"/>
    <s v="Vikas"/>
    <x v="4"/>
    <s v="Delhi"/>
    <x v="2"/>
    <s v="Phone"/>
    <s v="Phone 27"/>
    <n v="7"/>
    <n v="10079.780000000001"/>
    <n v="20"/>
    <x v="5"/>
    <x v="0"/>
  </r>
  <r>
    <s v="ORD3458"/>
    <x v="26"/>
    <x v="87"/>
    <s v="Rahul"/>
    <x v="4"/>
    <s v="Kolkata"/>
    <x v="1"/>
    <s v="Phone"/>
    <s v="Phone 5"/>
    <n v="8"/>
    <n v="3927.72"/>
    <n v="10"/>
    <x v="5"/>
    <x v="0"/>
  </r>
  <r>
    <s v="ORD3459"/>
    <x v="566"/>
    <x v="353"/>
    <s v="Amit"/>
    <x v="1"/>
    <s v="Kolkata"/>
    <x v="1"/>
    <s v="Phone"/>
    <s v="Phone 7"/>
    <n v="6"/>
    <n v="12501.1"/>
    <n v="5"/>
    <x v="1"/>
    <x v="0"/>
  </r>
  <r>
    <s v="ORD3460"/>
    <x v="197"/>
    <x v="94"/>
    <s v="Sneha"/>
    <x v="2"/>
    <s v="delhi "/>
    <x v="0"/>
    <s v="Chair"/>
    <s v="Chair 13"/>
    <n v="7"/>
    <n v="7202.67"/>
    <n v="15"/>
    <x v="5"/>
    <x v="0"/>
  </r>
  <r>
    <s v="ORD3462"/>
    <x v="542"/>
    <x v="517"/>
    <s v="Rahul"/>
    <x v="2"/>
    <s v="delhi "/>
    <x v="1"/>
    <s v="Laptop"/>
    <s v="Laptop 9"/>
    <n v="5"/>
    <n v="24557.29"/>
    <n v="10"/>
    <x v="3"/>
    <x v="3"/>
  </r>
  <r>
    <s v="ORD3463"/>
    <x v="260"/>
    <x v="816"/>
    <s v="Rahul"/>
    <x v="1"/>
    <s v="Bengaluru"/>
    <x v="0"/>
    <s v="Chair"/>
    <s v="Chair 25"/>
    <n v="10"/>
    <n v="25934.36"/>
    <n v="15"/>
    <x v="1"/>
    <x v="0"/>
  </r>
  <r>
    <s v="ORD3464"/>
    <x v="287"/>
    <x v="255"/>
    <s v="Rahul"/>
    <x v="0"/>
    <s v="Delhi"/>
    <x v="1"/>
    <s v="Phone"/>
    <s v="Phone 17"/>
    <n v="3"/>
    <n v="13540.34"/>
    <s v="10 %"/>
    <x v="0"/>
    <x v="3"/>
  </r>
  <r>
    <s v="ORD3465"/>
    <x v="345"/>
    <x v="704"/>
    <s v="Sneha"/>
    <x v="0"/>
    <s v="Jaipur"/>
    <x v="1"/>
    <s v="Laptop"/>
    <s v="Laptop 2"/>
    <n v="7"/>
    <n v="29711.040000000001"/>
    <n v="20"/>
    <x v="4"/>
    <x v="0"/>
  </r>
  <r>
    <s v="ORD3467"/>
    <x v="599"/>
    <x v="794"/>
    <s v="Anjali"/>
    <x v="0"/>
    <s v="Jaipur"/>
    <x v="0"/>
    <s v="Table"/>
    <s v="Table 20"/>
    <n v="5"/>
    <n v="14930.73"/>
    <n v="5"/>
    <x v="0"/>
    <x v="3"/>
  </r>
  <r>
    <s v="ORD3468"/>
    <x v="68"/>
    <x v="312"/>
    <s v="Priya"/>
    <x v="4"/>
    <s v="Delhi"/>
    <x v="3"/>
    <s v="Paper"/>
    <s v="Paper 25"/>
    <n v="5"/>
    <n v="21397.78"/>
    <n v="15"/>
    <x v="0"/>
    <x v="0"/>
  </r>
  <r>
    <s v="ORD3472"/>
    <x v="481"/>
    <x v="374"/>
    <s v="Amit"/>
    <x v="0"/>
    <s v="Mumbai"/>
    <x v="0"/>
    <s v="Table"/>
    <s v="Table 8"/>
    <n v="9"/>
    <n v="30720.560000000001"/>
    <n v="10"/>
    <x v="5"/>
    <x v="2"/>
  </r>
  <r>
    <s v="ORD3474"/>
    <x v="674"/>
    <x v="817"/>
    <s v="Neha"/>
    <x v="1"/>
    <s v="Bengaluru"/>
    <x v="0"/>
    <s v="Table"/>
    <s v="Table 5"/>
    <n v="1"/>
    <n v="1035.1300000000001"/>
    <n v="15"/>
    <x v="2"/>
    <x v="3"/>
  </r>
  <r>
    <s v="ORD3475"/>
    <x v="631"/>
    <x v="817"/>
    <s v="Amit"/>
    <x v="2"/>
    <s v="Pune"/>
    <x v="3"/>
    <s v="Paper"/>
    <s v="Paper 28"/>
    <n v="3"/>
    <n v="4741.7299999999996"/>
    <n v="20"/>
    <x v="4"/>
    <x v="3"/>
  </r>
  <r>
    <s v="ORD3477"/>
    <x v="507"/>
    <x v="121"/>
    <s v="Amit"/>
    <x v="0"/>
    <s v="Jaipur"/>
    <x v="0"/>
    <s v="Table"/>
    <s v="Table 28"/>
    <n v="8"/>
    <n v="22023.14"/>
    <n v="0"/>
    <x v="1"/>
    <x v="1"/>
  </r>
  <r>
    <s v="ORD3478"/>
    <x v="481"/>
    <x v="470"/>
    <s v="Karan"/>
    <x v="4"/>
    <s v="delhi "/>
    <x v="0"/>
    <s v="Chair"/>
    <s v="Chair 27"/>
    <n v="5"/>
    <n v="15085.35"/>
    <n v="0"/>
    <x v="2"/>
    <x v="3"/>
  </r>
  <r>
    <s v="ORD3479"/>
    <x v="222"/>
    <x v="645"/>
    <s v="Neha"/>
    <x v="2"/>
    <s v="Kolkata"/>
    <x v="0"/>
    <s v="Table"/>
    <s v="Table 7"/>
    <n v="1"/>
    <n v="420.65"/>
    <n v="5"/>
    <x v="3"/>
    <x v="0"/>
  </r>
  <r>
    <s v="ORD3480"/>
    <x v="101"/>
    <x v="634"/>
    <s v="Sneha"/>
    <x v="0"/>
    <s v="Jaipur"/>
    <x v="0"/>
    <s v="Table"/>
    <s v="Table 18"/>
    <n v="9"/>
    <n v="22641.13"/>
    <n v="5"/>
    <x v="0"/>
    <x v="2"/>
  </r>
  <r>
    <s v="ORD3481"/>
    <x v="373"/>
    <x v="295"/>
    <s v="Arjun"/>
    <x v="1"/>
    <s v="Jaipur"/>
    <x v="3"/>
    <s v="Paper"/>
    <s v="Paper 7"/>
    <n v="6"/>
    <n v="4237.3100000000004"/>
    <n v="20"/>
    <x v="4"/>
    <x v="3"/>
  </r>
  <r>
    <s v="ORD3483"/>
    <x v="640"/>
    <x v="644"/>
    <s v="Karan"/>
    <x v="2"/>
    <s v="Bengaluru"/>
    <x v="1"/>
    <s v="Laptop"/>
    <s v="Laptop 18"/>
    <n v="6"/>
    <n v="2890.65"/>
    <s v="10 %"/>
    <x v="2"/>
    <x v="1"/>
  </r>
  <r>
    <s v="ORD3484"/>
    <x v="624"/>
    <x v="765"/>
    <s v="Arjun"/>
    <x v="2"/>
    <s v="delhi "/>
    <x v="0"/>
    <s v="Chair"/>
    <s v="Chair 10"/>
    <n v="4"/>
    <n v="19103.03"/>
    <n v="20"/>
    <x v="3"/>
    <x v="2"/>
  </r>
  <r>
    <s v="ORD3485"/>
    <x v="659"/>
    <x v="235"/>
    <s v="Rahul"/>
    <x v="1"/>
    <s v="Mumbai"/>
    <x v="0"/>
    <s v="Table"/>
    <s v="Table 10"/>
    <n v="9"/>
    <n v="28235.49"/>
    <n v="15"/>
    <x v="3"/>
    <x v="2"/>
  </r>
  <r>
    <s v="ORD3486"/>
    <x v="397"/>
    <x v="331"/>
    <s v="Rahul"/>
    <x v="0"/>
    <s v="delhi "/>
    <x v="0"/>
    <s v="Chair"/>
    <s v="Chair 14"/>
    <n v="4"/>
    <n v="11820.72"/>
    <n v="10"/>
    <x v="3"/>
    <x v="2"/>
  </r>
  <r>
    <s v="ORD3487"/>
    <x v="513"/>
    <x v="232"/>
    <s v="Riya "/>
    <x v="0"/>
    <s v="Mumbai"/>
    <x v="0"/>
    <s v="Table"/>
    <s v="Table 19"/>
    <n v="7"/>
    <n v="3934.83"/>
    <n v="20"/>
    <x v="1"/>
    <x v="3"/>
  </r>
  <r>
    <s v="ORD3489"/>
    <x v="33"/>
    <x v="707"/>
    <s v="Vikas"/>
    <x v="0"/>
    <s v="delhi "/>
    <x v="1"/>
    <s v="Phone"/>
    <s v="Phone 16"/>
    <n v="6"/>
    <n v="3787.24"/>
    <n v="5"/>
    <x v="4"/>
    <x v="2"/>
  </r>
  <r>
    <s v="ORD3490"/>
    <x v="424"/>
    <x v="394"/>
    <s v="Karan"/>
    <x v="0"/>
    <s v="Delhi"/>
    <x v="0"/>
    <s v="Table"/>
    <s v="Table 19"/>
    <n v="10"/>
    <n v="39890.730000000003"/>
    <n v="20"/>
    <x v="3"/>
    <x v="0"/>
  </r>
  <r>
    <s v="ORD3491"/>
    <x v="502"/>
    <x v="195"/>
    <s v="Neha"/>
    <x v="2"/>
    <s v="Mumbai"/>
    <x v="2"/>
    <s v="Phone"/>
    <s v="Phone 3"/>
    <n v="3"/>
    <n v="9552.85"/>
    <n v="5"/>
    <x v="2"/>
    <x v="1"/>
  </r>
  <r>
    <s v="ORD3492"/>
    <x v="614"/>
    <x v="300"/>
    <s v="Arjun "/>
    <x v="3"/>
    <s v="Jaipur"/>
    <x v="1"/>
    <s v="Laptop"/>
    <s v="Laptop 8"/>
    <n v="4"/>
    <n v="7075.68"/>
    <n v="15"/>
    <x v="0"/>
    <x v="0"/>
  </r>
  <r>
    <s v="ORD3493"/>
    <x v="589"/>
    <x v="203"/>
    <s v="Neha"/>
    <x v="0"/>
    <s v="Pune"/>
    <x v="3"/>
    <s v="Paper"/>
    <s v="Paper 11"/>
    <n v="9"/>
    <n v="33124.230000000003"/>
    <n v="20"/>
    <x v="1"/>
    <x v="2"/>
  </r>
  <r>
    <s v="ORD3495"/>
    <x v="367"/>
    <x v="588"/>
    <s v="Arjun"/>
    <x v="0"/>
    <s v="Delhi"/>
    <x v="3"/>
    <s v="Paper"/>
    <s v="Paper 17"/>
    <n v="-3"/>
    <n v="14535.21"/>
    <n v="20"/>
    <x v="5"/>
    <x v="0"/>
  </r>
  <r>
    <s v="ORD3496"/>
    <x v="319"/>
    <x v="282"/>
    <s v="Anjali"/>
    <x v="4"/>
    <s v="Delhi"/>
    <x v="1"/>
    <s v="Laptop"/>
    <s v="Laptop 30"/>
    <n v="5"/>
    <n v="766.99"/>
    <n v="20"/>
    <x v="2"/>
    <x v="3"/>
  </r>
  <r>
    <s v="ORD3497"/>
    <x v="242"/>
    <x v="315"/>
    <s v="Anjali"/>
    <x v="2"/>
    <s v="Mumbai"/>
    <x v="0"/>
    <s v="Chair"/>
    <s v="Chair 15"/>
    <n v="6"/>
    <n v="14577.77"/>
    <s v="10 %"/>
    <x v="2"/>
    <x v="1"/>
  </r>
  <r>
    <s v="ORD3498"/>
    <x v="350"/>
    <x v="321"/>
    <s v="Karan"/>
    <x v="3"/>
    <s v="Mumbai"/>
    <x v="1"/>
    <s v="Laptop"/>
    <s v="Laptop 30"/>
    <n v="2"/>
    <n v="6793.76"/>
    <n v="0"/>
    <x v="0"/>
    <x v="0"/>
  </r>
  <r>
    <s v="ORD3499"/>
    <x v="4"/>
    <x v="552"/>
    <s v="Priya"/>
    <x v="3"/>
    <s v="Kolkata"/>
    <x v="3"/>
    <s v="Paper"/>
    <s v="Paper 1"/>
    <n v="6"/>
    <n v="18943.419999999998"/>
    <n v="15"/>
    <x v="0"/>
    <x v="1"/>
  </r>
  <r>
    <s v="ORD3500"/>
    <x v="429"/>
    <x v="630"/>
    <s v="Rahul"/>
    <x v="3"/>
    <s v="Delhi"/>
    <x v="3"/>
    <s v="Paper"/>
    <s v="Paper 24"/>
    <n v="8"/>
    <n v="24512.47"/>
    <n v="5"/>
    <x v="0"/>
    <x v="2"/>
  </r>
  <r>
    <s v="ORD3501"/>
    <x v="480"/>
    <x v="593"/>
    <s v="Karan"/>
    <x v="2"/>
    <s v="delhi "/>
    <x v="1"/>
    <s v="Laptop"/>
    <s v="Laptop 12"/>
    <n v="1"/>
    <n v="784.06"/>
    <n v="15"/>
    <x v="5"/>
    <x v="0"/>
  </r>
  <r>
    <s v="ORD3502"/>
    <x v="675"/>
    <x v="685"/>
    <s v="Rahul"/>
    <x v="1"/>
    <s v="Mumbai"/>
    <x v="0"/>
    <s v="Chair"/>
    <s v="Chair 26"/>
    <n v="6"/>
    <n v="5209.3500000000004"/>
    <n v="0"/>
    <x v="1"/>
    <x v="3"/>
  </r>
  <r>
    <s v="ORD3507"/>
    <x v="5"/>
    <x v="70"/>
    <s v="Anjali"/>
    <x v="0"/>
    <s v="Jaipur"/>
    <x v="0"/>
    <s v="Chair"/>
    <s v="Chair 24"/>
    <n v="2"/>
    <n v="2688.77"/>
    <n v="5"/>
    <x v="0"/>
    <x v="3"/>
  </r>
  <r>
    <s v="ORD3508"/>
    <x v="120"/>
    <x v="577"/>
    <s v="Riya"/>
    <x v="0"/>
    <s v="Pune"/>
    <x v="1"/>
    <s v="Phone"/>
    <s v="Phone 10"/>
    <n v="8"/>
    <n v="4761.51"/>
    <n v="10"/>
    <x v="2"/>
    <x v="3"/>
  </r>
  <r>
    <s v="ORD3509"/>
    <x v="657"/>
    <x v="405"/>
    <s v="Amit"/>
    <x v="1"/>
    <s v="Pune"/>
    <x v="0"/>
    <s v="Table"/>
    <s v="Table 30"/>
    <n v="5"/>
    <n v="21547.54"/>
    <n v="0"/>
    <x v="2"/>
    <x v="0"/>
  </r>
  <r>
    <s v="ORD3510"/>
    <x v="517"/>
    <x v="553"/>
    <s v="Riya"/>
    <x v="4"/>
    <s v="Mumbai"/>
    <x v="1"/>
    <s v="Laptop"/>
    <s v="Laptop 12"/>
    <n v="5"/>
    <n v="10357.219999999999"/>
    <n v="0"/>
    <x v="0"/>
    <x v="0"/>
  </r>
  <r>
    <s v="ORD3511"/>
    <x v="676"/>
    <x v="505"/>
    <s v="Vikas"/>
    <x v="0"/>
    <s v="Kolkata"/>
    <x v="1"/>
    <s v="Phone"/>
    <s v="Phone 19"/>
    <n v="7"/>
    <n v="34652.120000000003"/>
    <n v="0"/>
    <x v="5"/>
    <x v="0"/>
  </r>
  <r>
    <s v="ORD3513"/>
    <x v="401"/>
    <x v="801"/>
    <s v="Arjun"/>
    <x v="4"/>
    <s v="Jaipur"/>
    <x v="0"/>
    <s v="Chair"/>
    <s v="Chair 4"/>
    <n v="6"/>
    <n v="7542.33"/>
    <n v="10"/>
    <x v="5"/>
    <x v="0"/>
  </r>
  <r>
    <s v="ORD3514"/>
    <x v="490"/>
    <x v="292"/>
    <s v="Arjun"/>
    <x v="1"/>
    <s v="Delhi"/>
    <x v="0"/>
    <s v="Table"/>
    <s v="Table 15"/>
    <n v="7"/>
    <n v="22650.59"/>
    <n v="20"/>
    <x v="1"/>
    <x v="3"/>
  </r>
  <r>
    <s v="ORD3515"/>
    <x v="243"/>
    <x v="531"/>
    <s v="Karan"/>
    <x v="2"/>
    <s v="Delhi"/>
    <x v="0"/>
    <s v="Chair"/>
    <s v="Chair 7"/>
    <n v="2"/>
    <n v="6333.33"/>
    <s v="10 %"/>
    <x v="5"/>
    <x v="2"/>
  </r>
  <r>
    <s v="ORD3516"/>
    <x v="409"/>
    <x v="199"/>
    <s v="Anjali"/>
    <x v="0"/>
    <s v="Bengaluru"/>
    <x v="0"/>
    <s v="Chair"/>
    <s v="Chair 10"/>
    <n v="3"/>
    <n v="10615.2"/>
    <n v="0"/>
    <x v="2"/>
    <x v="0"/>
  </r>
  <r>
    <s v="ORD3517"/>
    <x v="180"/>
    <x v="610"/>
    <s v="Anjali"/>
    <x v="2"/>
    <s v="Kolkata"/>
    <x v="1"/>
    <s v="Laptop"/>
    <s v="Laptop 28"/>
    <n v="2"/>
    <n v="1682.72"/>
    <n v="15"/>
    <x v="4"/>
    <x v="1"/>
  </r>
  <r>
    <s v="ORD3518"/>
    <x v="276"/>
    <x v="251"/>
    <s v="Sneha"/>
    <x v="0"/>
    <s v="Mumbai"/>
    <x v="1"/>
    <s v="Phone"/>
    <s v="Phone 30"/>
    <n v="3"/>
    <n v="2415.79"/>
    <n v="15"/>
    <x v="1"/>
    <x v="3"/>
  </r>
  <r>
    <s v="ORD3519"/>
    <x v="346"/>
    <x v="166"/>
    <s v="Vikas"/>
    <x v="2"/>
    <s v="Bengaluru"/>
    <x v="1"/>
    <s v="Phone"/>
    <s v="Phone 23"/>
    <n v="2"/>
    <n v="948.16"/>
    <n v="15"/>
    <x v="2"/>
    <x v="0"/>
  </r>
  <r>
    <s v="ORD3520"/>
    <x v="381"/>
    <x v="346"/>
    <s v="Neha"/>
    <x v="4"/>
    <s v="Mumbai"/>
    <x v="0"/>
    <s v="Table"/>
    <s v="Table 12"/>
    <n v="5"/>
    <n v="15041.34"/>
    <n v="0"/>
    <x v="4"/>
    <x v="3"/>
  </r>
  <r>
    <s v="ORD3521"/>
    <x v="151"/>
    <x v="39"/>
    <s v="Karan"/>
    <x v="1"/>
    <s v="Kolkata"/>
    <x v="3"/>
    <s v="Paper"/>
    <s v="Paper 21"/>
    <n v="2"/>
    <n v="2033.76"/>
    <n v="5"/>
    <x v="3"/>
    <x v="0"/>
  </r>
  <r>
    <s v="ORD3522"/>
    <x v="155"/>
    <x v="127"/>
    <s v="Amit"/>
    <x v="0"/>
    <s v="Pune"/>
    <x v="3"/>
    <s v="Paper"/>
    <s v="Paper 23"/>
    <n v="8"/>
    <n v="37448.97"/>
    <n v="5"/>
    <x v="4"/>
    <x v="0"/>
  </r>
  <r>
    <s v="ORD3523"/>
    <x v="310"/>
    <x v="30"/>
    <s v="Arjun"/>
    <x v="4"/>
    <s v="delhi "/>
    <x v="0"/>
    <s v="Table"/>
    <s v="Table 5"/>
    <n v="10"/>
    <n v="42263.93"/>
    <n v="20"/>
    <x v="0"/>
    <x v="3"/>
  </r>
  <r>
    <s v="ORD3524"/>
    <x v="677"/>
    <x v="27"/>
    <s v="Riya"/>
    <x v="1"/>
    <s v="Jaipur"/>
    <x v="1"/>
    <s v="Phone"/>
    <s v="Phone 20"/>
    <n v="9"/>
    <n v="5054.21"/>
    <n v="10"/>
    <x v="2"/>
    <x v="1"/>
  </r>
  <r>
    <s v="ORD3525"/>
    <x v="79"/>
    <x v="117"/>
    <s v="Priya"/>
    <x v="4"/>
    <s v="Delhi"/>
    <x v="1"/>
    <s v="Laptop"/>
    <s v="Laptop 24"/>
    <n v="10"/>
    <n v="28965.1"/>
    <n v="5"/>
    <x v="3"/>
    <x v="3"/>
  </r>
  <r>
    <s v="ORD3526"/>
    <x v="532"/>
    <x v="144"/>
    <s v="Anjali"/>
    <x v="2"/>
    <s v="Bengaluru"/>
    <x v="0"/>
    <s v="Table"/>
    <s v="Table 24"/>
    <n v="2"/>
    <n v="7290.93"/>
    <n v="5"/>
    <x v="1"/>
    <x v="1"/>
  </r>
  <r>
    <s v="ORD3527"/>
    <x v="340"/>
    <x v="708"/>
    <s v="Karan"/>
    <x v="2"/>
    <s v="Mumbai"/>
    <x v="0"/>
    <s v="Chair"/>
    <s v="Chair 12"/>
    <n v="9"/>
    <n v="44210.84"/>
    <n v="5"/>
    <x v="3"/>
    <x v="3"/>
  </r>
  <r>
    <s v="ORD3528"/>
    <x v="598"/>
    <x v="271"/>
    <s v="Neha"/>
    <x v="4"/>
    <s v="Jaipur"/>
    <x v="0"/>
    <s v="Table"/>
    <s v="Table 21"/>
    <n v="10"/>
    <n v="22641.64"/>
    <s v="10 %"/>
    <x v="4"/>
    <x v="2"/>
  </r>
  <r>
    <s v="ORD3529"/>
    <x v="237"/>
    <x v="327"/>
    <s v="Neha"/>
    <x v="4"/>
    <s v="Kolkata"/>
    <x v="0"/>
    <s v="Chair"/>
    <s v="Chair 23"/>
    <n v="9"/>
    <n v="16150.28"/>
    <s v="10 %"/>
    <x v="3"/>
    <x v="0"/>
  </r>
  <r>
    <s v="ORD3530"/>
    <x v="391"/>
    <x v="785"/>
    <s v="Neha"/>
    <x v="0"/>
    <s v="Bengaluru"/>
    <x v="1"/>
    <s v="Laptop"/>
    <s v="Laptop 17"/>
    <n v="1"/>
    <n v="2677"/>
    <n v="10"/>
    <x v="0"/>
    <x v="1"/>
  </r>
  <r>
    <s v="ORD3531"/>
    <x v="491"/>
    <x v="712"/>
    <s v="Amit"/>
    <x v="0"/>
    <s v="Delhi"/>
    <x v="3"/>
    <s v="Paper"/>
    <s v="Paper 9"/>
    <n v="7"/>
    <n v="19890.21"/>
    <n v="10"/>
    <x v="5"/>
    <x v="3"/>
  </r>
  <r>
    <s v="ORD3532"/>
    <x v="144"/>
    <x v="25"/>
    <s v="Rahul"/>
    <x v="3"/>
    <s v="Mumbai"/>
    <x v="0"/>
    <s v="Table"/>
    <s v="Table 12"/>
    <n v="6"/>
    <n v="12917.32"/>
    <n v="0"/>
    <x v="2"/>
    <x v="2"/>
  </r>
  <r>
    <s v="ORD3533"/>
    <x v="476"/>
    <x v="376"/>
    <s v="Vikas"/>
    <x v="0"/>
    <s v="Bengaluru"/>
    <x v="0"/>
    <s v="Table"/>
    <s v="Table 19"/>
    <n v="2"/>
    <n v="5542.23"/>
    <n v="0"/>
    <x v="2"/>
    <x v="3"/>
  </r>
  <r>
    <s v="ORD3534"/>
    <x v="383"/>
    <x v="303"/>
    <s v="Rahul"/>
    <x v="3"/>
    <s v="Kolkata"/>
    <x v="1"/>
    <s v="Laptop"/>
    <s v="Laptop 20"/>
    <n v="2"/>
    <n v="1525"/>
    <s v="10 %"/>
    <x v="2"/>
    <x v="3"/>
  </r>
  <r>
    <s v="ORD3535"/>
    <x v="2"/>
    <x v="488"/>
    <s v="Neha "/>
    <x v="3"/>
    <s v="Pune"/>
    <x v="3"/>
    <s v="Paper"/>
    <s v="Paper 18"/>
    <n v="6"/>
    <n v="3678.9"/>
    <n v="15"/>
    <x v="1"/>
    <x v="2"/>
  </r>
  <r>
    <s v="ORD3537"/>
    <x v="133"/>
    <x v="240"/>
    <s v="Sneha"/>
    <x v="0"/>
    <s v="Bengaluru"/>
    <x v="0"/>
    <s v="Chair"/>
    <s v="Chair 28"/>
    <n v="3"/>
    <n v="6477.98"/>
    <n v="10"/>
    <x v="1"/>
    <x v="2"/>
  </r>
  <r>
    <s v="ORD3538"/>
    <x v="254"/>
    <x v="818"/>
    <s v="Amit"/>
    <x v="0"/>
    <s v="Bengaluru"/>
    <x v="2"/>
    <s v="Phone"/>
    <s v="Phone 6"/>
    <n v="10"/>
    <n v="24950.67"/>
    <n v="0"/>
    <x v="5"/>
    <x v="3"/>
  </r>
  <r>
    <s v="ORD3539"/>
    <x v="518"/>
    <x v="219"/>
    <s v="Vikas"/>
    <x v="1"/>
    <s v="Pune"/>
    <x v="1"/>
    <s v="Laptop"/>
    <s v="Laptop 15"/>
    <n v="4"/>
    <n v="9249.81"/>
    <n v="5"/>
    <x v="1"/>
    <x v="1"/>
  </r>
  <r>
    <s v="ORD3540"/>
    <x v="525"/>
    <x v="307"/>
    <s v="Priya"/>
    <x v="3"/>
    <s v="Jaipur"/>
    <x v="1"/>
    <s v="Laptop"/>
    <s v="Laptop 17"/>
    <n v="4"/>
    <n v="13235.21"/>
    <s v="10 %"/>
    <x v="4"/>
    <x v="1"/>
  </r>
  <r>
    <s v="ORD3541"/>
    <x v="418"/>
    <x v="811"/>
    <s v="Vikas"/>
    <x v="0"/>
    <s v="Bengaluru"/>
    <x v="1"/>
    <s v="Laptop"/>
    <s v="Laptop 7"/>
    <n v="7"/>
    <n v="6652.34"/>
    <n v="5"/>
    <x v="2"/>
    <x v="2"/>
  </r>
  <r>
    <s v="ORD3542"/>
    <x v="164"/>
    <x v="763"/>
    <s v="Neha"/>
    <x v="0"/>
    <s v="delhi "/>
    <x v="0"/>
    <s v="Table"/>
    <s v="Table 20"/>
    <n v="2"/>
    <n v="322.38"/>
    <n v="15"/>
    <x v="2"/>
    <x v="2"/>
  </r>
  <r>
    <s v="ORD3543"/>
    <x v="632"/>
    <x v="667"/>
    <s v="Rahul "/>
    <x v="4"/>
    <s v="Mumbai"/>
    <x v="1"/>
    <s v="Phone"/>
    <s v="Phone 28"/>
    <n v="9"/>
    <n v="38978.9"/>
    <s v="10 %"/>
    <x v="0"/>
    <x v="3"/>
  </r>
  <r>
    <s v="ORD3545"/>
    <x v="339"/>
    <x v="357"/>
    <s v="Sneha"/>
    <x v="0"/>
    <s v="Delhi"/>
    <x v="1"/>
    <s v="Phone"/>
    <s v="Phone 26"/>
    <n v="10"/>
    <n v="13619.53"/>
    <n v="0"/>
    <x v="4"/>
    <x v="3"/>
  </r>
  <r>
    <s v="ORD3546"/>
    <x v="678"/>
    <x v="479"/>
    <s v="Neha"/>
    <x v="0"/>
    <s v="Pune"/>
    <x v="0"/>
    <s v="Chair"/>
    <s v="Chair 10"/>
    <n v="4"/>
    <n v="19304.73"/>
    <n v="5"/>
    <x v="0"/>
    <x v="3"/>
  </r>
  <r>
    <s v="ORD3547"/>
    <x v="342"/>
    <x v="779"/>
    <s v="Sneha"/>
    <x v="2"/>
    <s v="Kolkata"/>
    <x v="3"/>
    <s v="Paper"/>
    <s v="Paper 1"/>
    <n v="4"/>
    <n v="15361.19"/>
    <n v="5"/>
    <x v="1"/>
    <x v="3"/>
  </r>
  <r>
    <s v="ORD3548"/>
    <x v="540"/>
    <x v="163"/>
    <s v="Arjun"/>
    <x v="0"/>
    <s v="Mumbai"/>
    <x v="1"/>
    <s v="Laptop"/>
    <s v="Laptop 1"/>
    <n v="10"/>
    <n v="6921.28"/>
    <n v="5"/>
    <x v="2"/>
    <x v="3"/>
  </r>
  <r>
    <s v="ORD3549"/>
    <x v="357"/>
    <x v="819"/>
    <s v="Anjali "/>
    <x v="3"/>
    <s v="Bengaluru"/>
    <x v="3"/>
    <s v="Paper"/>
    <s v="Paper 27"/>
    <n v="2"/>
    <n v="665.2"/>
    <n v="20"/>
    <x v="4"/>
    <x v="1"/>
  </r>
  <r>
    <s v="ORD3550"/>
    <x v="679"/>
    <x v="816"/>
    <s v="Sneha"/>
    <x v="0"/>
    <s v="Bengaluru"/>
    <x v="1"/>
    <s v="Laptop"/>
    <s v="Laptop 3"/>
    <n v="5"/>
    <n v="3529"/>
    <n v="5"/>
    <x v="4"/>
    <x v="1"/>
  </r>
  <r>
    <s v="ORD3551"/>
    <x v="26"/>
    <x v="780"/>
    <s v="Vikas"/>
    <x v="3"/>
    <s v="Bengaluru"/>
    <x v="1"/>
    <s v="Laptop"/>
    <s v="Laptop 21"/>
    <n v="4"/>
    <n v="11145.03"/>
    <n v="15"/>
    <x v="5"/>
    <x v="2"/>
  </r>
  <r>
    <s v="ORD3552"/>
    <x v="105"/>
    <x v="367"/>
    <s v="Anjali"/>
    <x v="0"/>
    <s v="Mumbai"/>
    <x v="1"/>
    <s v="Laptop"/>
    <s v="Laptop 16"/>
    <n v="-10"/>
    <n v="49508.480000000003"/>
    <n v="10"/>
    <x v="3"/>
    <x v="0"/>
  </r>
  <r>
    <s v="ORD3553"/>
    <x v="105"/>
    <x v="814"/>
    <s v="Neha"/>
    <x v="0"/>
    <s v="delhi "/>
    <x v="0"/>
    <s v="Table"/>
    <s v="Table 14"/>
    <n v="5"/>
    <n v="18659.28"/>
    <n v="5"/>
    <x v="5"/>
    <x v="2"/>
  </r>
  <r>
    <s v="ORD3554"/>
    <x v="647"/>
    <x v="524"/>
    <s v="Vikas"/>
    <x v="2"/>
    <s v="Kolkata"/>
    <x v="1"/>
    <s v="Laptop"/>
    <s v="Laptop 11"/>
    <n v="2"/>
    <n v="2286.8200000000002"/>
    <n v="5"/>
    <x v="4"/>
    <x v="0"/>
  </r>
  <r>
    <s v="ORD3555"/>
    <x v="628"/>
    <x v="780"/>
    <s v="Priya"/>
    <x v="0"/>
    <s v="delhi "/>
    <x v="3"/>
    <s v="Paper"/>
    <s v="Paper 6"/>
    <n v="7"/>
    <n v="26727.13"/>
    <n v="15"/>
    <x v="0"/>
    <x v="0"/>
  </r>
  <r>
    <s v="ORD3556"/>
    <x v="240"/>
    <x v="41"/>
    <s v="Priya"/>
    <x v="2"/>
    <s v="Bengaluru"/>
    <x v="1"/>
    <s v="Phone"/>
    <s v="Phone 6"/>
    <n v="5"/>
    <n v="11987.04"/>
    <n v="15"/>
    <x v="2"/>
    <x v="0"/>
  </r>
  <r>
    <s v="ORD3557"/>
    <x v="125"/>
    <x v="319"/>
    <s v="Anjali"/>
    <x v="3"/>
    <s v="Bengaluru"/>
    <x v="0"/>
    <s v="Chair"/>
    <s v="Chair 23"/>
    <n v="3"/>
    <n v="14675.26"/>
    <n v="10"/>
    <x v="4"/>
    <x v="0"/>
  </r>
  <r>
    <s v="ORD3558"/>
    <x v="532"/>
    <x v="114"/>
    <s v="Sneha"/>
    <x v="0"/>
    <s v="Mumbai"/>
    <x v="2"/>
    <s v="Phone"/>
    <s v="Phone 8"/>
    <n v="1"/>
    <n v="4125.18"/>
    <s v="10 %"/>
    <x v="5"/>
    <x v="0"/>
  </r>
  <r>
    <s v="ORD3559"/>
    <x v="581"/>
    <x v="67"/>
    <s v="Vikas"/>
    <x v="3"/>
    <s v="delhi "/>
    <x v="2"/>
    <s v="Phone"/>
    <s v="Phone 30"/>
    <n v="8"/>
    <n v="20546.41"/>
    <n v="20"/>
    <x v="2"/>
    <x v="3"/>
  </r>
  <r>
    <s v="ORD3561"/>
    <x v="395"/>
    <x v="449"/>
    <s v="Riya"/>
    <x v="3"/>
    <s v="Delhi"/>
    <x v="0"/>
    <s v="Table"/>
    <s v="Table 4"/>
    <n v="1"/>
    <n v="2229.4"/>
    <n v="15"/>
    <x v="2"/>
    <x v="1"/>
  </r>
  <r>
    <s v="ORD3562"/>
    <x v="247"/>
    <x v="820"/>
    <s v="Karan"/>
    <x v="2"/>
    <s v="Mumbai"/>
    <x v="3"/>
    <s v="Paper"/>
    <s v="Paper 29"/>
    <n v="9"/>
    <n v="39038.71"/>
    <n v="10"/>
    <x v="0"/>
    <x v="3"/>
  </r>
  <r>
    <s v="ORD3564"/>
    <x v="350"/>
    <x v="174"/>
    <s v="Arjun"/>
    <x v="0"/>
    <s v="Kolkata"/>
    <x v="0"/>
    <s v="Table"/>
    <s v="Table 24"/>
    <n v="1"/>
    <n v="387.42"/>
    <n v="5"/>
    <x v="4"/>
    <x v="1"/>
  </r>
  <r>
    <s v="ORD3565"/>
    <x v="223"/>
    <x v="723"/>
    <s v="Riya "/>
    <x v="2"/>
    <s v="Jaipur"/>
    <x v="2"/>
    <s v="Phone"/>
    <s v="Phone 24"/>
    <n v="9"/>
    <n v="44246.25"/>
    <s v="10 %"/>
    <x v="4"/>
    <x v="3"/>
  </r>
  <r>
    <s v="ORD3566"/>
    <x v="462"/>
    <x v="769"/>
    <s v="Riya"/>
    <x v="0"/>
    <s v="Pune"/>
    <x v="3"/>
    <s v="Paper"/>
    <s v="Paper 11"/>
    <n v="1"/>
    <n v="4001.76"/>
    <n v="10"/>
    <x v="0"/>
    <x v="3"/>
  </r>
  <r>
    <s v="ORD3567"/>
    <x v="680"/>
    <x v="622"/>
    <s v="Rahul"/>
    <x v="4"/>
    <s v="Kolkata"/>
    <x v="0"/>
    <s v="Table"/>
    <s v="Table 12"/>
    <n v="1"/>
    <n v="4629.3"/>
    <s v="10 %"/>
    <x v="4"/>
    <x v="3"/>
  </r>
  <r>
    <s v="ORD3568"/>
    <x v="456"/>
    <x v="37"/>
    <s v="Sneha"/>
    <x v="2"/>
    <s v="Bengaluru"/>
    <x v="0"/>
    <s v="Chair"/>
    <s v="Chair 7"/>
    <n v="8"/>
    <n v="27493.93"/>
    <n v="10"/>
    <x v="1"/>
    <x v="3"/>
  </r>
  <r>
    <s v="ORD3569"/>
    <x v="151"/>
    <x v="200"/>
    <s v="Amit"/>
    <x v="3"/>
    <s v="Jaipur"/>
    <x v="2"/>
    <s v="Phone"/>
    <s v="Phone 22"/>
    <n v="9"/>
    <n v="37184.949999999997"/>
    <s v="10 %"/>
    <x v="3"/>
    <x v="3"/>
  </r>
  <r>
    <s v="ORD3572"/>
    <x v="101"/>
    <x v="171"/>
    <s v="Anjali"/>
    <x v="0"/>
    <s v="Bengaluru"/>
    <x v="1"/>
    <s v="Phone"/>
    <s v="Phone 12"/>
    <n v="9"/>
    <n v="19848.5"/>
    <n v="20"/>
    <x v="3"/>
    <x v="3"/>
  </r>
  <r>
    <s v="ORD3573"/>
    <x v="16"/>
    <x v="365"/>
    <s v="Amit"/>
    <x v="0"/>
    <s v="Bengaluru"/>
    <x v="3"/>
    <s v="Paper"/>
    <s v="Paper 19"/>
    <n v="5"/>
    <n v="8980.4699999999993"/>
    <n v="5"/>
    <x v="0"/>
    <x v="3"/>
  </r>
  <r>
    <s v="ORD3575"/>
    <x v="566"/>
    <x v="583"/>
    <s v="Priya"/>
    <x v="2"/>
    <s v="delhi "/>
    <x v="0"/>
    <s v="Table"/>
    <s v="Table 1"/>
    <n v="1"/>
    <n v="3619.65"/>
    <n v="0"/>
    <x v="2"/>
    <x v="0"/>
  </r>
  <r>
    <s v="ORD3576"/>
    <x v="131"/>
    <x v="732"/>
    <s v="Anjali"/>
    <x v="2"/>
    <s v="Jaipur"/>
    <x v="0"/>
    <s v="Chair"/>
    <s v="Chair 3"/>
    <n v="5"/>
    <n v="1004.49"/>
    <s v="10 %"/>
    <x v="1"/>
    <x v="3"/>
  </r>
  <r>
    <s v="ORD3577"/>
    <x v="11"/>
    <x v="752"/>
    <s v="Arjun"/>
    <x v="2"/>
    <s v="Delhi"/>
    <x v="1"/>
    <s v="Phone"/>
    <s v="Phone 11"/>
    <n v="1"/>
    <n v="2314.02"/>
    <n v="20"/>
    <x v="2"/>
    <x v="3"/>
  </r>
  <r>
    <s v="ORD3578"/>
    <x v="132"/>
    <x v="671"/>
    <s v="Vikas"/>
    <x v="0"/>
    <s v="Jaipur"/>
    <x v="0"/>
    <s v="Chair"/>
    <s v="Chair 9"/>
    <n v="8"/>
    <n v="16377.85"/>
    <s v="10 %"/>
    <x v="4"/>
    <x v="2"/>
  </r>
  <r>
    <s v="ORD3579"/>
    <x v="30"/>
    <x v="255"/>
    <s v="Priya"/>
    <x v="1"/>
    <s v="Pune"/>
    <x v="2"/>
    <s v="Phone"/>
    <s v="Phone 16"/>
    <n v="8"/>
    <n v="18646.66"/>
    <n v="5"/>
    <x v="3"/>
    <x v="0"/>
  </r>
  <r>
    <s v="ORD3581"/>
    <x v="47"/>
    <x v="757"/>
    <s v="Anjali"/>
    <x v="2"/>
    <s v="delhi "/>
    <x v="1"/>
    <s v="Laptop"/>
    <s v="Laptop 17"/>
    <n v="1"/>
    <n v="4324.66"/>
    <s v="10 %"/>
    <x v="3"/>
    <x v="0"/>
  </r>
  <r>
    <s v="ORD3582"/>
    <x v="315"/>
    <x v="388"/>
    <s v="Vikas"/>
    <x v="4"/>
    <s v="Kolkata"/>
    <x v="0"/>
    <s v="Chair"/>
    <s v="Chair 4"/>
    <n v="5"/>
    <n v="2140.62"/>
    <n v="20"/>
    <x v="2"/>
    <x v="0"/>
  </r>
  <r>
    <s v="ORD3583"/>
    <x v="198"/>
    <x v="60"/>
    <s v="Anjali"/>
    <x v="3"/>
    <s v="Kolkata"/>
    <x v="2"/>
    <s v="Phone"/>
    <s v="Phone 14"/>
    <n v="9"/>
    <n v="17485.13"/>
    <n v="0"/>
    <x v="0"/>
    <x v="1"/>
  </r>
  <r>
    <s v="ORD3584"/>
    <x v="681"/>
    <x v="821"/>
    <s v="Karan"/>
    <x v="1"/>
    <s v="Jaipur"/>
    <x v="0"/>
    <s v="Table"/>
    <s v="Table 18"/>
    <n v="9"/>
    <n v="25607.07"/>
    <n v="5"/>
    <x v="1"/>
    <x v="2"/>
  </r>
  <r>
    <s v="ORD3585"/>
    <x v="258"/>
    <x v="740"/>
    <s v="Neha"/>
    <x v="0"/>
    <s v="Mumbai"/>
    <x v="1"/>
    <s v="Laptop"/>
    <s v="Laptop 1"/>
    <n v="9"/>
    <n v="13602.93"/>
    <n v="15"/>
    <x v="0"/>
    <x v="0"/>
  </r>
  <r>
    <s v="ORD3590"/>
    <x v="439"/>
    <x v="546"/>
    <s v="Karan"/>
    <x v="0"/>
    <s v="Pune"/>
    <x v="3"/>
    <s v="Paper"/>
    <s v="Paper 22"/>
    <n v="6"/>
    <n v="4018.76"/>
    <n v="15"/>
    <x v="1"/>
    <x v="1"/>
  </r>
  <r>
    <s v="ORD3591"/>
    <x v="353"/>
    <x v="822"/>
    <s v="Arjun"/>
    <x v="2"/>
    <s v="delhi "/>
    <x v="2"/>
    <s v="Phone"/>
    <s v="Phone 27"/>
    <n v="2"/>
    <n v="3218.72"/>
    <n v="15"/>
    <x v="1"/>
    <x v="2"/>
  </r>
  <r>
    <s v="ORD3592"/>
    <x v="217"/>
    <x v="303"/>
    <s v="Anjali"/>
    <x v="4"/>
    <s v="Kolkata"/>
    <x v="0"/>
    <s v="Chair"/>
    <s v="Chair 13"/>
    <n v="6"/>
    <n v="28530.11"/>
    <s v="10 %"/>
    <x v="3"/>
    <x v="0"/>
  </r>
  <r>
    <s v="ORD3593"/>
    <x v="545"/>
    <x v="318"/>
    <s v="Sneha"/>
    <x v="1"/>
    <s v="Mumbai"/>
    <x v="2"/>
    <s v="Phone"/>
    <s v="Phone 7"/>
    <n v="1"/>
    <n v="1361.84"/>
    <n v="0"/>
    <x v="3"/>
    <x v="3"/>
  </r>
  <r>
    <s v="ORD3594"/>
    <x v="668"/>
    <x v="472"/>
    <s v="Neha"/>
    <x v="0"/>
    <s v="Delhi"/>
    <x v="3"/>
    <s v="Paper"/>
    <s v="Paper 21"/>
    <n v="9"/>
    <n v="14525.76"/>
    <n v="10"/>
    <x v="0"/>
    <x v="0"/>
  </r>
  <r>
    <s v="ORD3595"/>
    <x v="436"/>
    <x v="596"/>
    <s v="Neha"/>
    <x v="3"/>
    <s v="Kolkata"/>
    <x v="1"/>
    <s v="Laptop"/>
    <s v="Laptop 16"/>
    <n v="2"/>
    <n v="2535.94"/>
    <n v="10"/>
    <x v="3"/>
    <x v="0"/>
  </r>
  <r>
    <s v="ORD3597"/>
    <x v="245"/>
    <x v="61"/>
    <s v="Sneha"/>
    <x v="0"/>
    <s v="delhi "/>
    <x v="1"/>
    <s v="Phone"/>
    <s v="Phone 2"/>
    <n v="-7"/>
    <n v="31285.77"/>
    <n v="20"/>
    <x v="1"/>
    <x v="0"/>
  </r>
  <r>
    <s v="ORD3598"/>
    <x v="682"/>
    <x v="779"/>
    <s v="Amit"/>
    <x v="1"/>
    <s v="Pune"/>
    <x v="2"/>
    <s v="Phone"/>
    <s v="Phone 2"/>
    <n v="10"/>
    <n v="44721.14"/>
    <n v="5"/>
    <x v="0"/>
    <x v="1"/>
  </r>
  <r>
    <s v="ORD3600"/>
    <x v="640"/>
    <x v="100"/>
    <s v="Karan"/>
    <x v="3"/>
    <s v="Pune"/>
    <x v="0"/>
    <s v="Chair"/>
    <s v="Chair 26"/>
    <n v="4"/>
    <n v="14698.64"/>
    <n v="10"/>
    <x v="5"/>
    <x v="2"/>
  </r>
  <r>
    <s v="ORD3601"/>
    <x v="215"/>
    <x v="311"/>
    <s v="Anjali"/>
    <x v="2"/>
    <s v="Bengaluru"/>
    <x v="2"/>
    <s v="Phone"/>
    <s v="Phone 29"/>
    <n v="6"/>
    <n v="23801.7"/>
    <n v="5"/>
    <x v="4"/>
    <x v="1"/>
  </r>
  <r>
    <s v="ORD3603"/>
    <x v="572"/>
    <x v="64"/>
    <s v="Vikas "/>
    <x v="0"/>
    <s v="delhi "/>
    <x v="2"/>
    <s v="Phone"/>
    <s v="Phone 23"/>
    <n v="8"/>
    <n v="16144.46"/>
    <s v="10 %"/>
    <x v="1"/>
    <x v="3"/>
  </r>
  <r>
    <s v="ORD3604"/>
    <x v="259"/>
    <x v="528"/>
    <s v="Vikas"/>
    <x v="2"/>
    <s v="Jaipur"/>
    <x v="1"/>
    <s v="Phone"/>
    <s v="Phone 3"/>
    <n v="5"/>
    <n v="19149.080000000002"/>
    <n v="20"/>
    <x v="3"/>
    <x v="1"/>
  </r>
  <r>
    <s v="ORD3605"/>
    <x v="258"/>
    <x v="81"/>
    <s v="Sneha"/>
    <x v="3"/>
    <s v="Delhi"/>
    <x v="0"/>
    <s v="Table"/>
    <s v="Table 23"/>
    <n v="6"/>
    <n v="26537.49"/>
    <s v="10 %"/>
    <x v="4"/>
    <x v="2"/>
  </r>
  <r>
    <s v="ORD3606"/>
    <x v="683"/>
    <x v="69"/>
    <s v="Sneha"/>
    <x v="2"/>
    <s v="Mumbai"/>
    <x v="0"/>
    <s v="Chair"/>
    <s v="Chair 2"/>
    <n v="9"/>
    <n v="2170.39"/>
    <n v="5"/>
    <x v="5"/>
    <x v="0"/>
  </r>
  <r>
    <s v="ORD3607"/>
    <x v="416"/>
    <x v="823"/>
    <s v="Vikas"/>
    <x v="4"/>
    <s v="Pune"/>
    <x v="0"/>
    <s v="Table"/>
    <s v="Table 30"/>
    <n v="10"/>
    <n v="37057.46"/>
    <n v="15"/>
    <x v="4"/>
    <x v="0"/>
  </r>
  <r>
    <s v="ORD3608"/>
    <x v="46"/>
    <x v="824"/>
    <s v="Karan"/>
    <x v="0"/>
    <s v="Pune"/>
    <x v="0"/>
    <s v="Chair"/>
    <s v="Chair 28"/>
    <n v="6"/>
    <n v="3733.56"/>
    <s v="10 %"/>
    <x v="5"/>
    <x v="1"/>
  </r>
  <r>
    <s v="ORD3609"/>
    <x v="235"/>
    <x v="567"/>
    <s v="Karan"/>
    <x v="4"/>
    <s v="Delhi"/>
    <x v="0"/>
    <s v="Chair"/>
    <s v="Chair 6"/>
    <n v="4"/>
    <n v="18989.68"/>
    <n v="15"/>
    <x v="2"/>
    <x v="1"/>
  </r>
  <r>
    <s v="ORD3610"/>
    <x v="9"/>
    <x v="276"/>
    <s v="Rahul"/>
    <x v="4"/>
    <s v="Bengaluru"/>
    <x v="2"/>
    <s v="Phone"/>
    <s v="Phone 10"/>
    <n v="3"/>
    <n v="6895.07"/>
    <s v="10 %"/>
    <x v="1"/>
    <x v="0"/>
  </r>
  <r>
    <s v="ORD3611"/>
    <x v="684"/>
    <x v="825"/>
    <s v="Anjali"/>
    <x v="2"/>
    <s v="Kolkata"/>
    <x v="2"/>
    <s v="Phone"/>
    <s v="Phone 9"/>
    <n v="5"/>
    <n v="12438.83"/>
    <s v="10 %"/>
    <x v="0"/>
    <x v="0"/>
  </r>
  <r>
    <s v="ORD3612"/>
    <x v="40"/>
    <x v="43"/>
    <s v="Vikas"/>
    <x v="0"/>
    <s v="Pune"/>
    <x v="3"/>
    <s v="Paper"/>
    <s v="Paper 30"/>
    <n v="10"/>
    <n v="8618.2999999999993"/>
    <s v="10 %"/>
    <x v="0"/>
    <x v="0"/>
  </r>
  <r>
    <s v="ORD3614"/>
    <x v="661"/>
    <x v="376"/>
    <s v="Arjun"/>
    <x v="1"/>
    <s v="delhi "/>
    <x v="0"/>
    <s v="Table"/>
    <s v="Table 20"/>
    <n v="4"/>
    <n v="9634.08"/>
    <n v="20"/>
    <x v="3"/>
    <x v="0"/>
  </r>
  <r>
    <s v="ORD3615"/>
    <x v="50"/>
    <x v="568"/>
    <s v="Rahul"/>
    <x v="2"/>
    <s v="Mumbai"/>
    <x v="1"/>
    <s v="Phone"/>
    <s v="Phone 24"/>
    <n v="10"/>
    <n v="3708.99"/>
    <n v="15"/>
    <x v="0"/>
    <x v="0"/>
  </r>
  <r>
    <s v="ORD3616"/>
    <x v="45"/>
    <x v="362"/>
    <s v="Rahul"/>
    <x v="2"/>
    <s v="Pune"/>
    <x v="1"/>
    <s v="Laptop"/>
    <s v="Laptop 19"/>
    <n v="6"/>
    <n v="5141.78"/>
    <n v="20"/>
    <x v="0"/>
    <x v="0"/>
  </r>
  <r>
    <s v="ORD3617"/>
    <x v="335"/>
    <x v="826"/>
    <s v="Sneha"/>
    <x v="1"/>
    <s v="Pune"/>
    <x v="1"/>
    <s v="Laptop"/>
    <s v="Laptop 4"/>
    <n v="8"/>
    <n v="25710.83"/>
    <n v="15"/>
    <x v="4"/>
    <x v="2"/>
  </r>
  <r>
    <s v="ORD3618"/>
    <x v="168"/>
    <x v="578"/>
    <s v="Arjun"/>
    <x v="4"/>
    <s v="Mumbai"/>
    <x v="3"/>
    <s v="Paper"/>
    <s v="Paper 21"/>
    <n v="3"/>
    <n v="10525.17"/>
    <n v="0"/>
    <x v="4"/>
    <x v="2"/>
  </r>
  <r>
    <s v="ORD3619"/>
    <x v="279"/>
    <x v="166"/>
    <s v="Sneha"/>
    <x v="3"/>
    <s v="Delhi"/>
    <x v="1"/>
    <s v="Laptop"/>
    <s v="Laptop 15"/>
    <n v="2"/>
    <n v="2084.16"/>
    <n v="10"/>
    <x v="2"/>
    <x v="0"/>
  </r>
  <r>
    <s v="ORD3620"/>
    <x v="187"/>
    <x v="499"/>
    <s v="Neha"/>
    <x v="0"/>
    <s v="Mumbai"/>
    <x v="3"/>
    <s v="Paper"/>
    <s v="Paper 21"/>
    <n v="4"/>
    <n v="18060.13"/>
    <s v="10 %"/>
    <x v="4"/>
    <x v="3"/>
  </r>
  <r>
    <s v="ORD3621"/>
    <x v="531"/>
    <x v="550"/>
    <s v="Arjun"/>
    <x v="4"/>
    <s v="Jaipur"/>
    <x v="1"/>
    <s v="Phone"/>
    <s v="Phone 24"/>
    <n v="10"/>
    <n v="37814.6"/>
    <n v="10"/>
    <x v="1"/>
    <x v="0"/>
  </r>
  <r>
    <s v="ORD3622"/>
    <x v="153"/>
    <x v="430"/>
    <s v="Amit"/>
    <x v="0"/>
    <s v="Mumbai"/>
    <x v="0"/>
    <s v="Chair"/>
    <s v="Chair 1"/>
    <n v="10"/>
    <n v="42529.4"/>
    <n v="20"/>
    <x v="3"/>
    <x v="3"/>
  </r>
  <r>
    <s v="ORD3623"/>
    <x v="43"/>
    <x v="827"/>
    <s v="Riya"/>
    <x v="0"/>
    <s v="Jaipur"/>
    <x v="1"/>
    <s v="Phone"/>
    <s v="Phone 23"/>
    <n v="6"/>
    <n v="8532.69"/>
    <n v="15"/>
    <x v="5"/>
    <x v="0"/>
  </r>
  <r>
    <s v="ORD3625"/>
    <x v="10"/>
    <x v="653"/>
    <s v="Karan"/>
    <x v="4"/>
    <s v="Bengaluru"/>
    <x v="0"/>
    <s v="Table"/>
    <s v="Table 22"/>
    <n v="1"/>
    <n v="1499.92"/>
    <n v="0"/>
    <x v="2"/>
    <x v="3"/>
  </r>
  <r>
    <s v="ORD3626"/>
    <x v="110"/>
    <x v="526"/>
    <s v="Riya"/>
    <x v="1"/>
    <s v="Pune"/>
    <x v="3"/>
    <s v="Paper"/>
    <s v="Paper 30"/>
    <n v="8"/>
    <n v="31213.33"/>
    <s v="10 %"/>
    <x v="1"/>
    <x v="3"/>
  </r>
  <r>
    <s v="ORD3627"/>
    <x v="482"/>
    <x v="73"/>
    <s v="Riya"/>
    <x v="1"/>
    <s v="Mumbai"/>
    <x v="2"/>
    <s v="Phone"/>
    <s v="Phone 9"/>
    <n v="6"/>
    <n v="7435.24"/>
    <n v="5"/>
    <x v="5"/>
    <x v="0"/>
  </r>
  <r>
    <s v="ORD3628"/>
    <x v="662"/>
    <x v="466"/>
    <s v="Arjun"/>
    <x v="1"/>
    <s v="Pune"/>
    <x v="2"/>
    <s v="Phone"/>
    <s v="Phone 10"/>
    <n v="8"/>
    <n v="36333.879999999997"/>
    <n v="20"/>
    <x v="3"/>
    <x v="3"/>
  </r>
  <r>
    <s v="ORD3629"/>
    <x v="273"/>
    <x v="828"/>
    <s v="Amit"/>
    <x v="1"/>
    <s v="Kolkata"/>
    <x v="0"/>
    <s v="Table"/>
    <s v="Table 25"/>
    <n v="4"/>
    <n v="1437.49"/>
    <n v="5"/>
    <x v="2"/>
    <x v="3"/>
  </r>
  <r>
    <s v="ORD3630"/>
    <x v="125"/>
    <x v="829"/>
    <s v="Amit"/>
    <x v="1"/>
    <s v="delhi "/>
    <x v="1"/>
    <s v="Laptop"/>
    <s v="Laptop 1"/>
    <n v="10"/>
    <n v="10847.4"/>
    <n v="20"/>
    <x v="1"/>
    <x v="0"/>
  </r>
  <r>
    <s v="ORD3631"/>
    <x v="292"/>
    <x v="118"/>
    <s v="Sneha "/>
    <x v="0"/>
    <s v="Delhi"/>
    <x v="0"/>
    <s v="Chair"/>
    <s v="Chair 9"/>
    <n v="5"/>
    <n v="21028.7"/>
    <n v="20"/>
    <x v="4"/>
    <x v="0"/>
  </r>
  <r>
    <s v="ORD3632"/>
    <x v="148"/>
    <x v="5"/>
    <s v="Neha"/>
    <x v="1"/>
    <s v="Delhi"/>
    <x v="1"/>
    <s v="Laptop"/>
    <s v="Laptop 29"/>
    <n v="4"/>
    <n v="13296.14"/>
    <n v="15"/>
    <x v="1"/>
    <x v="3"/>
  </r>
  <r>
    <s v="ORD3633"/>
    <x v="321"/>
    <x v="830"/>
    <s v="Sneha"/>
    <x v="1"/>
    <s v="Mumbai"/>
    <x v="0"/>
    <s v="Chair"/>
    <s v="Chair 21"/>
    <n v="10"/>
    <n v="10212.93"/>
    <n v="20"/>
    <x v="2"/>
    <x v="0"/>
  </r>
  <r>
    <s v="ORD3634"/>
    <x v="685"/>
    <x v="179"/>
    <s v="Riya"/>
    <x v="2"/>
    <s v="Pune"/>
    <x v="0"/>
    <s v="Chair"/>
    <s v="Chair 22"/>
    <n v="5"/>
    <n v="20472.04"/>
    <n v="15"/>
    <x v="5"/>
    <x v="2"/>
  </r>
  <r>
    <s v="ORD3635"/>
    <x v="332"/>
    <x v="83"/>
    <s v="Neha"/>
    <x v="0"/>
    <s v="Pune"/>
    <x v="0"/>
    <s v="Table"/>
    <s v="Table 15"/>
    <n v="1"/>
    <n v="3336.25"/>
    <n v="0"/>
    <x v="3"/>
    <x v="3"/>
  </r>
  <r>
    <s v="ORD3636"/>
    <x v="138"/>
    <x v="49"/>
    <s v="Amit"/>
    <x v="3"/>
    <s v="Mumbai"/>
    <x v="2"/>
    <s v="Phone"/>
    <s v="Phone 24"/>
    <n v="1"/>
    <n v="2659.82"/>
    <n v="10"/>
    <x v="2"/>
    <x v="0"/>
  </r>
  <r>
    <s v="ORD3637"/>
    <x v="283"/>
    <x v="345"/>
    <s v="Vikas"/>
    <x v="2"/>
    <s v="Bengaluru"/>
    <x v="1"/>
    <s v="Laptop"/>
    <s v="Laptop 28"/>
    <n v="7"/>
    <n v="1967.63"/>
    <n v="5"/>
    <x v="2"/>
    <x v="3"/>
  </r>
  <r>
    <s v="ORD3638"/>
    <x v="674"/>
    <x v="359"/>
    <s v="Karan"/>
    <x v="0"/>
    <s v="Mumbai"/>
    <x v="1"/>
    <s v="Laptop"/>
    <s v="Laptop 8"/>
    <n v="7"/>
    <n v="33539.1"/>
    <n v="0"/>
    <x v="3"/>
    <x v="0"/>
  </r>
  <r>
    <s v="ORD3639"/>
    <x v="616"/>
    <x v="104"/>
    <s v="Rahul"/>
    <x v="0"/>
    <s v="Mumbai"/>
    <x v="0"/>
    <s v="Table"/>
    <s v="Table 1"/>
    <n v="8"/>
    <n v="15167.45"/>
    <s v="10 %"/>
    <x v="5"/>
    <x v="3"/>
  </r>
  <r>
    <s v="ORD3640"/>
    <x v="612"/>
    <x v="712"/>
    <s v="Neha"/>
    <x v="2"/>
    <s v="Pune"/>
    <x v="1"/>
    <s v="Phone"/>
    <s v="Phone 5"/>
    <n v="8"/>
    <n v="26365.57"/>
    <n v="5"/>
    <x v="2"/>
    <x v="3"/>
  </r>
  <r>
    <s v="ORD3641"/>
    <x v="106"/>
    <x v="713"/>
    <s v="Priya"/>
    <x v="2"/>
    <s v="delhi "/>
    <x v="1"/>
    <s v="Phone"/>
    <s v="Phone 5"/>
    <n v="9"/>
    <n v="12497.76"/>
    <n v="20"/>
    <x v="5"/>
    <x v="3"/>
  </r>
  <r>
    <s v="ORD3643"/>
    <x v="96"/>
    <x v="451"/>
    <s v="Anjali"/>
    <x v="0"/>
    <s v="Bengaluru"/>
    <x v="1"/>
    <s v="Phone"/>
    <s v="Phone 1"/>
    <n v="9"/>
    <n v="26830.04"/>
    <n v="10"/>
    <x v="3"/>
    <x v="3"/>
  </r>
  <r>
    <s v="ORD3644"/>
    <x v="43"/>
    <x v="734"/>
    <s v="Neha"/>
    <x v="0"/>
    <s v="delhi "/>
    <x v="1"/>
    <s v="Phone"/>
    <s v="Phone 3"/>
    <n v="3"/>
    <n v="11108.56"/>
    <n v="0"/>
    <x v="2"/>
    <x v="1"/>
  </r>
  <r>
    <s v="ORD3647"/>
    <x v="443"/>
    <x v="498"/>
    <s v="Sneha"/>
    <x v="2"/>
    <s v="Delhi"/>
    <x v="1"/>
    <s v="Laptop"/>
    <s v="Laptop 13"/>
    <n v="3"/>
    <n v="619.23"/>
    <n v="15"/>
    <x v="4"/>
    <x v="3"/>
  </r>
  <r>
    <s v="ORD3648"/>
    <x v="164"/>
    <x v="728"/>
    <s v="Amit"/>
    <x v="3"/>
    <s v="Bengaluru"/>
    <x v="1"/>
    <s v="Phone"/>
    <s v="Phone 25"/>
    <n v="5"/>
    <n v="16118.07"/>
    <n v="15"/>
    <x v="5"/>
    <x v="2"/>
  </r>
  <r>
    <s v="ORD3649"/>
    <x v="588"/>
    <x v="424"/>
    <s v="Vikas"/>
    <x v="0"/>
    <s v="Bengaluru"/>
    <x v="0"/>
    <s v="Chair"/>
    <s v="Chair 11"/>
    <n v="6"/>
    <n v="2796.78"/>
    <n v="20"/>
    <x v="0"/>
    <x v="1"/>
  </r>
  <r>
    <s v="ORD3650"/>
    <x v="389"/>
    <x v="423"/>
    <s v="Arjun"/>
    <x v="0"/>
    <s v="Kolkata"/>
    <x v="2"/>
    <s v="Phone"/>
    <s v="Phone 29"/>
    <n v="3"/>
    <n v="13484.79"/>
    <n v="20"/>
    <x v="2"/>
    <x v="1"/>
  </r>
  <r>
    <s v="ORD3651"/>
    <x v="570"/>
    <x v="190"/>
    <s v="Karan"/>
    <x v="2"/>
    <s v="Kolkata"/>
    <x v="1"/>
    <s v="Phone"/>
    <s v="Phone 21"/>
    <n v="2"/>
    <n v="7081.48"/>
    <n v="15"/>
    <x v="2"/>
    <x v="3"/>
  </r>
  <r>
    <s v="ORD3652"/>
    <x v="426"/>
    <x v="747"/>
    <s v="Rahul"/>
    <x v="3"/>
    <s v="Pune"/>
    <x v="1"/>
    <s v="Laptop"/>
    <s v="Laptop 16"/>
    <n v="10"/>
    <n v="47109.21"/>
    <n v="20"/>
    <x v="3"/>
    <x v="0"/>
  </r>
  <r>
    <s v="ORD3653"/>
    <x v="22"/>
    <x v="831"/>
    <s v="Amit"/>
    <x v="4"/>
    <s v="Kolkata"/>
    <x v="1"/>
    <s v="Laptop"/>
    <s v="Laptop 7"/>
    <n v="1"/>
    <n v="2628.47"/>
    <s v="10 %"/>
    <x v="4"/>
    <x v="0"/>
  </r>
  <r>
    <s v="ORD3654"/>
    <x v="486"/>
    <x v="776"/>
    <s v="Amit"/>
    <x v="0"/>
    <s v="Delhi"/>
    <x v="3"/>
    <s v="Paper"/>
    <s v="Paper 26"/>
    <n v="6"/>
    <n v="10550.57"/>
    <n v="5"/>
    <x v="1"/>
    <x v="3"/>
  </r>
  <r>
    <s v="ORD3655"/>
    <x v="629"/>
    <x v="811"/>
    <s v="Amit"/>
    <x v="1"/>
    <s v="Kolkata"/>
    <x v="3"/>
    <s v="Paper"/>
    <s v="Paper 1"/>
    <n v="6"/>
    <n v="15258.09"/>
    <n v="15"/>
    <x v="0"/>
    <x v="0"/>
  </r>
  <r>
    <s v="ORD3657"/>
    <x v="214"/>
    <x v="742"/>
    <s v="Karan"/>
    <x v="0"/>
    <s v="Pune"/>
    <x v="0"/>
    <s v="Chair"/>
    <s v="Chair 25"/>
    <n v="2"/>
    <n v="242.89"/>
    <n v="20"/>
    <x v="0"/>
    <x v="0"/>
  </r>
  <r>
    <s v="ORD3659"/>
    <x v="546"/>
    <x v="783"/>
    <s v="Rahul"/>
    <x v="2"/>
    <s v="Mumbai"/>
    <x v="1"/>
    <s v="Phone"/>
    <s v="Phone 2"/>
    <n v="9"/>
    <n v="36433.519999999997"/>
    <n v="10"/>
    <x v="3"/>
    <x v="1"/>
  </r>
  <r>
    <s v="ORD3660"/>
    <x v="226"/>
    <x v="443"/>
    <s v="Karan"/>
    <x v="1"/>
    <s v="Pune"/>
    <x v="1"/>
    <s v="Laptop"/>
    <s v="Laptop 3"/>
    <n v="6"/>
    <n v="24395.87"/>
    <n v="20"/>
    <x v="4"/>
    <x v="3"/>
  </r>
  <r>
    <s v="ORD3661"/>
    <x v="674"/>
    <x v="133"/>
    <s v="Arjun"/>
    <x v="1"/>
    <s v="Kolkata"/>
    <x v="0"/>
    <s v="Table"/>
    <s v="Table 29"/>
    <n v="6"/>
    <n v="7148.43"/>
    <n v="10"/>
    <x v="5"/>
    <x v="1"/>
  </r>
  <r>
    <s v="ORD3662"/>
    <x v="62"/>
    <x v="61"/>
    <s v="Priya"/>
    <x v="1"/>
    <s v="Mumbai"/>
    <x v="2"/>
    <s v="Phone"/>
    <s v="Phone 24"/>
    <n v="2"/>
    <n v="5966.78"/>
    <n v="20"/>
    <x v="3"/>
    <x v="2"/>
  </r>
  <r>
    <s v="ORD3663"/>
    <x v="664"/>
    <x v="822"/>
    <s v="Amit"/>
    <x v="0"/>
    <s v="Jaipur"/>
    <x v="1"/>
    <s v="Laptop"/>
    <s v="Laptop 16"/>
    <n v="4"/>
    <n v="1548.85"/>
    <n v="10"/>
    <x v="5"/>
    <x v="1"/>
  </r>
  <r>
    <s v="ORD3665"/>
    <x v="588"/>
    <x v="832"/>
    <s v="Priya"/>
    <x v="2"/>
    <s v="Delhi"/>
    <x v="1"/>
    <s v="Laptop"/>
    <s v="Laptop 5"/>
    <n v="2"/>
    <n v="1833.51"/>
    <s v="10 %"/>
    <x v="0"/>
    <x v="0"/>
  </r>
  <r>
    <s v="ORD3667"/>
    <x v="590"/>
    <x v="36"/>
    <s v="Priya"/>
    <x v="3"/>
    <s v="Mumbai"/>
    <x v="1"/>
    <s v="Laptop"/>
    <s v="Laptop 25"/>
    <n v="1"/>
    <n v="4997.0200000000004"/>
    <s v="10 %"/>
    <x v="5"/>
    <x v="0"/>
  </r>
  <r>
    <s v="ORD3668"/>
    <x v="604"/>
    <x v="87"/>
    <s v="Arjun"/>
    <x v="4"/>
    <s v="Pune"/>
    <x v="0"/>
    <s v="Table"/>
    <s v="Table 27"/>
    <n v="8"/>
    <n v="4012.62"/>
    <n v="0"/>
    <x v="3"/>
    <x v="1"/>
  </r>
  <r>
    <s v="ORD3669"/>
    <x v="271"/>
    <x v="617"/>
    <s v="Riya"/>
    <x v="4"/>
    <s v="Mumbai"/>
    <x v="3"/>
    <s v="Paper"/>
    <s v="Paper 17"/>
    <n v="3"/>
    <n v="3864.89"/>
    <n v="20"/>
    <x v="4"/>
    <x v="1"/>
  </r>
  <r>
    <s v="ORD3673"/>
    <x v="86"/>
    <x v="297"/>
    <s v="Arjun "/>
    <x v="1"/>
    <s v="Jaipur"/>
    <x v="3"/>
    <s v="Paper"/>
    <s v="Paper 1"/>
    <n v="8"/>
    <n v="25774.67"/>
    <n v="5"/>
    <x v="2"/>
    <x v="0"/>
  </r>
  <r>
    <s v="ORD3674"/>
    <x v="360"/>
    <x v="346"/>
    <s v="Priya"/>
    <x v="2"/>
    <s v="Pune"/>
    <x v="2"/>
    <s v="Phone"/>
    <s v="Phone 17"/>
    <n v="10"/>
    <n v="49499.5"/>
    <n v="10"/>
    <x v="4"/>
    <x v="3"/>
  </r>
  <r>
    <s v="ORD3675"/>
    <x v="570"/>
    <x v="715"/>
    <s v="Amit"/>
    <x v="0"/>
    <s v="Pune"/>
    <x v="3"/>
    <s v="Paper"/>
    <s v="Paper 29"/>
    <n v="3"/>
    <n v="8755.11"/>
    <n v="5"/>
    <x v="1"/>
    <x v="3"/>
  </r>
  <r>
    <s v="ORD3676"/>
    <x v="439"/>
    <x v="504"/>
    <s v="Arjun "/>
    <x v="3"/>
    <s v="Pune"/>
    <x v="2"/>
    <s v="Phone"/>
    <s v="Phone 13"/>
    <n v="9"/>
    <n v="32598.3"/>
    <n v="20"/>
    <x v="1"/>
    <x v="3"/>
  </r>
  <r>
    <s v="ORD3677"/>
    <x v="208"/>
    <x v="22"/>
    <s v="Neha"/>
    <x v="0"/>
    <s v="Bengaluru"/>
    <x v="3"/>
    <s v="Paper"/>
    <s v="Paper 9"/>
    <n v="6"/>
    <n v="16908.310000000001"/>
    <n v="5"/>
    <x v="2"/>
    <x v="0"/>
  </r>
  <r>
    <s v="ORD3678"/>
    <x v="590"/>
    <x v="583"/>
    <s v="Vikas "/>
    <x v="3"/>
    <s v="Kolkata"/>
    <x v="0"/>
    <s v="Chair"/>
    <s v="Chair 7"/>
    <n v="2"/>
    <n v="4384.04"/>
    <s v="10 %"/>
    <x v="2"/>
    <x v="0"/>
  </r>
  <r>
    <s v="ORD3679"/>
    <x v="138"/>
    <x v="696"/>
    <s v="Priya"/>
    <x v="0"/>
    <s v="Bengaluru"/>
    <x v="2"/>
    <s v="Phone"/>
    <s v="Phone 26"/>
    <n v="10"/>
    <n v="6367.55"/>
    <n v="5"/>
    <x v="1"/>
    <x v="1"/>
  </r>
  <r>
    <s v="ORD3680"/>
    <x v="445"/>
    <x v="564"/>
    <s v="Priya"/>
    <x v="0"/>
    <s v="Pune"/>
    <x v="0"/>
    <s v="Table"/>
    <s v="Table 12"/>
    <n v="3"/>
    <n v="10064.790000000001"/>
    <n v="10"/>
    <x v="5"/>
    <x v="0"/>
  </r>
  <r>
    <s v="ORD3682"/>
    <x v="238"/>
    <x v="280"/>
    <s v="Anjali"/>
    <x v="0"/>
    <s v="Bengaluru"/>
    <x v="0"/>
    <s v="Table"/>
    <s v="Table 22"/>
    <n v="6"/>
    <n v="14034.24"/>
    <s v="10 %"/>
    <x v="0"/>
    <x v="0"/>
  </r>
  <r>
    <s v="ORD3683"/>
    <x v="605"/>
    <x v="174"/>
    <s v="Sneha"/>
    <x v="3"/>
    <s v="Mumbai"/>
    <x v="2"/>
    <s v="Phone"/>
    <s v="Phone 2"/>
    <n v="8"/>
    <n v="32310.57"/>
    <n v="15"/>
    <x v="0"/>
    <x v="3"/>
  </r>
  <r>
    <s v="ORD3684"/>
    <x v="251"/>
    <x v="735"/>
    <s v="Arjun"/>
    <x v="2"/>
    <s v="Pune"/>
    <x v="0"/>
    <s v="Chair"/>
    <s v="Chair 4"/>
    <n v="7"/>
    <n v="25832.12"/>
    <s v="10 %"/>
    <x v="3"/>
    <x v="3"/>
  </r>
  <r>
    <s v="ORD3685"/>
    <x v="1"/>
    <x v="712"/>
    <s v="Sneha"/>
    <x v="0"/>
    <s v="Pune"/>
    <x v="1"/>
    <s v="Phone"/>
    <s v="Phone 15"/>
    <n v="5"/>
    <n v="9490.91"/>
    <n v="20"/>
    <x v="4"/>
    <x v="1"/>
  </r>
  <r>
    <s v="ORD3686"/>
    <x v="635"/>
    <x v="236"/>
    <s v="Rahul"/>
    <x v="1"/>
    <s v="Pune"/>
    <x v="2"/>
    <s v="Phone"/>
    <s v="Phone 28"/>
    <n v="5"/>
    <n v="9017.25"/>
    <n v="20"/>
    <x v="4"/>
    <x v="3"/>
  </r>
  <r>
    <s v="ORD3688"/>
    <x v="23"/>
    <x v="317"/>
    <s v="Anjali"/>
    <x v="4"/>
    <s v="Bengaluru"/>
    <x v="1"/>
    <s v="Laptop"/>
    <s v="Laptop 6"/>
    <n v="6"/>
    <n v="22731.43"/>
    <n v="0"/>
    <x v="5"/>
    <x v="0"/>
  </r>
  <r>
    <s v="ORD3689"/>
    <x v="441"/>
    <x v="336"/>
    <s v="Riya"/>
    <x v="2"/>
    <s v="Delhi"/>
    <x v="0"/>
    <s v="Table"/>
    <s v="Table 11"/>
    <n v="2"/>
    <n v="212.44"/>
    <n v="10"/>
    <x v="3"/>
    <x v="1"/>
  </r>
  <r>
    <s v="ORD3690"/>
    <x v="478"/>
    <x v="458"/>
    <s v="Sneha"/>
    <x v="1"/>
    <s v="Jaipur"/>
    <x v="1"/>
    <s v="Phone"/>
    <s v="Phone 16"/>
    <n v="1"/>
    <n v="1210.79"/>
    <n v="20"/>
    <x v="1"/>
    <x v="3"/>
  </r>
  <r>
    <s v="ORD3692"/>
    <x v="64"/>
    <x v="18"/>
    <s v="Arjun "/>
    <x v="4"/>
    <s v="delhi "/>
    <x v="1"/>
    <s v="Laptop"/>
    <s v="Laptop 15"/>
    <n v="5"/>
    <n v="20808.55"/>
    <n v="20"/>
    <x v="0"/>
    <x v="3"/>
  </r>
  <r>
    <s v="ORD3693"/>
    <x v="318"/>
    <x v="552"/>
    <s v="Vikas"/>
    <x v="1"/>
    <s v="Mumbai"/>
    <x v="0"/>
    <s v="Chair"/>
    <s v="Chair 3"/>
    <n v="9"/>
    <n v="23906.12"/>
    <n v="0"/>
    <x v="3"/>
    <x v="3"/>
  </r>
  <r>
    <s v="ORD3694"/>
    <x v="583"/>
    <x v="272"/>
    <s v="Amit"/>
    <x v="3"/>
    <s v="delhi "/>
    <x v="0"/>
    <s v="Chair"/>
    <s v="Chair 2"/>
    <n v="8"/>
    <n v="38130.480000000003"/>
    <n v="5"/>
    <x v="0"/>
    <x v="1"/>
  </r>
  <r>
    <s v="ORD3695"/>
    <x v="25"/>
    <x v="88"/>
    <s v="Rahul"/>
    <x v="3"/>
    <s v="delhi "/>
    <x v="1"/>
    <s v="Phone"/>
    <s v="Phone 29"/>
    <n v="5"/>
    <n v="15334.87"/>
    <n v="0"/>
    <x v="5"/>
    <x v="0"/>
  </r>
  <r>
    <s v="ORD3696"/>
    <x v="227"/>
    <x v="723"/>
    <s v="Priya"/>
    <x v="4"/>
    <s v="Delhi"/>
    <x v="0"/>
    <s v="Chair"/>
    <s v="Chair 28"/>
    <n v="7"/>
    <n v="7453.45"/>
    <n v="15"/>
    <x v="2"/>
    <x v="1"/>
  </r>
  <r>
    <s v="ORD3697"/>
    <x v="246"/>
    <x v="684"/>
    <s v="Priya"/>
    <x v="2"/>
    <s v="Kolkata"/>
    <x v="1"/>
    <s v="Phone"/>
    <s v="Phone 29"/>
    <n v="3"/>
    <n v="3212.74"/>
    <n v="5"/>
    <x v="0"/>
    <x v="3"/>
  </r>
  <r>
    <s v="ORD3698"/>
    <x v="234"/>
    <x v="674"/>
    <s v="Rahul"/>
    <x v="0"/>
    <s v="Pune"/>
    <x v="0"/>
    <s v="Chair"/>
    <s v="Chair 21"/>
    <n v="10"/>
    <n v="4421.24"/>
    <n v="0"/>
    <x v="0"/>
    <x v="0"/>
  </r>
  <r>
    <s v="ORD3699"/>
    <x v="625"/>
    <x v="15"/>
    <s v="Anjali"/>
    <x v="4"/>
    <s v="Delhi"/>
    <x v="2"/>
    <s v="Phone"/>
    <s v="Phone 4"/>
    <n v="5"/>
    <n v="11839.07"/>
    <n v="15"/>
    <x v="2"/>
    <x v="2"/>
  </r>
  <r>
    <s v="ORD3701"/>
    <x v="386"/>
    <x v="450"/>
    <s v="Neha"/>
    <x v="0"/>
    <s v="Pune"/>
    <x v="1"/>
    <s v="Laptop"/>
    <s v="Laptop 1"/>
    <n v="4"/>
    <n v="10327.629999999999"/>
    <n v="20"/>
    <x v="4"/>
    <x v="2"/>
  </r>
  <r>
    <s v="ORD3702"/>
    <x v="686"/>
    <x v="363"/>
    <s v="Vikas "/>
    <x v="4"/>
    <s v="Delhi"/>
    <x v="1"/>
    <s v="Laptop"/>
    <s v="Laptop 5"/>
    <n v="9"/>
    <n v="21534.95"/>
    <n v="0"/>
    <x v="0"/>
    <x v="1"/>
  </r>
  <r>
    <s v="ORD3703"/>
    <x v="199"/>
    <x v="833"/>
    <s v="Rahul"/>
    <x v="4"/>
    <s v="Mumbai"/>
    <x v="0"/>
    <s v="Table"/>
    <s v="Table 18"/>
    <n v="1"/>
    <n v="1055.67"/>
    <n v="5"/>
    <x v="1"/>
    <x v="2"/>
  </r>
  <r>
    <s v="ORD3704"/>
    <x v="141"/>
    <x v="499"/>
    <s v="Anjali"/>
    <x v="0"/>
    <s v="Mumbai"/>
    <x v="0"/>
    <s v="Chair"/>
    <s v="Chair 26"/>
    <n v="4"/>
    <n v="1820.13"/>
    <n v="20"/>
    <x v="0"/>
    <x v="0"/>
  </r>
  <r>
    <s v="ORD3705"/>
    <x v="422"/>
    <x v="803"/>
    <s v="Vikas"/>
    <x v="1"/>
    <s v="Pune"/>
    <x v="3"/>
    <s v="Paper"/>
    <s v="Paper 2"/>
    <n v="8"/>
    <n v="23625.18"/>
    <n v="10"/>
    <x v="5"/>
    <x v="0"/>
  </r>
  <r>
    <s v="ORD3706"/>
    <x v="105"/>
    <x v="834"/>
    <s v="Riya"/>
    <x v="4"/>
    <s v="Pune"/>
    <x v="0"/>
    <s v="Table"/>
    <s v="Table 18"/>
    <n v="10"/>
    <n v="36049.25"/>
    <n v="10"/>
    <x v="0"/>
    <x v="3"/>
  </r>
  <r>
    <s v="ORD3707"/>
    <x v="263"/>
    <x v="467"/>
    <s v="Amit"/>
    <x v="1"/>
    <s v="Jaipur"/>
    <x v="1"/>
    <s v="Laptop"/>
    <s v="Laptop 10"/>
    <n v="3"/>
    <n v="4957.0600000000004"/>
    <n v="10"/>
    <x v="2"/>
    <x v="1"/>
  </r>
  <r>
    <s v="ORD3708"/>
    <x v="567"/>
    <x v="784"/>
    <s v="Arjun"/>
    <x v="0"/>
    <s v="Jaipur"/>
    <x v="0"/>
    <s v="Table"/>
    <s v="Table 5"/>
    <n v="9"/>
    <n v="34522.239999999998"/>
    <n v="5"/>
    <x v="4"/>
    <x v="2"/>
  </r>
  <r>
    <s v="ORD3709"/>
    <x v="165"/>
    <x v="131"/>
    <s v="Amit"/>
    <x v="0"/>
    <s v="Delhi"/>
    <x v="3"/>
    <s v="Paper"/>
    <s v="Paper 6"/>
    <n v="10"/>
    <n v="26164.43"/>
    <s v="10 %"/>
    <x v="5"/>
    <x v="3"/>
  </r>
  <r>
    <s v="ORD3710"/>
    <x v="576"/>
    <x v="516"/>
    <s v="Neha"/>
    <x v="0"/>
    <s v="Mumbai"/>
    <x v="0"/>
    <s v="Chair"/>
    <s v="Chair 7"/>
    <n v="10"/>
    <n v="18246.45"/>
    <n v="20"/>
    <x v="5"/>
    <x v="2"/>
  </r>
  <r>
    <s v="ORD3711"/>
    <x v="101"/>
    <x v="601"/>
    <s v="Neha"/>
    <x v="4"/>
    <s v="Pune"/>
    <x v="2"/>
    <s v="Phone"/>
    <s v="Phone 29"/>
    <n v="9"/>
    <n v="37998.71"/>
    <n v="10"/>
    <x v="2"/>
    <x v="3"/>
  </r>
  <r>
    <s v="ORD3712"/>
    <x v="152"/>
    <x v="287"/>
    <s v="Priya"/>
    <x v="0"/>
    <s v="Bengaluru"/>
    <x v="1"/>
    <s v="Laptop"/>
    <s v="Laptop 13"/>
    <n v="2"/>
    <n v="9559.91"/>
    <n v="5"/>
    <x v="2"/>
    <x v="3"/>
  </r>
  <r>
    <s v="ORD3713"/>
    <x v="687"/>
    <x v="282"/>
    <s v="Sneha"/>
    <x v="3"/>
    <s v="Jaipur"/>
    <x v="3"/>
    <s v="Paper"/>
    <s v="Paper 2"/>
    <n v="10"/>
    <n v="16962.79"/>
    <n v="10"/>
    <x v="1"/>
    <x v="0"/>
  </r>
  <r>
    <s v="ORD3714"/>
    <x v="445"/>
    <x v="209"/>
    <s v="Neha"/>
    <x v="1"/>
    <s v="Mumbai"/>
    <x v="0"/>
    <s v="Table"/>
    <s v="Table 15"/>
    <n v="1"/>
    <n v="2876.71"/>
    <n v="20"/>
    <x v="0"/>
    <x v="3"/>
  </r>
  <r>
    <s v="ORD3716"/>
    <x v="151"/>
    <x v="164"/>
    <s v="Neha"/>
    <x v="1"/>
    <s v="Mumbai"/>
    <x v="3"/>
    <s v="Paper"/>
    <s v="Paper 23"/>
    <n v="1"/>
    <n v="1222.5"/>
    <s v="10 %"/>
    <x v="5"/>
    <x v="2"/>
  </r>
  <r>
    <s v="ORD3717"/>
    <x v="75"/>
    <x v="84"/>
    <s v="Anjali"/>
    <x v="1"/>
    <s v="Mumbai"/>
    <x v="1"/>
    <s v="Phone"/>
    <s v="Phone 25"/>
    <n v="7"/>
    <n v="9628.14"/>
    <n v="10"/>
    <x v="4"/>
    <x v="0"/>
  </r>
  <r>
    <s v="ORD3719"/>
    <x v="424"/>
    <x v="790"/>
    <s v="Anjali"/>
    <x v="4"/>
    <s v="delhi "/>
    <x v="3"/>
    <s v="Paper"/>
    <s v="Paper 26"/>
    <n v="8"/>
    <n v="39592.019999999997"/>
    <n v="5"/>
    <x v="1"/>
    <x v="3"/>
  </r>
  <r>
    <s v="ORD3720"/>
    <x v="497"/>
    <x v="422"/>
    <s v="Vikas"/>
    <x v="1"/>
    <s v="delhi "/>
    <x v="0"/>
    <s v="Chair"/>
    <s v="Chair 28"/>
    <n v="5"/>
    <n v="11359.93"/>
    <n v="10"/>
    <x v="3"/>
    <x v="3"/>
  </r>
  <r>
    <s v="ORD3721"/>
    <x v="20"/>
    <x v="647"/>
    <s v="Neha"/>
    <x v="0"/>
    <s v="Pune"/>
    <x v="1"/>
    <s v="Phone"/>
    <s v="Phone 13"/>
    <n v="1"/>
    <n v="3096.03"/>
    <n v="5"/>
    <x v="1"/>
    <x v="2"/>
  </r>
  <r>
    <s v="ORD3722"/>
    <x v="123"/>
    <x v="726"/>
    <s v="Arjun"/>
    <x v="3"/>
    <s v="Bengaluru"/>
    <x v="3"/>
    <s v="Paper"/>
    <s v="Paper 14"/>
    <n v="2"/>
    <n v="4933.6499999999996"/>
    <n v="0"/>
    <x v="1"/>
    <x v="3"/>
  </r>
  <r>
    <s v="ORD3723"/>
    <x v="338"/>
    <x v="829"/>
    <s v="Riya"/>
    <x v="2"/>
    <s v="Kolkata"/>
    <x v="1"/>
    <s v="Phone"/>
    <s v="Phone 6"/>
    <n v="3"/>
    <n v="11079.93"/>
    <n v="10"/>
    <x v="5"/>
    <x v="0"/>
  </r>
  <r>
    <s v="ORD3724"/>
    <x v="422"/>
    <x v="480"/>
    <s v="Anjali"/>
    <x v="4"/>
    <s v="Mumbai"/>
    <x v="0"/>
    <s v="Table"/>
    <s v="Table 26"/>
    <n v="6"/>
    <n v="9393.7000000000007"/>
    <n v="15"/>
    <x v="4"/>
    <x v="0"/>
  </r>
  <r>
    <s v="ORD3725"/>
    <x v="688"/>
    <x v="244"/>
    <s v="Karan"/>
    <x v="3"/>
    <s v="Delhi"/>
    <x v="3"/>
    <s v="Paper"/>
    <s v="Paper 24"/>
    <n v="3"/>
    <n v="6676.06"/>
    <n v="10"/>
    <x v="0"/>
    <x v="1"/>
  </r>
  <r>
    <s v="ORD3726"/>
    <x v="45"/>
    <x v="336"/>
    <s v="Amit"/>
    <x v="1"/>
    <s v="delhi "/>
    <x v="1"/>
    <s v="Phone"/>
    <s v="Phone 17"/>
    <n v="7"/>
    <n v="26494.06"/>
    <n v="0"/>
    <x v="4"/>
    <x v="2"/>
  </r>
  <r>
    <s v="ORD3727"/>
    <x v="206"/>
    <x v="148"/>
    <s v="Priya"/>
    <x v="0"/>
    <s v="Mumbai"/>
    <x v="1"/>
    <s v="Laptop"/>
    <s v="Laptop 6"/>
    <n v="3"/>
    <n v="10709.39"/>
    <n v="5"/>
    <x v="1"/>
    <x v="3"/>
  </r>
  <r>
    <s v="ORD3728"/>
    <x v="689"/>
    <x v="384"/>
    <s v="Rahul"/>
    <x v="3"/>
    <s v="delhi "/>
    <x v="3"/>
    <s v="Paper"/>
    <s v="Paper 21"/>
    <n v="7"/>
    <n v="21638.16"/>
    <n v="20"/>
    <x v="0"/>
    <x v="2"/>
  </r>
  <r>
    <s v="ORD3729"/>
    <x v="234"/>
    <x v="2"/>
    <s v="Priya"/>
    <x v="0"/>
    <s v="Jaipur"/>
    <x v="0"/>
    <s v="Table"/>
    <s v="Table 14"/>
    <n v="6"/>
    <n v="18982.79"/>
    <n v="5"/>
    <x v="1"/>
    <x v="1"/>
  </r>
  <r>
    <s v="ORD3730"/>
    <x v="645"/>
    <x v="90"/>
    <s v="Amit"/>
    <x v="1"/>
    <s v="Kolkata"/>
    <x v="2"/>
    <s v="Phone"/>
    <s v="Phone 28"/>
    <n v="6"/>
    <n v="15834.73"/>
    <n v="0"/>
    <x v="0"/>
    <x v="1"/>
  </r>
  <r>
    <s v="ORD3731"/>
    <x v="644"/>
    <x v="194"/>
    <s v="Sneha"/>
    <x v="4"/>
    <s v="Pune"/>
    <x v="2"/>
    <s v="Phone"/>
    <s v="Phone 21"/>
    <n v="6"/>
    <n v="7012.52"/>
    <n v="5"/>
    <x v="5"/>
    <x v="1"/>
  </r>
  <r>
    <s v="ORD3732"/>
    <x v="632"/>
    <x v="66"/>
    <s v="Vikas"/>
    <x v="4"/>
    <s v="Mumbai"/>
    <x v="0"/>
    <s v="Chair"/>
    <s v="Chair 12"/>
    <n v="2"/>
    <n v="286.64"/>
    <s v="10 %"/>
    <x v="1"/>
    <x v="0"/>
  </r>
  <r>
    <s v="ORD3733"/>
    <x v="529"/>
    <x v="665"/>
    <s v="Amit"/>
    <x v="2"/>
    <s v="delhi "/>
    <x v="0"/>
    <s v="Table"/>
    <s v="Table 19"/>
    <n v="3"/>
    <n v="13004.48"/>
    <n v="0"/>
    <x v="0"/>
    <x v="3"/>
  </r>
  <r>
    <s v="ORD3734"/>
    <x v="191"/>
    <x v="357"/>
    <s v="Priya"/>
    <x v="1"/>
    <s v="Mumbai"/>
    <x v="1"/>
    <s v="Phone"/>
    <s v="Phone 21"/>
    <n v="6"/>
    <n v="4183.96"/>
    <n v="5"/>
    <x v="2"/>
    <x v="3"/>
  </r>
  <r>
    <s v="ORD3735"/>
    <x v="597"/>
    <x v="114"/>
    <s v="Amit"/>
    <x v="3"/>
    <s v="Bengaluru"/>
    <x v="1"/>
    <s v="Phone"/>
    <s v="Phone 14"/>
    <n v="8"/>
    <n v="12229.73"/>
    <n v="10"/>
    <x v="0"/>
    <x v="3"/>
  </r>
  <r>
    <s v="ORD3736"/>
    <x v="108"/>
    <x v="329"/>
    <s v="Anjali"/>
    <x v="2"/>
    <s v="Pune"/>
    <x v="1"/>
    <s v="Laptop"/>
    <s v="Laptop 24"/>
    <n v="4"/>
    <n v="15710.01"/>
    <n v="15"/>
    <x v="3"/>
    <x v="0"/>
  </r>
  <r>
    <s v="ORD3737"/>
    <x v="546"/>
    <x v="198"/>
    <s v="Sneha"/>
    <x v="3"/>
    <s v="Mumbai"/>
    <x v="0"/>
    <s v="Chair"/>
    <s v="Chair 16"/>
    <n v="4"/>
    <n v="17842.150000000001"/>
    <s v="10 %"/>
    <x v="2"/>
    <x v="1"/>
  </r>
  <r>
    <s v="ORD3738"/>
    <x v="456"/>
    <x v="219"/>
    <s v="Amit"/>
    <x v="1"/>
    <s v="Jaipur"/>
    <x v="1"/>
    <s v="Phone"/>
    <s v="Phone 13"/>
    <n v="1"/>
    <n v="4978.47"/>
    <n v="15"/>
    <x v="2"/>
    <x v="3"/>
  </r>
  <r>
    <s v="ORD3739"/>
    <x v="94"/>
    <x v="835"/>
    <s v="Riya"/>
    <x v="2"/>
    <s v="delhi "/>
    <x v="0"/>
    <s v="Table"/>
    <s v="Table 7"/>
    <n v="4"/>
    <n v="459.55"/>
    <n v="15"/>
    <x v="0"/>
    <x v="2"/>
  </r>
  <r>
    <s v="ORD3741"/>
    <x v="690"/>
    <x v="690"/>
    <s v="Karan"/>
    <x v="3"/>
    <s v="delhi "/>
    <x v="0"/>
    <s v="Table"/>
    <s v="Table 25"/>
    <n v="8"/>
    <n v="25174.13"/>
    <n v="15"/>
    <x v="1"/>
    <x v="0"/>
  </r>
  <r>
    <s v="ORD3742"/>
    <x v="132"/>
    <x v="51"/>
    <s v="Riya"/>
    <x v="1"/>
    <s v="Bengaluru"/>
    <x v="0"/>
    <s v="Chair"/>
    <s v="Chair 22"/>
    <n v="7"/>
    <n v="18738.830000000002"/>
    <n v="0"/>
    <x v="1"/>
    <x v="3"/>
  </r>
  <r>
    <s v="ORD3743"/>
    <x v="564"/>
    <x v="651"/>
    <s v="Arjun"/>
    <x v="0"/>
    <s v="delhi "/>
    <x v="2"/>
    <s v="Phone"/>
    <s v="Phone 2"/>
    <n v="2"/>
    <n v="5307.31"/>
    <n v="15"/>
    <x v="2"/>
    <x v="0"/>
  </r>
  <r>
    <s v="ORD3744"/>
    <x v="93"/>
    <x v="74"/>
    <s v="Vikas"/>
    <x v="2"/>
    <s v="delhi "/>
    <x v="0"/>
    <s v="Chair"/>
    <s v="Chair 15"/>
    <n v="9"/>
    <n v="29305.93"/>
    <s v="10 %"/>
    <x v="1"/>
    <x v="0"/>
  </r>
  <r>
    <s v="ORD3745"/>
    <x v="421"/>
    <x v="669"/>
    <s v="Rahul"/>
    <x v="0"/>
    <s v="Mumbai"/>
    <x v="3"/>
    <s v="Paper"/>
    <s v="Paper 25"/>
    <n v="7"/>
    <n v="27803.46"/>
    <n v="0"/>
    <x v="2"/>
    <x v="1"/>
  </r>
  <r>
    <s v="ORD3746"/>
    <x v="135"/>
    <x v="559"/>
    <s v="Priya"/>
    <x v="1"/>
    <s v="Kolkata"/>
    <x v="2"/>
    <s v="Phone"/>
    <s v="Phone 21"/>
    <n v="2"/>
    <n v="6250.87"/>
    <n v="15"/>
    <x v="3"/>
    <x v="3"/>
  </r>
  <r>
    <s v="ORD3748"/>
    <x v="392"/>
    <x v="108"/>
    <s v="Sneha"/>
    <x v="3"/>
    <s v="Mumbai"/>
    <x v="2"/>
    <s v="Phone"/>
    <s v="Phone 8"/>
    <n v="8"/>
    <n v="20633.830000000002"/>
    <n v="15"/>
    <x v="0"/>
    <x v="0"/>
  </r>
  <r>
    <s v="ORD3749"/>
    <x v="595"/>
    <x v="343"/>
    <s v="Riya"/>
    <x v="0"/>
    <s v="Delhi"/>
    <x v="0"/>
    <s v="Table"/>
    <s v="Table 13"/>
    <n v="9"/>
    <n v="38814.519999999997"/>
    <s v="10 %"/>
    <x v="3"/>
    <x v="0"/>
  </r>
  <r>
    <s v="ORD3750"/>
    <x v="405"/>
    <x v="398"/>
    <s v="Sneha"/>
    <x v="0"/>
    <s v="delhi "/>
    <x v="3"/>
    <s v="Paper"/>
    <s v="Paper 28"/>
    <n v="10"/>
    <n v="29394.93"/>
    <s v="10 %"/>
    <x v="1"/>
    <x v="1"/>
  </r>
  <r>
    <s v="ORD3751"/>
    <x v="158"/>
    <x v="614"/>
    <s v="Karan"/>
    <x v="4"/>
    <s v="Jaipur"/>
    <x v="0"/>
    <s v="Table"/>
    <s v="Table 20"/>
    <n v="7"/>
    <n v="15461.78"/>
    <n v="5"/>
    <x v="1"/>
    <x v="0"/>
  </r>
  <r>
    <s v="ORD3752"/>
    <x v="516"/>
    <x v="459"/>
    <s v="Rahul"/>
    <x v="3"/>
    <s v="Bengaluru"/>
    <x v="1"/>
    <s v="Phone"/>
    <s v="Phone 30"/>
    <n v="9"/>
    <n v="28082.92"/>
    <n v="5"/>
    <x v="1"/>
    <x v="3"/>
  </r>
  <r>
    <s v="ORD3753"/>
    <x v="431"/>
    <x v="696"/>
    <s v="Rahul"/>
    <x v="2"/>
    <s v="Bengaluru"/>
    <x v="0"/>
    <s v="Chair"/>
    <s v="Chair 24"/>
    <n v="1"/>
    <n v="2513.84"/>
    <n v="10"/>
    <x v="1"/>
    <x v="3"/>
  </r>
  <r>
    <s v="ORD3755"/>
    <x v="242"/>
    <x v="537"/>
    <s v="Neha"/>
    <x v="0"/>
    <s v="Pune"/>
    <x v="0"/>
    <s v="Chair"/>
    <s v="Chair 8"/>
    <n v="3"/>
    <n v="7969.07"/>
    <n v="20"/>
    <x v="5"/>
    <x v="3"/>
  </r>
  <r>
    <s v="ORD3757"/>
    <x v="609"/>
    <x v="60"/>
    <s v="Anjali"/>
    <x v="1"/>
    <s v="Pune"/>
    <x v="0"/>
    <s v="Table"/>
    <s v="Table 14"/>
    <n v="1"/>
    <n v="3391.02"/>
    <s v="10 %"/>
    <x v="3"/>
    <x v="2"/>
  </r>
  <r>
    <s v="ORD3758"/>
    <x v="429"/>
    <x v="23"/>
    <s v="Karan"/>
    <x v="4"/>
    <s v="delhi "/>
    <x v="0"/>
    <s v="Table"/>
    <s v="Table 24"/>
    <n v="10"/>
    <n v="3992"/>
    <n v="0"/>
    <x v="3"/>
    <x v="0"/>
  </r>
  <r>
    <s v="ORD3759"/>
    <x v="348"/>
    <x v="149"/>
    <s v="Sneha"/>
    <x v="0"/>
    <s v="Jaipur"/>
    <x v="1"/>
    <s v="Laptop"/>
    <s v="Laptop 26"/>
    <n v="7"/>
    <n v="26554.58"/>
    <n v="15"/>
    <x v="5"/>
    <x v="3"/>
  </r>
  <r>
    <s v="ORD3760"/>
    <x v="270"/>
    <x v="176"/>
    <s v="Karan"/>
    <x v="0"/>
    <s v="Bengaluru"/>
    <x v="0"/>
    <s v="Chair"/>
    <s v="Chair 29"/>
    <n v="10"/>
    <n v="41790.07"/>
    <s v="10 %"/>
    <x v="1"/>
    <x v="3"/>
  </r>
  <r>
    <s v="ORD3761"/>
    <x v="279"/>
    <x v="611"/>
    <s v="Sneha"/>
    <x v="0"/>
    <s v="Mumbai"/>
    <x v="3"/>
    <s v="Paper"/>
    <s v="Paper 5"/>
    <n v="4"/>
    <n v="4910.09"/>
    <n v="5"/>
    <x v="3"/>
    <x v="3"/>
  </r>
  <r>
    <s v="ORD3762"/>
    <x v="97"/>
    <x v="158"/>
    <s v="Neha"/>
    <x v="1"/>
    <s v="Delhi"/>
    <x v="1"/>
    <s v="Laptop"/>
    <s v="Laptop 29"/>
    <n v="1"/>
    <n v="1051.8"/>
    <n v="10"/>
    <x v="5"/>
    <x v="1"/>
  </r>
  <r>
    <s v="ORD3763"/>
    <x v="68"/>
    <x v="827"/>
    <s v="Rahul"/>
    <x v="0"/>
    <s v="Bengaluru"/>
    <x v="1"/>
    <s v="Laptop"/>
    <s v="Laptop 16"/>
    <n v="4"/>
    <n v="1639.38"/>
    <n v="5"/>
    <x v="5"/>
    <x v="1"/>
  </r>
  <r>
    <s v="ORD3764"/>
    <x v="133"/>
    <x v="169"/>
    <s v="Sneha"/>
    <x v="4"/>
    <s v="Kolkata"/>
    <x v="1"/>
    <s v="Laptop"/>
    <s v="Laptop 5"/>
    <n v="3"/>
    <n v="7212.68"/>
    <n v="0"/>
    <x v="5"/>
    <x v="3"/>
  </r>
  <r>
    <s v="ORD3765"/>
    <x v="691"/>
    <x v="629"/>
    <s v="Karan "/>
    <x v="1"/>
    <s v="Mumbai"/>
    <x v="1"/>
    <s v="Phone"/>
    <s v="Phone 24"/>
    <n v="4"/>
    <n v="3211.08"/>
    <n v="20"/>
    <x v="5"/>
    <x v="2"/>
  </r>
  <r>
    <s v="ORD3766"/>
    <x v="216"/>
    <x v="449"/>
    <s v="Sneha"/>
    <x v="1"/>
    <s v="Mumbai"/>
    <x v="0"/>
    <s v="Table"/>
    <s v="Table 4"/>
    <n v="10"/>
    <n v="46409.4"/>
    <n v="20"/>
    <x v="0"/>
    <x v="3"/>
  </r>
  <r>
    <s v="ORD3767"/>
    <x v="178"/>
    <x v="766"/>
    <s v="Vikas"/>
    <x v="0"/>
    <s v="Kolkata"/>
    <x v="0"/>
    <s v="Chair"/>
    <s v="Chair 1"/>
    <n v="5"/>
    <n v="11489.82"/>
    <n v="10"/>
    <x v="2"/>
    <x v="0"/>
  </r>
  <r>
    <s v="ORD3768"/>
    <x v="287"/>
    <x v="382"/>
    <s v="Karan"/>
    <x v="4"/>
    <s v="delhi "/>
    <x v="0"/>
    <s v="Chair"/>
    <s v="Chair 23"/>
    <n v="6"/>
    <n v="5005.1499999999996"/>
    <s v="10 %"/>
    <x v="2"/>
    <x v="0"/>
  </r>
  <r>
    <s v="ORD3769"/>
    <x v="614"/>
    <x v="683"/>
    <s v="Amit"/>
    <x v="2"/>
    <s v="Jaipur"/>
    <x v="1"/>
    <s v="Laptop"/>
    <s v="Laptop 15"/>
    <n v="4"/>
    <n v="13058.31"/>
    <s v="10 %"/>
    <x v="0"/>
    <x v="0"/>
  </r>
  <r>
    <s v="ORD3770"/>
    <x v="458"/>
    <x v="483"/>
    <s v="Vikas"/>
    <x v="0"/>
    <s v="Mumbai"/>
    <x v="1"/>
    <s v="Laptop"/>
    <s v="Laptop 21"/>
    <n v="6"/>
    <n v="15148.5"/>
    <n v="5"/>
    <x v="5"/>
    <x v="0"/>
  </r>
  <r>
    <s v="ORD3771"/>
    <x v="469"/>
    <x v="170"/>
    <s v="Amit "/>
    <x v="1"/>
    <s v="Delhi"/>
    <x v="1"/>
    <s v="Laptop"/>
    <s v="Laptop 13"/>
    <n v="8"/>
    <n v="2325.08"/>
    <s v="10 %"/>
    <x v="4"/>
    <x v="3"/>
  </r>
  <r>
    <s v="ORD3772"/>
    <x v="12"/>
    <x v="334"/>
    <s v="Rahul"/>
    <x v="4"/>
    <s v="Bengaluru"/>
    <x v="1"/>
    <s v="Laptop"/>
    <s v="Laptop 2"/>
    <n v="3"/>
    <n v="7507.6"/>
    <n v="0"/>
    <x v="2"/>
    <x v="2"/>
  </r>
  <r>
    <s v="ORD3773"/>
    <x v="297"/>
    <x v="18"/>
    <s v="Sneha"/>
    <x v="4"/>
    <s v="Kolkata"/>
    <x v="3"/>
    <s v="Paper"/>
    <s v="Paper 13"/>
    <n v="2"/>
    <n v="6530.15"/>
    <n v="0"/>
    <x v="4"/>
    <x v="3"/>
  </r>
  <r>
    <s v="ORD3775"/>
    <x v="633"/>
    <x v="565"/>
    <s v="Amit"/>
    <x v="0"/>
    <s v="Bengaluru"/>
    <x v="2"/>
    <s v="Phone"/>
    <s v="Phone 16"/>
    <n v="9"/>
    <n v="21377.66"/>
    <n v="10"/>
    <x v="1"/>
    <x v="0"/>
  </r>
  <r>
    <s v="ORD1167"/>
    <x v="292"/>
    <x v="775"/>
    <s v="Neha"/>
    <x v="0"/>
    <s v="Mumbai"/>
    <x v="2"/>
    <s v="Phone"/>
    <s v="Phone 3"/>
    <n v="9"/>
    <n v="37557.56"/>
    <n v="0"/>
    <x v="2"/>
    <x v="3"/>
  </r>
  <r>
    <s v="ORD3777"/>
    <x v="52"/>
    <x v="40"/>
    <s v="Riya"/>
    <x v="1"/>
    <s v="Delhi"/>
    <x v="1"/>
    <s v="Phone"/>
    <s v="Phone 30"/>
    <n v="8"/>
    <n v="21972.27"/>
    <n v="5"/>
    <x v="5"/>
    <x v="0"/>
  </r>
  <r>
    <s v="ORD3779"/>
    <x v="518"/>
    <x v="418"/>
    <s v="Sneha"/>
    <x v="2"/>
    <s v="Bengaluru"/>
    <x v="1"/>
    <s v="Phone"/>
    <s v="Phone 19"/>
    <n v="8"/>
    <n v="39409.64"/>
    <n v="20"/>
    <x v="0"/>
    <x v="0"/>
  </r>
  <r>
    <s v="ORD3780"/>
    <x v="580"/>
    <x v="39"/>
    <s v="Vikas"/>
    <x v="4"/>
    <s v="Delhi"/>
    <x v="1"/>
    <s v="Phone"/>
    <s v="Phone 28"/>
    <n v="2"/>
    <n v="9068.68"/>
    <n v="20"/>
    <x v="0"/>
    <x v="3"/>
  </r>
  <r>
    <s v="ORD3781"/>
    <x v="689"/>
    <x v="64"/>
    <s v="Anjali "/>
    <x v="0"/>
    <s v="Delhi"/>
    <x v="1"/>
    <s v="Phone"/>
    <s v="Phone 13"/>
    <n v="8"/>
    <n v="35616.58"/>
    <s v="10 %"/>
    <x v="0"/>
    <x v="1"/>
  </r>
  <r>
    <s v="ORD3782"/>
    <x v="389"/>
    <x v="517"/>
    <s v="Karan "/>
    <x v="1"/>
    <s v="Delhi"/>
    <x v="1"/>
    <s v="Laptop"/>
    <s v="Laptop 21"/>
    <n v="4"/>
    <n v="14898.2"/>
    <s v="10 %"/>
    <x v="5"/>
    <x v="0"/>
  </r>
  <r>
    <s v="ORD3783"/>
    <x v="119"/>
    <x v="357"/>
    <s v="Riya "/>
    <x v="1"/>
    <s v="Jaipur"/>
    <x v="1"/>
    <s v="Phone"/>
    <s v="Phone 28"/>
    <n v="1"/>
    <n v="2610.92"/>
    <n v="0"/>
    <x v="1"/>
    <x v="2"/>
  </r>
  <r>
    <s v="ORD3784"/>
    <x v="274"/>
    <x v="283"/>
    <s v="Rahul"/>
    <x v="2"/>
    <s v="Delhi"/>
    <x v="2"/>
    <s v="Phone"/>
    <s v="Phone 3"/>
    <n v="10"/>
    <n v="34335.54"/>
    <s v="10 %"/>
    <x v="3"/>
    <x v="0"/>
  </r>
  <r>
    <s v="ORD3785"/>
    <x v="255"/>
    <x v="138"/>
    <s v="Arjun"/>
    <x v="0"/>
    <s v="delhi "/>
    <x v="2"/>
    <s v="Phone"/>
    <s v="Phone 6"/>
    <n v="9"/>
    <n v="33238.339999999997"/>
    <n v="20"/>
    <x v="3"/>
    <x v="3"/>
  </r>
  <r>
    <s v="ORD3787"/>
    <x v="507"/>
    <x v="480"/>
    <s v="Rahul"/>
    <x v="4"/>
    <s v="Jaipur"/>
    <x v="3"/>
    <s v="Paper"/>
    <s v="Paper 28"/>
    <n v="6"/>
    <n v="11953.71"/>
    <n v="20"/>
    <x v="2"/>
    <x v="3"/>
  </r>
  <r>
    <s v="ORD3788"/>
    <x v="150"/>
    <x v="257"/>
    <s v="Vikas"/>
    <x v="0"/>
    <s v="Mumbai"/>
    <x v="2"/>
    <s v="Phone"/>
    <s v="Phone 10"/>
    <n v="2"/>
    <n v="8956.4599999999991"/>
    <n v="20"/>
    <x v="3"/>
    <x v="3"/>
  </r>
  <r>
    <s v="ORD3789"/>
    <x v="647"/>
    <x v="346"/>
    <s v="Riya"/>
    <x v="0"/>
    <s v="Jaipur"/>
    <x v="3"/>
    <s v="Paper"/>
    <s v="Paper 24"/>
    <n v="9"/>
    <n v="37365.760000000002"/>
    <n v="10"/>
    <x v="1"/>
    <x v="0"/>
  </r>
  <r>
    <s v="ORD3790"/>
    <x v="128"/>
    <x v="564"/>
    <s v="Anjali"/>
    <x v="0"/>
    <s v="Mumbai"/>
    <x v="0"/>
    <s v="Table"/>
    <s v="Table 15"/>
    <n v="1"/>
    <n v="3059.59"/>
    <n v="20"/>
    <x v="2"/>
    <x v="1"/>
  </r>
  <r>
    <s v="ORD3791"/>
    <x v="117"/>
    <x v="317"/>
    <s v="Riya"/>
    <x v="1"/>
    <s v="delhi "/>
    <x v="3"/>
    <s v="Paper"/>
    <s v="Paper 3"/>
    <n v="3"/>
    <n v="5866.58"/>
    <n v="10"/>
    <x v="3"/>
    <x v="0"/>
  </r>
  <r>
    <s v="ORD3792"/>
    <x v="691"/>
    <x v="437"/>
    <s v="Sneha"/>
    <x v="1"/>
    <s v="Kolkata"/>
    <x v="0"/>
    <s v="Chair"/>
    <s v="Chair 18"/>
    <n v="8"/>
    <n v="25059"/>
    <n v="20"/>
    <x v="1"/>
    <x v="0"/>
  </r>
  <r>
    <s v="ORD3793"/>
    <x v="404"/>
    <x v="107"/>
    <s v="Vikas"/>
    <x v="3"/>
    <s v="Jaipur"/>
    <x v="2"/>
    <s v="Phone"/>
    <s v="Phone 4"/>
    <n v="1"/>
    <n v="736.89"/>
    <n v="0"/>
    <x v="1"/>
    <x v="1"/>
  </r>
  <r>
    <s v="ORD3794"/>
    <x v="292"/>
    <x v="602"/>
    <s v="Sneha"/>
    <x v="0"/>
    <s v="Bengaluru"/>
    <x v="0"/>
    <s v="Table"/>
    <s v="Table 4"/>
    <n v="4"/>
    <n v="18670.79"/>
    <n v="20"/>
    <x v="0"/>
    <x v="0"/>
  </r>
  <r>
    <s v="ORD3795"/>
    <x v="430"/>
    <x v="187"/>
    <s v="Arjun"/>
    <x v="4"/>
    <s v="Kolkata"/>
    <x v="2"/>
    <s v="Phone"/>
    <s v="Phone 29"/>
    <n v="6"/>
    <n v="14237.46"/>
    <n v="15"/>
    <x v="3"/>
    <x v="2"/>
  </r>
  <r>
    <s v="ORD3796"/>
    <x v="664"/>
    <x v="780"/>
    <s v="Vikas"/>
    <x v="3"/>
    <s v="Mumbai"/>
    <x v="1"/>
    <s v="Phone"/>
    <s v="Phone 7"/>
    <n v="5"/>
    <n v="6328.82"/>
    <n v="20"/>
    <x v="1"/>
    <x v="3"/>
  </r>
  <r>
    <s v="ORD3797"/>
    <x v="397"/>
    <x v="734"/>
    <s v="Sneha"/>
    <x v="0"/>
    <s v="Jaipur"/>
    <x v="0"/>
    <s v="Table"/>
    <s v="Table 21"/>
    <n v="4"/>
    <n v="9258.18"/>
    <n v="0"/>
    <x v="4"/>
    <x v="3"/>
  </r>
  <r>
    <s v="ORD3798"/>
    <x v="475"/>
    <x v="45"/>
    <s v="Neha"/>
    <x v="4"/>
    <s v="delhi "/>
    <x v="0"/>
    <s v="Chair"/>
    <s v="Chair 26"/>
    <n v="7"/>
    <n v="14838.7"/>
    <s v="10 %"/>
    <x v="3"/>
    <x v="3"/>
  </r>
  <r>
    <s v="ORD3799"/>
    <x v="368"/>
    <x v="195"/>
    <s v="Rahul "/>
    <x v="2"/>
    <s v="Kolkata"/>
    <x v="2"/>
    <s v="Phone"/>
    <s v="Phone 14"/>
    <n v="8"/>
    <n v="35524.339999999997"/>
    <n v="15"/>
    <x v="5"/>
    <x v="0"/>
  </r>
  <r>
    <s v="ORD3800"/>
    <x v="648"/>
    <x v="69"/>
    <s v="Amit"/>
    <x v="4"/>
    <s v="Kolkata"/>
    <x v="1"/>
    <s v="Laptop"/>
    <s v="Laptop 9"/>
    <n v="7"/>
    <n v="5485.57"/>
    <n v="20"/>
    <x v="3"/>
    <x v="2"/>
  </r>
  <r>
    <s v="ORD3801"/>
    <x v="285"/>
    <x v="368"/>
    <s v="Neha"/>
    <x v="0"/>
    <s v="delhi "/>
    <x v="1"/>
    <s v="Phone"/>
    <s v="Phone 2"/>
    <n v="6"/>
    <n v="10946.16"/>
    <n v="10"/>
    <x v="5"/>
    <x v="0"/>
  </r>
  <r>
    <s v="ORD3802"/>
    <x v="602"/>
    <x v="414"/>
    <s v="Rahul"/>
    <x v="1"/>
    <s v="Jaipur"/>
    <x v="3"/>
    <s v="Paper"/>
    <s v="Paper 21"/>
    <n v="2"/>
    <n v="1049.68"/>
    <n v="15"/>
    <x v="0"/>
    <x v="0"/>
  </r>
  <r>
    <s v="ORD3803"/>
    <x v="692"/>
    <x v="275"/>
    <s v="Sneha"/>
    <x v="1"/>
    <s v="Delhi"/>
    <x v="0"/>
    <s v="Chair"/>
    <s v="Chair 10"/>
    <n v="7"/>
    <n v="7180.95"/>
    <n v="5"/>
    <x v="0"/>
    <x v="0"/>
  </r>
  <r>
    <s v="ORD3804"/>
    <x v="631"/>
    <x v="833"/>
    <s v="Anjali"/>
    <x v="0"/>
    <s v="Pune"/>
    <x v="2"/>
    <s v="Phone"/>
    <s v="Phone 5"/>
    <n v="-8"/>
    <n v="34425.08"/>
    <n v="15"/>
    <x v="5"/>
    <x v="0"/>
  </r>
  <r>
    <s v="ORD3805"/>
    <x v="18"/>
    <x v="492"/>
    <s v="Riya"/>
    <x v="4"/>
    <s v="Mumbai"/>
    <x v="0"/>
    <s v="Chair"/>
    <s v="Chair 24"/>
    <n v="3"/>
    <n v="13727.92"/>
    <n v="20"/>
    <x v="0"/>
    <x v="0"/>
  </r>
  <r>
    <s v="ORD3806"/>
    <x v="482"/>
    <x v="223"/>
    <s v="Amit"/>
    <x v="0"/>
    <s v="Delhi"/>
    <x v="0"/>
    <s v="Chair"/>
    <s v="Chair 12"/>
    <n v="3"/>
    <n v="14910.46"/>
    <n v="20"/>
    <x v="5"/>
    <x v="3"/>
  </r>
  <r>
    <s v="ORD3807"/>
    <x v="501"/>
    <x v="42"/>
    <s v="Amit"/>
    <x v="0"/>
    <s v="delhi "/>
    <x v="1"/>
    <s v="Laptop"/>
    <s v="Laptop 5"/>
    <n v="1"/>
    <n v="2777.29"/>
    <n v="5"/>
    <x v="2"/>
    <x v="2"/>
  </r>
  <r>
    <s v="ORD3808"/>
    <x v="693"/>
    <x v="473"/>
    <s v="Rahul"/>
    <x v="3"/>
    <s v="Delhi"/>
    <x v="2"/>
    <s v="Phone"/>
    <s v="Phone 16"/>
    <n v="4"/>
    <n v="4614.59"/>
    <n v="20"/>
    <x v="5"/>
    <x v="3"/>
  </r>
  <r>
    <s v="ORD3809"/>
    <x v="199"/>
    <x v="61"/>
    <s v="Sneha "/>
    <x v="0"/>
    <s v="Jaipur"/>
    <x v="1"/>
    <s v="Phone"/>
    <s v="Phone 6"/>
    <n v="8"/>
    <n v="27433.39"/>
    <n v="20"/>
    <x v="1"/>
    <x v="3"/>
  </r>
  <r>
    <s v="ORD3810"/>
    <x v="694"/>
    <x v="758"/>
    <s v="Neha"/>
    <x v="2"/>
    <s v="Kolkata"/>
    <x v="1"/>
    <s v="Laptop"/>
    <s v="Laptop 6"/>
    <n v="3"/>
    <n v="8955.0300000000007"/>
    <n v="15"/>
    <x v="0"/>
    <x v="3"/>
  </r>
  <r>
    <s v="ORD3811"/>
    <x v="459"/>
    <x v="836"/>
    <s v="Anjali"/>
    <x v="2"/>
    <s v="delhi "/>
    <x v="0"/>
    <s v="Chair"/>
    <s v="Chair 5"/>
    <n v="7"/>
    <n v="19472.54"/>
    <n v="0"/>
    <x v="3"/>
    <x v="0"/>
  </r>
  <r>
    <s v="ORD3812"/>
    <x v="541"/>
    <x v="83"/>
    <s v="Arjun"/>
    <x v="4"/>
    <s v="Jaipur"/>
    <x v="1"/>
    <s v="Phone"/>
    <s v="Phone 5"/>
    <n v="5"/>
    <n v="22996.32"/>
    <n v="20"/>
    <x v="2"/>
    <x v="3"/>
  </r>
  <r>
    <s v="ORD3813"/>
    <x v="694"/>
    <x v="0"/>
    <s v="Vikas"/>
    <x v="0"/>
    <s v="Pune"/>
    <x v="1"/>
    <s v="Phone"/>
    <s v="Phone 21"/>
    <n v="7"/>
    <n v="2246.73"/>
    <n v="15"/>
    <x v="4"/>
    <x v="1"/>
  </r>
  <r>
    <s v="ORD3814"/>
    <x v="435"/>
    <x v="99"/>
    <s v="Vikas"/>
    <x v="4"/>
    <s v="Bengaluru"/>
    <x v="0"/>
    <s v="Chair"/>
    <s v="Chair 22"/>
    <n v="4"/>
    <n v="9023.27"/>
    <n v="15"/>
    <x v="5"/>
    <x v="1"/>
  </r>
  <r>
    <s v="ORD3815"/>
    <x v="65"/>
    <x v="659"/>
    <s v="Anjali"/>
    <x v="4"/>
    <s v="Pune"/>
    <x v="1"/>
    <s v="Phone"/>
    <s v="Phone 12"/>
    <n v="2"/>
    <n v="8366.91"/>
    <n v="15"/>
    <x v="1"/>
    <x v="2"/>
  </r>
  <r>
    <s v="ORD3816"/>
    <x v="43"/>
    <x v="756"/>
    <s v="Karan"/>
    <x v="0"/>
    <s v="Bengaluru"/>
    <x v="2"/>
    <s v="Phone"/>
    <s v="Phone 6"/>
    <n v="4"/>
    <n v="3775"/>
    <n v="0"/>
    <x v="2"/>
    <x v="3"/>
  </r>
  <r>
    <s v="ORD3817"/>
    <x v="636"/>
    <x v="837"/>
    <s v="Neha"/>
    <x v="1"/>
    <s v="Delhi"/>
    <x v="0"/>
    <s v="Chair"/>
    <s v="Chair 29"/>
    <n v="5"/>
    <n v="4983.16"/>
    <n v="10"/>
    <x v="0"/>
    <x v="0"/>
  </r>
  <r>
    <s v="ORD3818"/>
    <x v="615"/>
    <x v="447"/>
    <s v="Vikas"/>
    <x v="0"/>
    <s v="Bengaluru"/>
    <x v="0"/>
    <s v="Table"/>
    <s v="Table 12"/>
    <n v="9"/>
    <n v="7457.59"/>
    <n v="5"/>
    <x v="1"/>
    <x v="1"/>
  </r>
  <r>
    <s v="ORD3819"/>
    <x v="613"/>
    <x v="622"/>
    <s v="Arjun"/>
    <x v="4"/>
    <s v="Bengaluru"/>
    <x v="0"/>
    <s v="Table"/>
    <s v="Table 1"/>
    <n v="10"/>
    <n v="36728.04"/>
    <n v="15"/>
    <x v="1"/>
    <x v="1"/>
  </r>
  <r>
    <s v="ORD3820"/>
    <x v="308"/>
    <x v="150"/>
    <s v="Rahul"/>
    <x v="0"/>
    <s v="Jaipur"/>
    <x v="1"/>
    <s v="Laptop"/>
    <s v="Laptop 24"/>
    <n v="9"/>
    <n v="29300.3"/>
    <n v="5"/>
    <x v="5"/>
    <x v="1"/>
  </r>
  <r>
    <s v="ORD3821"/>
    <x v="515"/>
    <x v="568"/>
    <s v="Amit"/>
    <x v="4"/>
    <s v="Jaipur"/>
    <x v="0"/>
    <s v="Chair"/>
    <s v="Chair 17"/>
    <n v="6"/>
    <n v="10414.85"/>
    <n v="10"/>
    <x v="0"/>
    <x v="2"/>
  </r>
  <r>
    <s v="ORD3822"/>
    <x v="412"/>
    <x v="255"/>
    <s v="Amit"/>
    <x v="3"/>
    <s v="Bengaluru"/>
    <x v="3"/>
    <s v="Paper"/>
    <s v="Paper 12"/>
    <n v="10"/>
    <n v="32908.29"/>
    <n v="10"/>
    <x v="4"/>
    <x v="3"/>
  </r>
  <r>
    <s v="ORD3823"/>
    <x v="216"/>
    <x v="838"/>
    <s v="Neha "/>
    <x v="4"/>
    <s v="Jaipur"/>
    <x v="0"/>
    <s v="Chair"/>
    <s v="Chair 22"/>
    <n v="4"/>
    <n v="19581.11"/>
    <n v="5"/>
    <x v="4"/>
    <x v="0"/>
  </r>
  <r>
    <s v="ORD3824"/>
    <x v="196"/>
    <x v="839"/>
    <s v="Riya"/>
    <x v="2"/>
    <s v="delhi "/>
    <x v="0"/>
    <s v="Table"/>
    <s v="Table 29"/>
    <n v="7"/>
    <n v="30977.919999999998"/>
    <n v="15"/>
    <x v="3"/>
    <x v="2"/>
  </r>
  <r>
    <s v="ORD3825"/>
    <x v="43"/>
    <x v="136"/>
    <s v="Riya "/>
    <x v="4"/>
    <s v="Pune"/>
    <x v="0"/>
    <s v="Table"/>
    <s v="Table 28"/>
    <n v="10"/>
    <n v="44115.65"/>
    <n v="5"/>
    <x v="3"/>
    <x v="2"/>
  </r>
  <r>
    <s v="ORD3826"/>
    <x v="68"/>
    <x v="171"/>
    <s v="Karan"/>
    <x v="0"/>
    <s v="Mumbai"/>
    <x v="2"/>
    <s v="Phone"/>
    <s v="Phone 25"/>
    <n v="5"/>
    <n v="14297.41"/>
    <n v="10"/>
    <x v="1"/>
    <x v="0"/>
  </r>
  <r>
    <s v="ORD3829"/>
    <x v="143"/>
    <x v="14"/>
    <s v="Neha"/>
    <x v="4"/>
    <s v="Jaipur"/>
    <x v="0"/>
    <s v="Chair"/>
    <s v="Chair 5"/>
    <n v="9"/>
    <n v="2388.85"/>
    <n v="15"/>
    <x v="2"/>
    <x v="3"/>
  </r>
  <r>
    <s v="ORD3830"/>
    <x v="507"/>
    <x v="370"/>
    <s v="Anjali"/>
    <x v="1"/>
    <s v="Delhi"/>
    <x v="1"/>
    <s v="Laptop"/>
    <s v="Laptop 11"/>
    <n v="6"/>
    <n v="29018.09"/>
    <n v="10"/>
    <x v="5"/>
    <x v="1"/>
  </r>
  <r>
    <s v="ORD3831"/>
    <x v="148"/>
    <x v="146"/>
    <s v="Arjun"/>
    <x v="4"/>
    <s v="Jaipur"/>
    <x v="0"/>
    <s v="Table"/>
    <s v="Table 7"/>
    <n v="3"/>
    <n v="8632.69"/>
    <n v="20"/>
    <x v="5"/>
    <x v="2"/>
  </r>
  <r>
    <s v="ORD3832"/>
    <x v="19"/>
    <x v="765"/>
    <s v="Riya"/>
    <x v="4"/>
    <s v="Delhi"/>
    <x v="0"/>
    <s v="Table"/>
    <s v="Table 1"/>
    <n v="5"/>
    <n v="10245.27"/>
    <n v="20"/>
    <x v="3"/>
    <x v="0"/>
  </r>
  <r>
    <s v="ORD3833"/>
    <x v="581"/>
    <x v="764"/>
    <s v="Vikas"/>
    <x v="2"/>
    <s v="Kolkata"/>
    <x v="0"/>
    <s v="Chair"/>
    <s v="Chair 20"/>
    <n v="1"/>
    <n v="3361.89"/>
    <n v="15"/>
    <x v="0"/>
    <x v="0"/>
  </r>
  <r>
    <s v="ORD3834"/>
    <x v="500"/>
    <x v="113"/>
    <s v="Sneha"/>
    <x v="3"/>
    <s v="Delhi"/>
    <x v="2"/>
    <s v="Phone"/>
    <s v="Phone 1"/>
    <n v="2"/>
    <n v="9133.75"/>
    <n v="10"/>
    <x v="4"/>
    <x v="3"/>
  </r>
  <r>
    <s v="ORD3835"/>
    <x v="404"/>
    <x v="650"/>
    <s v="Amit"/>
    <x v="4"/>
    <s v="Pune"/>
    <x v="0"/>
    <s v="Table"/>
    <s v="Table 19"/>
    <n v="2"/>
    <n v="8489.7199999999993"/>
    <s v="10 %"/>
    <x v="4"/>
    <x v="1"/>
  </r>
  <r>
    <s v="ORD3836"/>
    <x v="105"/>
    <x v="214"/>
    <s v="Neha"/>
    <x v="4"/>
    <s v="Kolkata"/>
    <x v="2"/>
    <s v="Phone"/>
    <s v="Phone 24"/>
    <n v="2"/>
    <n v="6004.59"/>
    <n v="5"/>
    <x v="2"/>
    <x v="3"/>
  </r>
  <r>
    <s v="ORD3837"/>
    <x v="425"/>
    <x v="257"/>
    <s v="Karan "/>
    <x v="0"/>
    <s v="delhi "/>
    <x v="0"/>
    <s v="Table"/>
    <s v="Table 2"/>
    <n v="2"/>
    <n v="2664.24"/>
    <n v="20"/>
    <x v="3"/>
    <x v="2"/>
  </r>
  <r>
    <s v="ORD3838"/>
    <x v="268"/>
    <x v="469"/>
    <s v="Amit"/>
    <x v="3"/>
    <s v="Jaipur"/>
    <x v="1"/>
    <s v="Phone"/>
    <s v="Phone 14"/>
    <n v="5"/>
    <n v="9186.08"/>
    <n v="10"/>
    <x v="2"/>
    <x v="2"/>
  </r>
  <r>
    <s v="ORD3840"/>
    <x v="177"/>
    <x v="741"/>
    <s v="Riya"/>
    <x v="1"/>
    <s v="Mumbai"/>
    <x v="1"/>
    <s v="Laptop"/>
    <s v="Laptop 22"/>
    <n v="6"/>
    <n v="6698.6"/>
    <s v="10 %"/>
    <x v="1"/>
    <x v="3"/>
  </r>
  <r>
    <s v="ORD3841"/>
    <x v="178"/>
    <x v="685"/>
    <s v="Priya"/>
    <x v="2"/>
    <s v="delhi "/>
    <x v="0"/>
    <s v="Table"/>
    <s v="Table 3"/>
    <n v="2"/>
    <n v="8012.78"/>
    <n v="0"/>
    <x v="0"/>
    <x v="3"/>
  </r>
  <r>
    <s v="ORD3842"/>
    <x v="643"/>
    <x v="492"/>
    <s v="Anjali"/>
    <x v="3"/>
    <s v="Mumbai"/>
    <x v="2"/>
    <s v="Phone"/>
    <s v="Phone 20"/>
    <n v="10"/>
    <n v="30093.599999999999"/>
    <n v="0"/>
    <x v="5"/>
    <x v="0"/>
  </r>
  <r>
    <s v="ORD3843"/>
    <x v="244"/>
    <x v="744"/>
    <s v="Rahul"/>
    <x v="0"/>
    <s v="Pune"/>
    <x v="1"/>
    <s v="Phone"/>
    <s v="Phone 18"/>
    <n v="2"/>
    <n v="6422.47"/>
    <n v="20"/>
    <x v="5"/>
    <x v="0"/>
  </r>
  <r>
    <s v="ORD3844"/>
    <x v="556"/>
    <x v="840"/>
    <s v="Anjali"/>
    <x v="0"/>
    <s v="Pune"/>
    <x v="2"/>
    <s v="Phone"/>
    <s v="Phone 14"/>
    <n v="1"/>
    <n v="4043.13"/>
    <n v="5"/>
    <x v="5"/>
    <x v="1"/>
  </r>
  <r>
    <s v="ORD3845"/>
    <x v="315"/>
    <x v="655"/>
    <s v="Rahul"/>
    <x v="1"/>
    <s v="Bengaluru"/>
    <x v="0"/>
    <s v="Table"/>
    <s v="Table 4"/>
    <n v="10"/>
    <n v="15221.36"/>
    <s v="10 %"/>
    <x v="3"/>
    <x v="2"/>
  </r>
  <r>
    <s v="ORD3846"/>
    <x v="586"/>
    <x v="666"/>
    <s v="Karan"/>
    <x v="0"/>
    <s v="Delhi"/>
    <x v="3"/>
    <s v="Paper"/>
    <s v="Paper 18"/>
    <n v="3"/>
    <n v="690.75"/>
    <n v="10"/>
    <x v="1"/>
    <x v="1"/>
  </r>
  <r>
    <s v="ORD3847"/>
    <x v="98"/>
    <x v="225"/>
    <s v="Anjali"/>
    <x v="0"/>
    <s v="delhi "/>
    <x v="1"/>
    <s v="Phone"/>
    <s v="Phone 7"/>
    <n v="8"/>
    <n v="22343.5"/>
    <n v="20"/>
    <x v="2"/>
    <x v="1"/>
  </r>
  <r>
    <s v="ORD3848"/>
    <x v="469"/>
    <x v="464"/>
    <s v="Sneha"/>
    <x v="4"/>
    <s v="Pune"/>
    <x v="2"/>
    <s v="Phone"/>
    <s v="Phone 13"/>
    <n v="2"/>
    <n v="2393.5500000000002"/>
    <n v="20"/>
    <x v="1"/>
    <x v="3"/>
  </r>
  <r>
    <s v="ORD3850"/>
    <x v="523"/>
    <x v="208"/>
    <s v="Priya"/>
    <x v="4"/>
    <s v="Delhi"/>
    <x v="2"/>
    <s v="Phone"/>
    <s v="Phone 17"/>
    <n v="7"/>
    <n v="2198.23"/>
    <n v="15"/>
    <x v="1"/>
    <x v="3"/>
  </r>
  <r>
    <s v="ORD3851"/>
    <x v="470"/>
    <x v="170"/>
    <s v="Riya"/>
    <x v="3"/>
    <s v="Pune"/>
    <x v="0"/>
    <s v="Table"/>
    <s v="Table 29"/>
    <n v="2"/>
    <n v="315.93"/>
    <n v="10"/>
    <x v="2"/>
    <x v="0"/>
  </r>
  <r>
    <s v="ORD3853"/>
    <x v="397"/>
    <x v="317"/>
    <s v="Priya"/>
    <x v="1"/>
    <s v="delhi "/>
    <x v="0"/>
    <s v="Table"/>
    <s v="Table 26"/>
    <n v="9"/>
    <n v="39306.949999999997"/>
    <n v="5"/>
    <x v="2"/>
    <x v="3"/>
  </r>
  <r>
    <s v="ORD3854"/>
    <x v="513"/>
    <x v="446"/>
    <s v="Neha"/>
    <x v="1"/>
    <s v="Delhi"/>
    <x v="2"/>
    <s v="Phone"/>
    <s v="Phone 30"/>
    <n v="10"/>
    <n v="11373.56"/>
    <n v="20"/>
    <x v="5"/>
    <x v="0"/>
  </r>
  <r>
    <s v="ORD3855"/>
    <x v="26"/>
    <x v="488"/>
    <s v="Vikas"/>
    <x v="0"/>
    <s v="Delhi"/>
    <x v="3"/>
    <s v="Paper"/>
    <s v="Paper 19"/>
    <n v="6"/>
    <n v="6959.55"/>
    <n v="15"/>
    <x v="4"/>
    <x v="1"/>
  </r>
  <r>
    <s v="ORD3856"/>
    <x v="690"/>
    <x v="124"/>
    <s v="Amit "/>
    <x v="4"/>
    <s v="Bengaluru"/>
    <x v="1"/>
    <s v="Laptop"/>
    <s v="Laptop 20"/>
    <n v="1"/>
    <n v="161.22"/>
    <s v="10 %"/>
    <x v="3"/>
    <x v="0"/>
  </r>
  <r>
    <s v="ORD3857"/>
    <x v="143"/>
    <x v="492"/>
    <s v="Vikas"/>
    <x v="0"/>
    <s v="Pune"/>
    <x v="0"/>
    <s v="Table"/>
    <s v="Table 27"/>
    <n v="10"/>
    <n v="31466.81"/>
    <s v="10 %"/>
    <x v="4"/>
    <x v="3"/>
  </r>
  <r>
    <s v="ORD3858"/>
    <x v="533"/>
    <x v="668"/>
    <s v="Amit "/>
    <x v="1"/>
    <s v="Mumbai"/>
    <x v="1"/>
    <s v="Phone"/>
    <s v="Phone 24"/>
    <n v="7"/>
    <n v="12491.32"/>
    <n v="0"/>
    <x v="1"/>
    <x v="0"/>
  </r>
  <r>
    <s v="ORD3860"/>
    <x v="409"/>
    <x v="28"/>
    <s v="Karan"/>
    <x v="3"/>
    <s v="delhi "/>
    <x v="0"/>
    <s v="Table"/>
    <s v="Table 28"/>
    <n v="10"/>
    <n v="49111.47"/>
    <n v="0"/>
    <x v="4"/>
    <x v="3"/>
  </r>
  <r>
    <s v="ORD3861"/>
    <x v="199"/>
    <x v="788"/>
    <s v="Arjun"/>
    <x v="0"/>
    <s v="Kolkata"/>
    <x v="0"/>
    <s v="Table"/>
    <s v="Table 8"/>
    <n v="10"/>
    <n v="19264.07"/>
    <n v="15"/>
    <x v="1"/>
    <x v="3"/>
  </r>
  <r>
    <s v="ORD3862"/>
    <x v="217"/>
    <x v="94"/>
    <s v="Anjali"/>
    <x v="0"/>
    <s v="Mumbai"/>
    <x v="1"/>
    <s v="Phone"/>
    <s v="Phone 11"/>
    <n v="6"/>
    <n v="19845.02"/>
    <n v="0"/>
    <x v="5"/>
    <x v="0"/>
  </r>
  <r>
    <s v="ORD3864"/>
    <x v="501"/>
    <x v="466"/>
    <s v="Priya"/>
    <x v="1"/>
    <s v="Mumbai"/>
    <x v="2"/>
    <s v="Phone"/>
    <s v="Phone 2"/>
    <n v="3"/>
    <n v="385.17"/>
    <n v="5"/>
    <x v="4"/>
    <x v="3"/>
  </r>
  <r>
    <s v="ORD3865"/>
    <x v="492"/>
    <x v="86"/>
    <s v="Sneha"/>
    <x v="0"/>
    <s v="Delhi"/>
    <x v="2"/>
    <s v="Phone"/>
    <s v="Phone 26"/>
    <n v="7"/>
    <n v="25017.71"/>
    <s v="10 %"/>
    <x v="4"/>
    <x v="3"/>
  </r>
  <r>
    <s v="ORD3866"/>
    <x v="253"/>
    <x v="386"/>
    <s v="Amit"/>
    <x v="0"/>
    <s v="Kolkata"/>
    <x v="1"/>
    <s v="Phone"/>
    <s v="Phone 23"/>
    <n v="3"/>
    <n v="2383.91"/>
    <n v="5"/>
    <x v="1"/>
    <x v="0"/>
  </r>
  <r>
    <s v="ORD3867"/>
    <x v="80"/>
    <x v="808"/>
    <s v="Arjun"/>
    <x v="0"/>
    <s v="Jaipur"/>
    <x v="1"/>
    <s v="Laptop"/>
    <s v="Laptop 7"/>
    <n v="10"/>
    <n v="13994.99"/>
    <n v="20"/>
    <x v="0"/>
    <x v="3"/>
  </r>
  <r>
    <s v="ORD3868"/>
    <x v="400"/>
    <x v="540"/>
    <s v="Riya"/>
    <x v="4"/>
    <s v="Bengaluru"/>
    <x v="1"/>
    <s v="Laptop"/>
    <s v="Laptop 19"/>
    <n v="2"/>
    <n v="2842.89"/>
    <n v="20"/>
    <x v="3"/>
    <x v="2"/>
  </r>
  <r>
    <s v="ORD3869"/>
    <x v="421"/>
    <x v="40"/>
    <s v="Priya"/>
    <x v="0"/>
    <s v="Kolkata"/>
    <x v="1"/>
    <s v="Phone"/>
    <s v="Phone 12"/>
    <n v="5"/>
    <n v="13009.67"/>
    <s v="10 %"/>
    <x v="5"/>
    <x v="3"/>
  </r>
  <r>
    <s v="ORD3870"/>
    <x v="149"/>
    <x v="197"/>
    <s v="Karan"/>
    <x v="4"/>
    <s v="delhi "/>
    <x v="2"/>
    <s v="Phone"/>
    <s v="Phone 21"/>
    <n v="3"/>
    <n v="10997.75"/>
    <n v="15"/>
    <x v="5"/>
    <x v="0"/>
  </r>
  <r>
    <s v="ORD3871"/>
    <x v="444"/>
    <x v="670"/>
    <s v="Vikas"/>
    <x v="0"/>
    <s v="Bengaluru"/>
    <x v="2"/>
    <s v="Phone"/>
    <s v="Phone 14"/>
    <n v="6"/>
    <n v="26591.919999999998"/>
    <n v="5"/>
    <x v="0"/>
    <x v="3"/>
  </r>
  <r>
    <s v="ORD3872"/>
    <x v="149"/>
    <x v="217"/>
    <s v="Priya"/>
    <x v="0"/>
    <s v="Kolkata"/>
    <x v="2"/>
    <s v="Phone"/>
    <s v="Phone 25"/>
    <n v="5"/>
    <n v="566.58000000000004"/>
    <s v="10 %"/>
    <x v="0"/>
    <x v="3"/>
  </r>
  <r>
    <s v="ORD3873"/>
    <x v="367"/>
    <x v="507"/>
    <s v="Amit"/>
    <x v="4"/>
    <s v="delhi "/>
    <x v="0"/>
    <s v="Table"/>
    <s v="Table 19"/>
    <n v="3"/>
    <n v="6153.59"/>
    <s v="10 %"/>
    <x v="4"/>
    <x v="3"/>
  </r>
  <r>
    <s v="ORD3874"/>
    <x v="525"/>
    <x v="841"/>
    <s v="Karan"/>
    <x v="3"/>
    <s v="Bengaluru"/>
    <x v="1"/>
    <s v="Phone"/>
    <s v="Phone 16"/>
    <n v="3"/>
    <n v="3177.63"/>
    <n v="15"/>
    <x v="4"/>
    <x v="0"/>
  </r>
  <r>
    <s v="ORD3875"/>
    <x v="449"/>
    <x v="407"/>
    <s v="Vikas"/>
    <x v="0"/>
    <s v="Jaipur"/>
    <x v="0"/>
    <s v="Chair"/>
    <s v="Chair 20"/>
    <n v="3"/>
    <n v="9136.82"/>
    <n v="20"/>
    <x v="5"/>
    <x v="0"/>
  </r>
  <r>
    <s v="ORD3876"/>
    <x v="179"/>
    <x v="401"/>
    <s v="Karan"/>
    <x v="1"/>
    <s v="Delhi"/>
    <x v="0"/>
    <s v="Table"/>
    <s v="Table 22"/>
    <n v="2"/>
    <n v="5130.47"/>
    <n v="10"/>
    <x v="4"/>
    <x v="0"/>
  </r>
  <r>
    <s v="ORD3877"/>
    <x v="320"/>
    <x v="587"/>
    <s v="Priya"/>
    <x v="3"/>
    <s v="Delhi"/>
    <x v="2"/>
    <s v="Phone"/>
    <s v="Phone 20"/>
    <n v="9"/>
    <n v="5341.46"/>
    <n v="5"/>
    <x v="1"/>
    <x v="3"/>
  </r>
  <r>
    <s v="ORD3879"/>
    <x v="131"/>
    <x v="805"/>
    <s v="Vikas"/>
    <x v="0"/>
    <s v="delhi "/>
    <x v="2"/>
    <s v="Phone"/>
    <s v="Phone 20"/>
    <n v="6"/>
    <n v="26994.74"/>
    <n v="5"/>
    <x v="4"/>
    <x v="3"/>
  </r>
  <r>
    <s v="ORD3880"/>
    <x v="220"/>
    <x v="280"/>
    <s v="Priya"/>
    <x v="0"/>
    <s v="Delhi"/>
    <x v="2"/>
    <s v="Phone"/>
    <s v="Phone 18"/>
    <n v="10"/>
    <n v="3661.31"/>
    <n v="20"/>
    <x v="2"/>
    <x v="2"/>
  </r>
  <r>
    <s v="ORD3881"/>
    <x v="621"/>
    <x v="209"/>
    <s v="Arjun "/>
    <x v="4"/>
    <s v="Kolkata"/>
    <x v="0"/>
    <s v="Chair"/>
    <s v="Chair 5"/>
    <n v="10"/>
    <n v="17958.25"/>
    <n v="0"/>
    <x v="3"/>
    <x v="3"/>
  </r>
  <r>
    <s v="ORD3883"/>
    <x v="26"/>
    <x v="497"/>
    <s v="Priya "/>
    <x v="0"/>
    <s v="delhi "/>
    <x v="2"/>
    <s v="Phone"/>
    <s v="Phone 22"/>
    <n v="3"/>
    <n v="7493.96"/>
    <n v="10"/>
    <x v="5"/>
    <x v="3"/>
  </r>
  <r>
    <s v="ORD3884"/>
    <x v="109"/>
    <x v="842"/>
    <s v="Anjali"/>
    <x v="3"/>
    <s v="Bengaluru"/>
    <x v="0"/>
    <s v="Chair"/>
    <s v="Chair 6"/>
    <n v="7"/>
    <n v="12600.11"/>
    <n v="0"/>
    <x v="4"/>
    <x v="2"/>
  </r>
  <r>
    <s v="ORD3886"/>
    <x v="579"/>
    <x v="279"/>
    <s v="Rahul"/>
    <x v="0"/>
    <s v="Bengaluru"/>
    <x v="3"/>
    <s v="Paper"/>
    <s v="Paper 23"/>
    <n v="3"/>
    <n v="5294.15"/>
    <n v="10"/>
    <x v="5"/>
    <x v="2"/>
  </r>
  <r>
    <s v="ORD3887"/>
    <x v="329"/>
    <x v="843"/>
    <s v="Neha"/>
    <x v="3"/>
    <s v="Mumbai"/>
    <x v="0"/>
    <s v="Chair"/>
    <s v="Chair 5"/>
    <n v="1"/>
    <n v="145.29"/>
    <n v="15"/>
    <x v="2"/>
    <x v="2"/>
  </r>
  <r>
    <s v="ORD3888"/>
    <x v="110"/>
    <x v="16"/>
    <s v="Priya"/>
    <x v="3"/>
    <s v="Kolkata"/>
    <x v="3"/>
    <s v="Paper"/>
    <s v="Paper 5"/>
    <n v="7"/>
    <n v="18621.509999999998"/>
    <n v="5"/>
    <x v="5"/>
    <x v="2"/>
  </r>
  <r>
    <s v="ORD1442"/>
    <x v="580"/>
    <x v="648"/>
    <s v="Neha"/>
    <x v="0"/>
    <s v="Jaipur"/>
    <x v="0"/>
    <s v="Chair"/>
    <s v="Chair 3"/>
    <n v="5"/>
    <n v="8663.5400000000009"/>
    <n v="10"/>
    <x v="4"/>
    <x v="2"/>
  </r>
  <r>
    <s v="ORD3890"/>
    <x v="119"/>
    <x v="577"/>
    <s v="Riya"/>
    <x v="0"/>
    <s v="Kolkata"/>
    <x v="1"/>
    <s v="Laptop"/>
    <s v="Laptop 29"/>
    <n v="4"/>
    <n v="12142.02"/>
    <n v="10"/>
    <x v="3"/>
    <x v="0"/>
  </r>
  <r>
    <s v="ORD3891"/>
    <x v="43"/>
    <x v="504"/>
    <s v="Priya"/>
    <x v="4"/>
    <s v="Delhi"/>
    <x v="0"/>
    <s v="Chair"/>
    <s v="Chair 24"/>
    <n v="8"/>
    <n v="33271.980000000003"/>
    <s v="10 %"/>
    <x v="1"/>
    <x v="3"/>
  </r>
  <r>
    <s v="ORD3892"/>
    <x v="210"/>
    <x v="98"/>
    <s v="Rahul "/>
    <x v="2"/>
    <s v="Delhi"/>
    <x v="1"/>
    <s v="Laptop"/>
    <s v="Laptop 23"/>
    <n v="8"/>
    <n v="30926.7"/>
    <n v="0"/>
    <x v="0"/>
    <x v="3"/>
  </r>
  <r>
    <s v="ORD3893"/>
    <x v="516"/>
    <x v="794"/>
    <s v="Sneha"/>
    <x v="0"/>
    <s v="delhi "/>
    <x v="2"/>
    <s v="Phone"/>
    <s v="Phone 1"/>
    <n v="6"/>
    <n v="27247.25"/>
    <n v="0"/>
    <x v="3"/>
    <x v="2"/>
  </r>
  <r>
    <s v="ORD3894"/>
    <x v="262"/>
    <x v="370"/>
    <s v="Sneha"/>
    <x v="0"/>
    <s v="Delhi"/>
    <x v="0"/>
    <s v="Table"/>
    <s v="Table 19"/>
    <n v="1"/>
    <n v="2628.37"/>
    <n v="15"/>
    <x v="1"/>
    <x v="3"/>
  </r>
  <r>
    <s v="ORD3895"/>
    <x v="4"/>
    <x v="558"/>
    <s v="Rahul "/>
    <x v="0"/>
    <s v="Pune"/>
    <x v="1"/>
    <s v="Laptop"/>
    <s v="Laptop 1"/>
    <n v="10"/>
    <n v="49831.62"/>
    <s v="10 %"/>
    <x v="3"/>
    <x v="3"/>
  </r>
  <r>
    <s v="ORD3896"/>
    <x v="115"/>
    <x v="721"/>
    <s v="Rahul"/>
    <x v="4"/>
    <s v="Mumbai"/>
    <x v="0"/>
    <s v="Chair"/>
    <s v="Chair 10"/>
    <n v="1"/>
    <n v="3754.94"/>
    <n v="0"/>
    <x v="1"/>
    <x v="2"/>
  </r>
  <r>
    <s v="ORD1201"/>
    <x v="142"/>
    <x v="488"/>
    <s v="Karan"/>
    <x v="0"/>
    <s v="delhi "/>
    <x v="0"/>
    <s v="Table"/>
    <s v="Table 4"/>
    <n v="5"/>
    <n v="5731.39"/>
    <n v="20"/>
    <x v="3"/>
    <x v="3"/>
  </r>
  <r>
    <s v="ORD3898"/>
    <x v="206"/>
    <x v="774"/>
    <s v="Karan"/>
    <x v="0"/>
    <s v="Bengaluru"/>
    <x v="2"/>
    <s v="Phone"/>
    <s v="Phone 2"/>
    <n v="1"/>
    <n v="504.11"/>
    <n v="15"/>
    <x v="1"/>
    <x v="0"/>
  </r>
  <r>
    <s v="ORD3899"/>
    <x v="142"/>
    <x v="80"/>
    <s v="Sneha"/>
    <x v="1"/>
    <s v="Kolkata"/>
    <x v="2"/>
    <s v="Phone"/>
    <s v="Phone 6"/>
    <n v="10"/>
    <n v="4850.6000000000004"/>
    <n v="5"/>
    <x v="1"/>
    <x v="0"/>
  </r>
  <r>
    <s v="ORD3900"/>
    <x v="396"/>
    <x v="26"/>
    <s v="Vikas"/>
    <x v="4"/>
    <s v="Bengaluru"/>
    <x v="1"/>
    <s v="Laptop"/>
    <s v="Laptop 15"/>
    <n v="6"/>
    <n v="9992.01"/>
    <n v="5"/>
    <x v="2"/>
    <x v="0"/>
  </r>
  <r>
    <s v="ORD3901"/>
    <x v="417"/>
    <x v="814"/>
    <s v="Amit"/>
    <x v="0"/>
    <s v="Kolkata"/>
    <x v="1"/>
    <s v="Laptop"/>
    <s v="Laptop 16"/>
    <n v="1"/>
    <n v="984.9"/>
    <n v="15"/>
    <x v="4"/>
    <x v="2"/>
  </r>
  <r>
    <s v="ORD3902"/>
    <x v="610"/>
    <x v="501"/>
    <s v="Riya"/>
    <x v="0"/>
    <s v="Mumbai"/>
    <x v="1"/>
    <s v="Laptop"/>
    <s v="Laptop 9"/>
    <n v="7"/>
    <n v="20294.27"/>
    <n v="5"/>
    <x v="1"/>
    <x v="3"/>
  </r>
  <r>
    <s v="ORD3903"/>
    <x v="230"/>
    <x v="844"/>
    <s v="Neha"/>
    <x v="0"/>
    <s v="Bengaluru"/>
    <x v="3"/>
    <s v="Paper"/>
    <s v="Paper 19"/>
    <n v="1"/>
    <n v="3494.48"/>
    <n v="0"/>
    <x v="4"/>
    <x v="3"/>
  </r>
  <r>
    <s v="ORD3904"/>
    <x v="122"/>
    <x v="89"/>
    <s v="Rahul"/>
    <x v="1"/>
    <s v="Bengaluru"/>
    <x v="3"/>
    <s v="Paper"/>
    <s v="Paper 18"/>
    <n v="5"/>
    <n v="20302.09"/>
    <s v="10 %"/>
    <x v="5"/>
    <x v="3"/>
  </r>
  <r>
    <s v="ORD3906"/>
    <x v="549"/>
    <x v="92"/>
    <s v="Sneha"/>
    <x v="3"/>
    <s v="Bengaluru"/>
    <x v="0"/>
    <s v="Table"/>
    <s v="Table 13"/>
    <n v="2"/>
    <n v="8451.14"/>
    <n v="0"/>
    <x v="5"/>
    <x v="0"/>
  </r>
  <r>
    <s v="ORD3907"/>
    <x v="394"/>
    <x v="28"/>
    <s v="Rahul"/>
    <x v="0"/>
    <s v="Pune"/>
    <x v="2"/>
    <s v="Phone"/>
    <s v="Phone 15"/>
    <n v="8"/>
    <n v="29818.76"/>
    <n v="15"/>
    <x v="4"/>
    <x v="3"/>
  </r>
  <r>
    <s v="ORD3908"/>
    <x v="314"/>
    <x v="201"/>
    <s v="Rahul"/>
    <x v="0"/>
    <s v="Mumbai"/>
    <x v="1"/>
    <s v="Phone"/>
    <s v="Phone 28"/>
    <n v="1"/>
    <n v="4885.95"/>
    <n v="5"/>
    <x v="5"/>
    <x v="2"/>
  </r>
  <r>
    <s v="ORD3909"/>
    <x v="40"/>
    <x v="811"/>
    <s v="Anjali"/>
    <x v="0"/>
    <s v="Jaipur"/>
    <x v="3"/>
    <s v="Paper"/>
    <s v="Paper 10"/>
    <n v="9"/>
    <n v="13023.09"/>
    <n v="5"/>
    <x v="4"/>
    <x v="0"/>
  </r>
  <r>
    <s v="ORD3910"/>
    <x v="103"/>
    <x v="527"/>
    <s v="Karan"/>
    <x v="2"/>
    <s v="Delhi"/>
    <x v="2"/>
    <s v="Phone"/>
    <s v="Phone 3"/>
    <n v="9"/>
    <n v="1699.22"/>
    <n v="20"/>
    <x v="0"/>
    <x v="3"/>
  </r>
  <r>
    <s v="ORD3913"/>
    <x v="379"/>
    <x v="695"/>
    <s v="Priya"/>
    <x v="0"/>
    <s v="Mumbai"/>
    <x v="0"/>
    <s v="Chair"/>
    <s v="Chair 26"/>
    <n v="9"/>
    <n v="44383.82"/>
    <n v="20"/>
    <x v="3"/>
    <x v="0"/>
  </r>
  <r>
    <s v="ORD3914"/>
    <x v="86"/>
    <x v="628"/>
    <s v="Karan "/>
    <x v="0"/>
    <s v="Pune"/>
    <x v="2"/>
    <s v="Phone"/>
    <s v="Phone 13"/>
    <n v="9"/>
    <n v="15935.85"/>
    <n v="10"/>
    <x v="2"/>
    <x v="0"/>
  </r>
  <r>
    <s v="ORD3915"/>
    <x v="536"/>
    <x v="57"/>
    <s v="Riya"/>
    <x v="3"/>
    <s v="delhi "/>
    <x v="3"/>
    <s v="Paper"/>
    <s v="Paper 3"/>
    <n v="8"/>
    <n v="35119.019999999997"/>
    <n v="0"/>
    <x v="5"/>
    <x v="0"/>
  </r>
  <r>
    <s v="ORD3916"/>
    <x v="171"/>
    <x v="232"/>
    <s v="Arjun"/>
    <x v="0"/>
    <s v="Kolkata"/>
    <x v="0"/>
    <s v="Table"/>
    <s v="Table 15"/>
    <n v="6"/>
    <n v="1055.1300000000001"/>
    <n v="15"/>
    <x v="5"/>
    <x v="3"/>
  </r>
  <r>
    <s v="ORD3917"/>
    <x v="648"/>
    <x v="304"/>
    <s v="Arjun"/>
    <x v="1"/>
    <s v="Jaipur"/>
    <x v="1"/>
    <s v="Phone"/>
    <s v="Phone 20"/>
    <n v="1"/>
    <n v="3683.51"/>
    <n v="20"/>
    <x v="5"/>
    <x v="3"/>
  </r>
  <r>
    <s v="ORD3918"/>
    <x v="332"/>
    <x v="36"/>
    <s v="Amit"/>
    <x v="1"/>
    <s v="Mumbai"/>
    <x v="0"/>
    <s v="Chair"/>
    <s v="Chair 27"/>
    <n v="4"/>
    <n v="13491.92"/>
    <n v="20"/>
    <x v="5"/>
    <x v="0"/>
  </r>
  <r>
    <s v="ORD3919"/>
    <x v="391"/>
    <x v="297"/>
    <s v="Anjali"/>
    <x v="4"/>
    <s v="Delhi"/>
    <x v="1"/>
    <s v="Phone"/>
    <s v="Phone 16"/>
    <n v="3"/>
    <n v="6721.1"/>
    <n v="5"/>
    <x v="0"/>
    <x v="3"/>
  </r>
  <r>
    <s v="ORD3920"/>
    <x v="13"/>
    <x v="757"/>
    <s v="Amit"/>
    <x v="0"/>
    <s v="Pune"/>
    <x v="2"/>
    <s v="Phone"/>
    <s v="Phone 14"/>
    <n v="5"/>
    <n v="23867.37"/>
    <n v="5"/>
    <x v="2"/>
    <x v="2"/>
  </r>
  <r>
    <s v="ORD3921"/>
    <x v="94"/>
    <x v="43"/>
    <s v="Priya"/>
    <x v="4"/>
    <s v="Pune"/>
    <x v="0"/>
    <s v="Table"/>
    <s v="Table 9"/>
    <n v="3"/>
    <n v="6504.45"/>
    <s v="10 %"/>
    <x v="1"/>
    <x v="2"/>
  </r>
  <r>
    <s v="ORD3922"/>
    <x v="604"/>
    <x v="778"/>
    <s v="Priya"/>
    <x v="0"/>
    <s v="Bengaluru"/>
    <x v="0"/>
    <s v="Chair"/>
    <s v="Chair 19"/>
    <n v="3"/>
    <n v="961.04"/>
    <n v="10"/>
    <x v="3"/>
    <x v="0"/>
  </r>
  <r>
    <s v="ORD3923"/>
    <x v="682"/>
    <x v="74"/>
    <s v="Priya"/>
    <x v="0"/>
    <s v="Kolkata"/>
    <x v="3"/>
    <s v="Paper"/>
    <s v="Paper 17"/>
    <n v="2"/>
    <n v="9152.0499999999993"/>
    <n v="15"/>
    <x v="1"/>
    <x v="3"/>
  </r>
  <r>
    <s v="ORD3924"/>
    <x v="502"/>
    <x v="107"/>
    <s v="Sneha"/>
    <x v="2"/>
    <s v="delhi "/>
    <x v="3"/>
    <s v="Paper"/>
    <s v="Paper 24"/>
    <n v="8"/>
    <n v="15081.88"/>
    <n v="5"/>
    <x v="4"/>
    <x v="3"/>
  </r>
  <r>
    <s v="ORD3925"/>
    <x v="150"/>
    <x v="724"/>
    <s v="Vikas"/>
    <x v="2"/>
    <s v="Jaipur"/>
    <x v="0"/>
    <s v="Chair"/>
    <s v="Chair 26"/>
    <n v="9"/>
    <n v="1264.9100000000001"/>
    <s v="10 %"/>
    <x v="0"/>
    <x v="3"/>
  </r>
  <r>
    <s v="ORD3926"/>
    <x v="111"/>
    <x v="648"/>
    <s v="Vikas"/>
    <x v="4"/>
    <s v="Bengaluru"/>
    <x v="1"/>
    <s v="Phone"/>
    <s v="Phone 2"/>
    <n v="4"/>
    <n v="10600.44"/>
    <n v="10"/>
    <x v="1"/>
    <x v="0"/>
  </r>
  <r>
    <s v="ORD3927"/>
    <x v="369"/>
    <x v="47"/>
    <s v="Sneha"/>
    <x v="3"/>
    <s v="Pune"/>
    <x v="0"/>
    <s v="Chair"/>
    <s v="Chair 16"/>
    <n v="6"/>
    <n v="7727.8"/>
    <n v="5"/>
    <x v="1"/>
    <x v="2"/>
  </r>
  <r>
    <s v="ORD3928"/>
    <x v="695"/>
    <x v="674"/>
    <s v="Vikas"/>
    <x v="0"/>
    <s v="Jaipur"/>
    <x v="1"/>
    <s v="Laptop"/>
    <s v="Laptop 14"/>
    <n v="1"/>
    <n v="3858.95"/>
    <n v="10"/>
    <x v="5"/>
    <x v="3"/>
  </r>
  <r>
    <s v="ORD3929"/>
    <x v="45"/>
    <x v="598"/>
    <s v="Karan"/>
    <x v="4"/>
    <s v="delhi "/>
    <x v="1"/>
    <s v="Phone"/>
    <s v="Phone 12"/>
    <n v="7"/>
    <n v="5733.09"/>
    <n v="10"/>
    <x v="5"/>
    <x v="3"/>
  </r>
  <r>
    <s v="ORD3930"/>
    <x v="50"/>
    <x v="845"/>
    <s v="Sneha"/>
    <x v="1"/>
    <s v="Kolkata"/>
    <x v="3"/>
    <s v="Paper"/>
    <s v="Paper 28"/>
    <n v="10"/>
    <n v="12043.89"/>
    <n v="0"/>
    <x v="0"/>
    <x v="1"/>
  </r>
  <r>
    <s v="ORD3931"/>
    <x v="5"/>
    <x v="846"/>
    <s v="Karan "/>
    <x v="4"/>
    <s v="delhi "/>
    <x v="0"/>
    <s v="Table"/>
    <s v="Table 19"/>
    <n v="8"/>
    <n v="7597.6"/>
    <n v="10"/>
    <x v="5"/>
    <x v="3"/>
  </r>
  <r>
    <s v="ORD3933"/>
    <x v="398"/>
    <x v="699"/>
    <s v="Karan"/>
    <x v="0"/>
    <s v="Delhi"/>
    <x v="0"/>
    <s v="Chair"/>
    <s v="Chair 21"/>
    <n v="9"/>
    <n v="42456.23"/>
    <n v="20"/>
    <x v="0"/>
    <x v="3"/>
  </r>
  <r>
    <s v="ORD3934"/>
    <x v="102"/>
    <x v="622"/>
    <s v="Rahul "/>
    <x v="3"/>
    <s v="Kolkata"/>
    <x v="2"/>
    <s v="Phone"/>
    <s v="Phone 17"/>
    <n v="9"/>
    <n v="35398.080000000002"/>
    <n v="15"/>
    <x v="1"/>
    <x v="3"/>
  </r>
  <r>
    <s v="ORD3935"/>
    <x v="245"/>
    <x v="687"/>
    <s v="Arjun"/>
    <x v="1"/>
    <s v="Kolkata"/>
    <x v="1"/>
    <s v="Phone"/>
    <s v="Phone 17"/>
    <n v="-10"/>
    <n v="4382.34"/>
    <n v="15"/>
    <x v="2"/>
    <x v="1"/>
  </r>
  <r>
    <s v="ORD3936"/>
    <x v="564"/>
    <x v="82"/>
    <s v="Arjun"/>
    <x v="3"/>
    <s v="delhi "/>
    <x v="1"/>
    <s v="Laptop"/>
    <s v="Laptop 9"/>
    <n v="2"/>
    <n v="7087.29"/>
    <n v="0"/>
    <x v="3"/>
    <x v="0"/>
  </r>
  <r>
    <s v="ORD3937"/>
    <x v="101"/>
    <x v="31"/>
    <s v="Amit"/>
    <x v="2"/>
    <s v="Pune"/>
    <x v="3"/>
    <s v="Paper"/>
    <s v="Paper 27"/>
    <n v="4"/>
    <n v="1339.5"/>
    <n v="10"/>
    <x v="3"/>
    <x v="3"/>
  </r>
  <r>
    <s v="ORD3938"/>
    <x v="663"/>
    <x v="100"/>
    <s v="Amit"/>
    <x v="3"/>
    <s v="Delhi"/>
    <x v="0"/>
    <s v="Chair"/>
    <s v="Chair 24"/>
    <n v="9"/>
    <n v="27135.45"/>
    <n v="15"/>
    <x v="3"/>
    <x v="3"/>
  </r>
  <r>
    <s v="ORD3939"/>
    <x v="320"/>
    <x v="529"/>
    <s v="Riya"/>
    <x v="1"/>
    <s v="Jaipur"/>
    <x v="1"/>
    <s v="Laptop"/>
    <s v="Laptop 2"/>
    <n v="9"/>
    <n v="43057.05"/>
    <s v="10 %"/>
    <x v="2"/>
    <x v="0"/>
  </r>
  <r>
    <s v="ORD3942"/>
    <x v="696"/>
    <x v="661"/>
    <s v="Priya"/>
    <x v="3"/>
    <s v="Jaipur"/>
    <x v="2"/>
    <s v="Phone"/>
    <s v="Phone 1"/>
    <n v="8"/>
    <n v="37685.1"/>
    <n v="10"/>
    <x v="1"/>
    <x v="3"/>
  </r>
  <r>
    <s v="ORD3943"/>
    <x v="162"/>
    <x v="847"/>
    <s v="Priya"/>
    <x v="3"/>
    <s v="Delhi"/>
    <x v="3"/>
    <s v="Paper"/>
    <s v="Paper 9"/>
    <n v="7"/>
    <n v="31563.040000000001"/>
    <n v="5"/>
    <x v="5"/>
    <x v="2"/>
  </r>
  <r>
    <s v="ORD3944"/>
    <x v="126"/>
    <x v="63"/>
    <s v="Karan"/>
    <x v="1"/>
    <s v="Mumbai"/>
    <x v="2"/>
    <s v="Phone"/>
    <s v="Phone 17"/>
    <n v="4"/>
    <n v="16686.87"/>
    <n v="15"/>
    <x v="2"/>
    <x v="0"/>
  </r>
  <r>
    <s v="ORD3945"/>
    <x v="158"/>
    <x v="188"/>
    <s v="Amit"/>
    <x v="0"/>
    <s v="Bengaluru"/>
    <x v="3"/>
    <s v="Paper"/>
    <s v="Paper 26"/>
    <n v="3"/>
    <n v="2440.71"/>
    <s v="10 %"/>
    <x v="2"/>
    <x v="0"/>
  </r>
  <r>
    <s v="ORD3946"/>
    <x v="674"/>
    <x v="848"/>
    <s v="Sneha "/>
    <x v="1"/>
    <s v="Pune"/>
    <x v="2"/>
    <s v="Phone"/>
    <s v="Phone 6"/>
    <n v="7"/>
    <n v="19582.57"/>
    <n v="10"/>
    <x v="5"/>
    <x v="3"/>
  </r>
  <r>
    <s v="ORD3947"/>
    <x v="450"/>
    <x v="487"/>
    <s v="Vikas"/>
    <x v="4"/>
    <s v="Pune"/>
    <x v="2"/>
    <s v="Phone"/>
    <s v="Phone 14"/>
    <n v="6"/>
    <n v="1428.2"/>
    <n v="10"/>
    <x v="0"/>
    <x v="2"/>
  </r>
  <r>
    <s v="ORD3948"/>
    <x v="26"/>
    <x v="52"/>
    <s v="Karan"/>
    <x v="1"/>
    <s v="Jaipur"/>
    <x v="1"/>
    <s v="Laptop"/>
    <s v="Laptop 17"/>
    <n v="8"/>
    <n v="21813.47"/>
    <s v="10 %"/>
    <x v="1"/>
    <x v="1"/>
  </r>
  <r>
    <s v="ORD3950"/>
    <x v="34"/>
    <x v="849"/>
    <s v="Priya"/>
    <x v="4"/>
    <s v="Kolkata"/>
    <x v="0"/>
    <s v="Table"/>
    <s v="Table 10"/>
    <n v="1"/>
    <n v="3041.8"/>
    <s v="10 %"/>
    <x v="2"/>
    <x v="3"/>
  </r>
  <r>
    <s v="ORD3951"/>
    <x v="336"/>
    <x v="377"/>
    <s v="Arjun"/>
    <x v="4"/>
    <s v="delhi "/>
    <x v="3"/>
    <s v="Paper"/>
    <s v="Paper 21"/>
    <n v="1"/>
    <n v="200.52"/>
    <n v="5"/>
    <x v="0"/>
    <x v="0"/>
  </r>
  <r>
    <s v="ORD3953"/>
    <x v="244"/>
    <x v="227"/>
    <s v="Karan"/>
    <x v="2"/>
    <s v="Delhi"/>
    <x v="3"/>
    <s v="Paper"/>
    <s v="Paper 20"/>
    <n v="8"/>
    <n v="34031.22"/>
    <n v="15"/>
    <x v="5"/>
    <x v="3"/>
  </r>
  <r>
    <s v="ORD3954"/>
    <x v="405"/>
    <x v="648"/>
    <s v="Neha"/>
    <x v="0"/>
    <s v="Delhi"/>
    <x v="1"/>
    <s v="Laptop"/>
    <s v="Laptop 18"/>
    <n v="8"/>
    <n v="24649.81"/>
    <n v="15"/>
    <x v="3"/>
    <x v="3"/>
  </r>
  <r>
    <s v="ORD3955"/>
    <x v="7"/>
    <x v="50"/>
    <s v="Amit"/>
    <x v="0"/>
    <s v="Mumbai"/>
    <x v="0"/>
    <s v="Table"/>
    <s v="Table 12"/>
    <n v="9"/>
    <n v="25142.12"/>
    <n v="10"/>
    <x v="3"/>
    <x v="0"/>
  </r>
  <r>
    <s v="ORD3956"/>
    <x v="69"/>
    <x v="493"/>
    <s v="Anjali"/>
    <x v="3"/>
    <s v="Mumbai"/>
    <x v="0"/>
    <s v="Chair"/>
    <s v="Chair 13"/>
    <n v="2"/>
    <n v="4623.5600000000004"/>
    <n v="10"/>
    <x v="5"/>
    <x v="0"/>
  </r>
  <r>
    <s v="ORD3957"/>
    <x v="256"/>
    <x v="20"/>
    <s v="Neha"/>
    <x v="4"/>
    <s v="Pune"/>
    <x v="0"/>
    <s v="Table"/>
    <s v="Table 20"/>
    <n v="1"/>
    <n v="1737.02"/>
    <n v="15"/>
    <x v="3"/>
    <x v="0"/>
  </r>
  <r>
    <s v="ORD3958"/>
    <x v="483"/>
    <x v="63"/>
    <s v="Vikas "/>
    <x v="0"/>
    <s v="Mumbai"/>
    <x v="3"/>
    <s v="Paper"/>
    <s v="Paper 28"/>
    <n v="3"/>
    <n v="4107.51"/>
    <n v="10"/>
    <x v="0"/>
    <x v="0"/>
  </r>
  <r>
    <s v="ORD3959"/>
    <x v="389"/>
    <x v="508"/>
    <s v="Vikas"/>
    <x v="4"/>
    <s v="Bengaluru"/>
    <x v="1"/>
    <s v="Phone"/>
    <s v="Phone 23"/>
    <n v="4"/>
    <n v="14994.89"/>
    <n v="20"/>
    <x v="3"/>
    <x v="0"/>
  </r>
  <r>
    <s v="ORD3960"/>
    <x v="684"/>
    <x v="600"/>
    <s v="Anjali"/>
    <x v="1"/>
    <s v="delhi "/>
    <x v="1"/>
    <s v="Laptop"/>
    <s v="Laptop 12"/>
    <n v="3"/>
    <n v="14164.13"/>
    <s v="10 %"/>
    <x v="0"/>
    <x v="3"/>
  </r>
  <r>
    <s v="ORD3961"/>
    <x v="124"/>
    <x v="683"/>
    <s v="Anjali"/>
    <x v="1"/>
    <s v="Delhi"/>
    <x v="2"/>
    <s v="Phone"/>
    <s v="Phone 28"/>
    <n v="8"/>
    <n v="31805.279999999999"/>
    <n v="15"/>
    <x v="4"/>
    <x v="1"/>
  </r>
  <r>
    <s v="ORD3962"/>
    <x v="401"/>
    <x v="591"/>
    <s v="Sneha"/>
    <x v="1"/>
    <s v="Delhi"/>
    <x v="2"/>
    <s v="Phone"/>
    <s v="Phone 13"/>
    <n v="5"/>
    <n v="3194.97"/>
    <n v="15"/>
    <x v="5"/>
    <x v="1"/>
  </r>
  <r>
    <s v="ORD3963"/>
    <x v="257"/>
    <x v="450"/>
    <s v="Amit"/>
    <x v="0"/>
    <s v="Delhi"/>
    <x v="2"/>
    <s v="Phone"/>
    <s v="Phone 1"/>
    <n v="1"/>
    <n v="380.02"/>
    <n v="20"/>
    <x v="5"/>
    <x v="0"/>
  </r>
  <r>
    <s v="ORD3964"/>
    <x v="684"/>
    <x v="418"/>
    <s v="Priya"/>
    <x v="3"/>
    <s v="Jaipur"/>
    <x v="2"/>
    <s v="Phone"/>
    <s v="Phone 15"/>
    <n v="9"/>
    <n v="23580.52"/>
    <n v="10"/>
    <x v="4"/>
    <x v="3"/>
  </r>
  <r>
    <s v="ORD3965"/>
    <x v="466"/>
    <x v="388"/>
    <s v="Neha"/>
    <x v="3"/>
    <s v="Bengaluru"/>
    <x v="0"/>
    <s v="Chair"/>
    <s v="Chair 13"/>
    <n v="6"/>
    <n v="13662.24"/>
    <s v="10 %"/>
    <x v="4"/>
    <x v="0"/>
  </r>
  <r>
    <s v="ORD3966"/>
    <x v="697"/>
    <x v="295"/>
    <s v="Arjun"/>
    <x v="3"/>
    <s v="delhi "/>
    <x v="0"/>
    <s v="Chair"/>
    <s v="Chair 7"/>
    <n v="1"/>
    <n v="3354.28"/>
    <n v="0"/>
    <x v="2"/>
    <x v="0"/>
  </r>
  <r>
    <s v="ORD3967"/>
    <x v="525"/>
    <x v="850"/>
    <s v="Rahul"/>
    <x v="0"/>
    <s v="Mumbai"/>
    <x v="1"/>
    <s v="Laptop"/>
    <s v="Laptop 3"/>
    <n v="8"/>
    <n v="38104.29"/>
    <n v="10"/>
    <x v="0"/>
    <x v="0"/>
  </r>
  <r>
    <s v="ORD3968"/>
    <x v="304"/>
    <x v="12"/>
    <s v="Rahul"/>
    <x v="1"/>
    <s v="delhi "/>
    <x v="1"/>
    <s v="Phone"/>
    <s v="Phone 18"/>
    <n v="9"/>
    <n v="15200.95"/>
    <s v="10 %"/>
    <x v="0"/>
    <x v="3"/>
  </r>
  <r>
    <s v="ORD3969"/>
    <x v="446"/>
    <x v="814"/>
    <s v="Vikas"/>
    <x v="2"/>
    <s v="Delhi"/>
    <x v="3"/>
    <s v="Paper"/>
    <s v="Paper 12"/>
    <n v="1"/>
    <n v="889.69"/>
    <n v="10"/>
    <x v="5"/>
    <x v="3"/>
  </r>
  <r>
    <s v="ORD3970"/>
    <x v="259"/>
    <x v="787"/>
    <s v="Priya"/>
    <x v="0"/>
    <s v="delhi "/>
    <x v="0"/>
    <s v="Table"/>
    <s v="Table 22"/>
    <n v="5"/>
    <n v="5651.65"/>
    <n v="10"/>
    <x v="5"/>
    <x v="0"/>
  </r>
  <r>
    <s v="ORD3971"/>
    <x v="282"/>
    <x v="219"/>
    <s v="Sneha"/>
    <x v="2"/>
    <s v="delhi "/>
    <x v="2"/>
    <s v="Phone"/>
    <s v="Phone 16"/>
    <n v="8"/>
    <n v="15885.25"/>
    <n v="20"/>
    <x v="2"/>
    <x v="3"/>
  </r>
  <r>
    <s v="ORD3972"/>
    <x v="601"/>
    <x v="773"/>
    <s v="Anjali"/>
    <x v="0"/>
    <s v="Jaipur"/>
    <x v="1"/>
    <s v="Phone"/>
    <s v="Phone 4"/>
    <n v="3"/>
    <n v="321.87"/>
    <s v="10 %"/>
    <x v="2"/>
    <x v="1"/>
  </r>
  <r>
    <s v="ORD3973"/>
    <x v="369"/>
    <x v="227"/>
    <s v="Priya"/>
    <x v="2"/>
    <s v="delhi "/>
    <x v="0"/>
    <s v="Chair"/>
    <s v="Chair 12"/>
    <n v="1"/>
    <n v="4709.71"/>
    <n v="10"/>
    <x v="4"/>
    <x v="0"/>
  </r>
  <r>
    <s v="ORD1365"/>
    <x v="669"/>
    <x v="133"/>
    <s v="Riya"/>
    <x v="0"/>
    <s v="Kolkata"/>
    <x v="1"/>
    <s v="Phone"/>
    <s v="Phone 1"/>
    <n v="3"/>
    <n v="7770.51"/>
    <n v="20"/>
    <x v="4"/>
    <x v="3"/>
  </r>
  <r>
    <s v="ORD3975"/>
    <x v="7"/>
    <x v="616"/>
    <s v="Amit"/>
    <x v="2"/>
    <s v="delhi "/>
    <x v="3"/>
    <s v="Paper"/>
    <s v="Paper 24"/>
    <n v="9"/>
    <n v="17214.310000000001"/>
    <s v="10 %"/>
    <x v="3"/>
    <x v="0"/>
  </r>
  <r>
    <s v="ORD3976"/>
    <x v="340"/>
    <x v="227"/>
    <s v="Sneha"/>
    <x v="0"/>
    <s v="Bengaluru"/>
    <x v="1"/>
    <s v="Laptop"/>
    <s v="Laptop 15"/>
    <n v="6"/>
    <n v="10140.719999999999"/>
    <n v="20"/>
    <x v="1"/>
    <x v="0"/>
  </r>
  <r>
    <s v="ORD3977"/>
    <x v="11"/>
    <x v="667"/>
    <s v="Karan"/>
    <x v="0"/>
    <s v="Bengaluru"/>
    <x v="1"/>
    <s v="Laptop"/>
    <s v="Laptop 6"/>
    <n v="3"/>
    <n v="1744.2"/>
    <n v="20"/>
    <x v="3"/>
    <x v="3"/>
  </r>
  <r>
    <s v="ORD3978"/>
    <x v="281"/>
    <x v="444"/>
    <s v="Arjun"/>
    <x v="3"/>
    <s v="Mumbai"/>
    <x v="1"/>
    <s v="Laptop"/>
    <s v="Laptop 30"/>
    <n v="8"/>
    <n v="8896.66"/>
    <n v="5"/>
    <x v="2"/>
    <x v="0"/>
  </r>
  <r>
    <s v="ORD3979"/>
    <x v="651"/>
    <x v="97"/>
    <s v="Sneha"/>
    <x v="0"/>
    <s v="delhi "/>
    <x v="1"/>
    <s v="Laptop"/>
    <s v="Laptop 16"/>
    <n v="10"/>
    <n v="20929.89"/>
    <n v="5"/>
    <x v="2"/>
    <x v="0"/>
  </r>
  <r>
    <s v="ORD3980"/>
    <x v="347"/>
    <x v="793"/>
    <s v="Priya"/>
    <x v="2"/>
    <s v="Delhi"/>
    <x v="0"/>
    <s v="Chair"/>
    <s v="Chair 12"/>
    <n v="2"/>
    <n v="8809.15"/>
    <n v="0"/>
    <x v="4"/>
    <x v="2"/>
  </r>
  <r>
    <s v="ORD3981"/>
    <x v="698"/>
    <x v="323"/>
    <s v="Amit"/>
    <x v="3"/>
    <s v="Kolkata"/>
    <x v="0"/>
    <s v="Table"/>
    <s v="Table 17"/>
    <n v="3"/>
    <n v="7354.58"/>
    <s v="10 %"/>
    <x v="1"/>
    <x v="0"/>
  </r>
  <r>
    <s v="ORD3982"/>
    <x v="39"/>
    <x v="391"/>
    <s v="Karan"/>
    <x v="0"/>
    <s v="Bengaluru"/>
    <x v="0"/>
    <s v="Table"/>
    <s v="Table 26"/>
    <n v="9"/>
    <n v="22811.39"/>
    <n v="0"/>
    <x v="1"/>
    <x v="1"/>
  </r>
  <r>
    <s v="ORD3983"/>
    <x v="63"/>
    <x v="295"/>
    <s v="Vikas"/>
    <x v="2"/>
    <s v="delhi "/>
    <x v="3"/>
    <s v="Paper"/>
    <s v="Paper 30"/>
    <n v="4"/>
    <n v="1766.44"/>
    <n v="5"/>
    <x v="1"/>
    <x v="3"/>
  </r>
  <r>
    <s v="ORD3984"/>
    <x v="340"/>
    <x v="728"/>
    <s v="Amit"/>
    <x v="3"/>
    <s v="Bengaluru"/>
    <x v="2"/>
    <s v="Phone"/>
    <s v="Phone 25"/>
    <n v="2"/>
    <n v="3492.76"/>
    <n v="20"/>
    <x v="2"/>
    <x v="0"/>
  </r>
  <r>
    <s v="ORD3985"/>
    <x v="349"/>
    <x v="632"/>
    <s v="Sneha"/>
    <x v="0"/>
    <s v="Mumbai"/>
    <x v="1"/>
    <s v="Phone"/>
    <s v="Phone 4"/>
    <n v="8"/>
    <n v="1368.64"/>
    <n v="20"/>
    <x v="5"/>
    <x v="3"/>
  </r>
  <r>
    <s v="ORD3987"/>
    <x v="668"/>
    <x v="92"/>
    <s v="Amit"/>
    <x v="0"/>
    <s v="Bengaluru"/>
    <x v="0"/>
    <s v="Chair"/>
    <s v="Chair 22"/>
    <n v="5"/>
    <n v="23110.93"/>
    <n v="10"/>
    <x v="1"/>
    <x v="3"/>
  </r>
  <r>
    <s v="ORD3988"/>
    <x v="699"/>
    <x v="587"/>
    <s v="Karan"/>
    <x v="3"/>
    <s v="delhi "/>
    <x v="0"/>
    <s v="Chair"/>
    <s v="Chair 3"/>
    <n v="5"/>
    <n v="2484.71"/>
    <n v="10"/>
    <x v="4"/>
    <x v="3"/>
  </r>
  <r>
    <s v="ORD3990"/>
    <x v="236"/>
    <x v="463"/>
    <s v="Sneha"/>
    <x v="2"/>
    <s v="Bengaluru"/>
    <x v="2"/>
    <s v="Phone"/>
    <s v="Phone 2"/>
    <n v="3"/>
    <n v="2557.0500000000002"/>
    <n v="20"/>
    <x v="2"/>
    <x v="3"/>
  </r>
  <r>
    <s v="ORD3991"/>
    <x v="254"/>
    <x v="250"/>
    <s v="Vikas"/>
    <x v="2"/>
    <s v="delhi "/>
    <x v="1"/>
    <s v="Laptop"/>
    <s v="Laptop 27"/>
    <n v="7"/>
    <n v="32616.639999999999"/>
    <n v="0"/>
    <x v="0"/>
    <x v="1"/>
  </r>
  <r>
    <s v="ORD3992"/>
    <x v="502"/>
    <x v="638"/>
    <s v="Neha"/>
    <x v="0"/>
    <s v="Kolkata"/>
    <x v="2"/>
    <s v="Phone"/>
    <s v="Phone 19"/>
    <n v="8"/>
    <n v="23895.42"/>
    <n v="0"/>
    <x v="0"/>
    <x v="3"/>
  </r>
  <r>
    <s v="ORD3993"/>
    <x v="226"/>
    <x v="540"/>
    <s v="Arjun"/>
    <x v="4"/>
    <s v="Pune"/>
    <x v="1"/>
    <s v="Laptop"/>
    <s v="Laptop 14"/>
    <n v="3"/>
    <n v="10263.33"/>
    <s v="10 %"/>
    <x v="1"/>
    <x v="2"/>
  </r>
  <r>
    <s v="ORD3994"/>
    <x v="139"/>
    <x v="127"/>
    <s v="Vikas"/>
    <x v="3"/>
    <s v="Delhi"/>
    <x v="0"/>
    <s v="Table"/>
    <s v="Table 13"/>
    <n v="10"/>
    <n v="49584.04"/>
    <n v="15"/>
    <x v="1"/>
    <x v="3"/>
  </r>
  <r>
    <s v="ORD3995"/>
    <x v="632"/>
    <x v="222"/>
    <s v="Rahul"/>
    <x v="4"/>
    <s v="Bengaluru"/>
    <x v="0"/>
    <s v="Chair"/>
    <s v="Chair 24"/>
    <n v="6"/>
    <n v="26540.21"/>
    <n v="5"/>
    <x v="3"/>
    <x v="3"/>
  </r>
  <r>
    <s v="ORD3996"/>
    <x v="684"/>
    <x v="407"/>
    <s v="Riya"/>
    <x v="4"/>
    <s v="Kolkata"/>
    <x v="2"/>
    <s v="Phone"/>
    <s v="Phone 25"/>
    <n v="9"/>
    <n v="19792.240000000002"/>
    <n v="5"/>
    <x v="1"/>
    <x v="3"/>
  </r>
  <r>
    <s v="ORD3997"/>
    <x v="557"/>
    <x v="239"/>
    <s v="Rahul"/>
    <x v="0"/>
    <s v="delhi "/>
    <x v="1"/>
    <s v="Laptop"/>
    <s v="Laptop 22"/>
    <n v="10"/>
    <n v="18384.400000000001"/>
    <n v="5"/>
    <x v="4"/>
    <x v="0"/>
  </r>
  <r>
    <s v="ORD3998"/>
    <x v="700"/>
    <x v="358"/>
    <s v="Rahul"/>
    <x v="0"/>
    <s v="Pune"/>
    <x v="3"/>
    <s v="Paper"/>
    <s v="Paper 28"/>
    <n v="7"/>
    <n v="1496.25"/>
    <n v="10"/>
    <x v="2"/>
    <x v="0"/>
  </r>
  <r>
    <s v="ORD3999"/>
    <x v="369"/>
    <x v="242"/>
    <s v="Rahul"/>
    <x v="4"/>
    <s v="Mumbai"/>
    <x v="0"/>
    <s v="Table"/>
    <s v="Table 4"/>
    <n v="5"/>
    <n v="17168.490000000002"/>
    <n v="5"/>
    <x v="0"/>
    <x v="3"/>
  </r>
  <r>
    <s v="ORD4000"/>
    <x v="357"/>
    <x v="379"/>
    <s v="Arjun"/>
    <x v="0"/>
    <s v="Pune"/>
    <x v="2"/>
    <s v="Phone"/>
    <s v="Phone 29"/>
    <n v="2"/>
    <n v="8642.25"/>
    <n v="5"/>
    <x v="5"/>
    <x v="2"/>
  </r>
  <r>
    <s v="ORD4001"/>
    <x v="15"/>
    <x v="304"/>
    <s v="Neha"/>
    <x v="0"/>
    <s v="delhi "/>
    <x v="0"/>
    <s v="Chair"/>
    <s v="Chair 29"/>
    <n v="3"/>
    <n v="8113.4"/>
    <n v="20"/>
    <x v="2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ECC9EA-B8B3-4C2C-AF37-BA2A8ED7831B}" name="PivotTable6" cacheId="1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3" rowHeaderCaption="Product Category">
  <location ref="D10:E15" firstHeaderRow="1" firstDataRow="1" firstDataCol="1"/>
  <pivotFields count="15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axis="axisRow" showAll="0">
      <items count="5">
        <item x="2"/>
        <item x="1"/>
        <item x="0"/>
        <item x="3"/>
        <item t="default"/>
      </items>
    </pivotField>
    <pivotField showAll="0"/>
    <pivotField showAll="0"/>
    <pivotField dataField="1" showAll="0"/>
    <pivotField numFmtId="164" showAll="0"/>
    <pivotField showAll="0"/>
    <pivotField showAll="0"/>
    <pivotField showAll="0"/>
    <pivotField showAll="0">
      <items count="6">
        <item x="0"/>
        <item x="1"/>
        <item x="2"/>
        <item x="3"/>
        <item x="4"/>
        <item t="default"/>
      </items>
    </pivotField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Quantity" fld="9" baseField="0" baseItem="0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BB45038-74E8-4754-A991-88A1310E4716}" name="PivotTable5" cacheId="1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3" rowHeaderCaption="Salespersons">
  <location ref="A10:B17" firstHeaderRow="1" firstDataRow="1" firstDataCol="1"/>
  <pivotFields count="15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64" showAll="0"/>
    <pivotField showAll="0"/>
    <pivotField axis="axisRow" showAll="0">
      <items count="7">
        <item x="2"/>
        <item x="3"/>
        <item x="0"/>
        <item x="4"/>
        <item x="5"/>
        <item x="1"/>
        <item t="default"/>
      </items>
    </pivotField>
    <pivotField showAll="0"/>
    <pivotField showAll="0">
      <items count="6">
        <item x="0"/>
        <item x="1"/>
        <item x="2"/>
        <item x="3"/>
        <item x="4"/>
        <item t="default"/>
      </items>
    </pivotField>
  </pivotFields>
  <rowFields count="1">
    <field x="1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 of Sales" fld="10" baseField="0" baseItem="0" numFmtId="1"/>
  </dataFields>
  <formats count="1">
    <format dxfId="0">
      <pivotArea outline="0" collapsedLevelsAreSubtotals="1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21709A-E4F9-48A7-A837-E1AB58EC0AB5}" name="PivotTable4" cacheId="1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3" rowHeaderCaption="Mode of Payment">
  <location ref="G1:H6" firstHeaderRow="1" firstDataRow="1" firstDataCol="1"/>
  <pivotFields count="15">
    <pivotField dataField="1"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852">
        <item x="194"/>
        <item x="119"/>
        <item x="532"/>
        <item x="727"/>
        <item x="11"/>
        <item x="438"/>
        <item x="709"/>
        <item x="580"/>
        <item x="540"/>
        <item x="610"/>
        <item x="560"/>
        <item x="113"/>
        <item x="639"/>
        <item x="559"/>
        <item x="626"/>
        <item x="442"/>
        <item x="127"/>
        <item x="728"/>
        <item x="170"/>
        <item x="432"/>
        <item x="832"/>
        <item x="830"/>
        <item x="154"/>
        <item x="360"/>
        <item x="458"/>
        <item x="624"/>
        <item x="526"/>
        <item x="167"/>
        <item x="698"/>
        <item x="476"/>
        <item x="280"/>
        <item x="314"/>
        <item x="68"/>
        <item x="525"/>
        <item x="690"/>
        <item x="181"/>
        <item x="67"/>
        <item x="720"/>
        <item x="434"/>
        <item x="808"/>
        <item x="453"/>
        <item x="6"/>
        <item x="679"/>
        <item x="183"/>
        <item x="620"/>
        <item x="515"/>
        <item x="70"/>
        <item x="783"/>
        <item x="482"/>
        <item x="409"/>
        <item x="353"/>
        <item x="768"/>
        <item x="307"/>
        <item x="762"/>
        <item x="53"/>
        <item x="724"/>
        <item x="257"/>
        <item x="172"/>
        <item x="448"/>
        <item x="404"/>
        <item x="248"/>
        <item x="308"/>
        <item x="107"/>
        <item x="779"/>
        <item x="505"/>
        <item x="622"/>
        <item x="661"/>
        <item x="452"/>
        <item x="407"/>
        <item x="148"/>
        <item x="123"/>
        <item x="297"/>
        <item x="603"/>
        <item x="197"/>
        <item x="604"/>
        <item x="72"/>
        <item x="273"/>
        <item x="818"/>
        <item x="132"/>
        <item x="118"/>
        <item x="412"/>
        <item x="394"/>
        <item x="186"/>
        <item x="277"/>
        <item x="293"/>
        <item x="695"/>
        <item x="473"/>
        <item x="715"/>
        <item x="792"/>
        <item x="73"/>
        <item x="175"/>
        <item x="809"/>
        <item x="50"/>
        <item x="230"/>
        <item x="737"/>
        <item x="553"/>
        <item x="568"/>
        <item x="582"/>
        <item x="751"/>
        <item x="786"/>
        <item x="711"/>
        <item x="436"/>
        <item x="303"/>
        <item x="429"/>
        <item x="836"/>
        <item x="224"/>
        <item x="393"/>
        <item x="627"/>
        <item x="528"/>
        <item x="557"/>
        <item x="380"/>
        <item x="608"/>
        <item x="463"/>
        <item x="274"/>
        <item x="193"/>
        <item x="814"/>
        <item x="717"/>
        <item x="195"/>
        <item x="235"/>
        <item x="7"/>
        <item x="688"/>
        <item x="749"/>
        <item x="359"/>
        <item x="847"/>
        <item x="849"/>
        <item x="781"/>
        <item x="687"/>
        <item x="46"/>
        <item x="302"/>
        <item x="311"/>
        <item x="288"/>
        <item x="157"/>
        <item x="354"/>
        <item x="596"/>
        <item x="120"/>
        <item x="355"/>
        <item x="755"/>
        <item x="310"/>
        <item x="609"/>
        <item x="440"/>
        <item x="731"/>
        <item x="23"/>
        <item x="326"/>
        <item x="489"/>
        <item x="169"/>
        <item x="180"/>
        <item x="554"/>
        <item x="805"/>
        <item x="249"/>
        <item x="669"/>
        <item x="395"/>
        <item x="164"/>
        <item x="477"/>
        <item x="124"/>
        <item x="449"/>
        <item x="168"/>
        <item x="670"/>
        <item x="418"/>
        <item x="160"/>
        <item x="499"/>
        <item x="504"/>
        <item x="578"/>
        <item x="445"/>
        <item x="826"/>
        <item x="254"/>
        <item x="138"/>
        <item x="619"/>
        <item x="446"/>
        <item x="162"/>
        <item x="462"/>
        <item x="137"/>
        <item x="225"/>
        <item x="508"/>
        <item x="205"/>
        <item x="719"/>
        <item x="33"/>
        <item x="304"/>
        <item x="659"/>
        <item x="16"/>
        <item x="586"/>
        <item x="285"/>
        <item x="200"/>
        <item x="368"/>
        <item x="331"/>
        <item x="13"/>
        <item x="213"/>
        <item x="760"/>
        <item x="30"/>
        <item x="825"/>
        <item x="405"/>
        <item x="815"/>
        <item x="444"/>
        <item x="103"/>
        <item x="61"/>
        <item x="491"/>
        <item x="590"/>
        <item x="367"/>
        <item x="298"/>
        <item x="549"/>
        <item x="419"/>
        <item x="798"/>
        <item x="231"/>
        <item x="287"/>
        <item x="850"/>
        <item x="266"/>
        <item x="110"/>
        <item x="88"/>
        <item x="640"/>
        <item x="336"/>
        <item x="263"/>
        <item x="536"/>
        <item x="566"/>
        <item x="837"/>
        <item x="212"/>
        <item x="344"/>
        <item x="576"/>
        <item x="134"/>
        <item x="374"/>
        <item x="488"/>
        <item x="295"/>
        <item x="116"/>
        <item x="5"/>
        <item x="321"/>
        <item x="490"/>
        <item x="678"/>
        <item x="581"/>
        <item x="812"/>
        <item x="431"/>
        <item x="334"/>
        <item x="228"/>
        <item x="512"/>
        <item x="522"/>
        <item x="207"/>
        <item x="676"/>
        <item x="537"/>
        <item x="552"/>
        <item x="349"/>
        <item x="59"/>
        <item x="599"/>
        <item x="80"/>
        <item x="558"/>
        <item x="209"/>
        <item x="803"/>
        <item x="561"/>
        <item x="791"/>
        <item x="592"/>
        <item x="259"/>
        <item x="389"/>
        <item x="211"/>
        <item x="579"/>
        <item x="750"/>
        <item x="357"/>
        <item x="376"/>
        <item x="62"/>
        <item x="182"/>
        <item x="551"/>
        <item x="706"/>
        <item x="276"/>
        <item x="184"/>
        <item x="226"/>
        <item x="365"/>
        <item x="398"/>
        <item x="115"/>
        <item x="258"/>
        <item x="456"/>
        <item x="541"/>
        <item x="628"/>
        <item x="318"/>
        <item x="92"/>
        <item x="312"/>
        <item x="25"/>
        <item x="121"/>
        <item x="165"/>
        <item x="222"/>
        <item x="593"/>
        <item x="75"/>
        <item x="732"/>
        <item x="846"/>
        <item x="39"/>
        <item x="192"/>
        <item x="637"/>
        <item x="270"/>
        <item x="99"/>
        <item x="236"/>
        <item x="625"/>
        <item x="79"/>
        <item x="827"/>
        <item x="366"/>
        <item x="629"/>
        <item x="726"/>
        <item x="252"/>
        <item x="689"/>
        <item x="415"/>
        <item x="831"/>
        <item x="240"/>
        <item x="146"/>
        <item x="329"/>
        <item x="210"/>
        <item x="475"/>
        <item x="483"/>
        <item x="516"/>
        <item x="87"/>
        <item x="810"/>
        <item x="330"/>
        <item x="345"/>
        <item x="316"/>
        <item x="782"/>
        <item x="759"/>
        <item x="125"/>
        <item x="114"/>
        <item x="685"/>
        <item x="569"/>
        <item x="145"/>
        <item x="284"/>
        <item x="804"/>
        <item x="486"/>
        <item x="651"/>
        <item x="385"/>
        <item x="147"/>
        <item x="176"/>
        <item x="130"/>
        <item x="691"/>
        <item x="98"/>
        <item x="239"/>
        <item x="105"/>
        <item x="754"/>
        <item x="683"/>
        <item x="652"/>
        <item x="524"/>
        <item x="402"/>
        <item x="286"/>
        <item x="292"/>
        <item x="63"/>
        <item x="776"/>
        <item x="721"/>
        <item x="641"/>
        <item x="495"/>
        <item x="769"/>
        <item x="1"/>
        <item x="518"/>
        <item x="833"/>
        <item x="707"/>
        <item x="244"/>
        <item x="190"/>
        <item x="469"/>
        <item x="301"/>
        <item x="41"/>
        <item x="101"/>
        <item x="748"/>
        <item x="227"/>
        <item x="725"/>
        <item x="37"/>
        <item x="89"/>
        <item x="425"/>
        <item x="819"/>
        <item x="82"/>
        <item x="741"/>
        <item x="479"/>
        <item x="416"/>
        <item x="575"/>
        <item x="492"/>
        <item x="464"/>
        <item x="740"/>
        <item x="780"/>
        <item x="104"/>
        <item x="241"/>
        <item x="340"/>
        <item x="269"/>
        <item x="66"/>
        <item x="426"/>
        <item x="76"/>
        <item x="56"/>
        <item x="179"/>
        <item x="243"/>
        <item x="219"/>
        <item x="392"/>
        <item x="322"/>
        <item x="202"/>
        <item x="173"/>
        <item x="450"/>
        <item x="232"/>
        <item x="455"/>
        <item x="591"/>
        <item x="19"/>
        <item x="356"/>
        <item x="494"/>
        <item x="260"/>
        <item x="777"/>
        <item x="662"/>
        <item x="27"/>
        <item x="612"/>
        <item x="83"/>
        <item x="747"/>
        <item x="218"/>
        <item x="441"/>
        <item x="117"/>
        <item x="697"/>
        <item x="300"/>
        <item x="573"/>
        <item x="734"/>
        <item x="17"/>
        <item x="371"/>
        <item x="484"/>
        <item x="238"/>
        <item x="237"/>
        <item x="38"/>
        <item x="178"/>
        <item x="81"/>
        <item x="255"/>
        <item x="546"/>
        <item x="447"/>
        <item x="358"/>
        <item x="136"/>
        <item x="417"/>
        <item x="638"/>
        <item x="229"/>
        <item x="563"/>
        <item x="758"/>
        <item x="635"/>
        <item x="472"/>
        <item x="813"/>
        <item x="648"/>
        <item x="454"/>
        <item x="342"/>
        <item x="217"/>
        <item x="378"/>
        <item x="65"/>
        <item x="841"/>
        <item x="471"/>
        <item x="843"/>
        <item x="40"/>
        <item x="375"/>
        <item x="29"/>
        <item x="502"/>
        <item x="135"/>
        <item x="159"/>
        <item x="556"/>
        <item x="94"/>
        <item x="272"/>
        <item x="618"/>
        <item x="320"/>
        <item x="428"/>
        <item x="421"/>
        <item x="142"/>
        <item x="149"/>
        <item x="397"/>
        <item x="700"/>
        <item x="570"/>
        <item x="204"/>
        <item x="474"/>
        <item x="86"/>
        <item x="93"/>
        <item x="633"/>
        <item x="43"/>
        <item x="313"/>
        <item x="34"/>
        <item x="406"/>
        <item x="555"/>
        <item x="36"/>
        <item x="675"/>
        <item x="765"/>
        <item x="74"/>
        <item x="158"/>
        <item x="435"/>
        <item x="686"/>
        <item x="702"/>
        <item x="384"/>
        <item x="57"/>
        <item x="743"/>
        <item x="594"/>
        <item x="785"/>
        <item x="655"/>
        <item x="28"/>
        <item x="71"/>
        <item x="507"/>
        <item x="91"/>
        <item x="663"/>
        <item x="692"/>
        <item x="106"/>
        <item x="587"/>
        <item x="770"/>
        <item x="51"/>
        <item x="100"/>
        <item x="589"/>
        <item x="49"/>
        <item x="788"/>
        <item x="234"/>
        <item x="206"/>
        <item x="174"/>
        <item x="481"/>
        <item x="317"/>
        <item x="379"/>
        <item x="332"/>
        <item x="460"/>
        <item x="387"/>
        <item x="20"/>
        <item x="185"/>
        <item x="96"/>
        <item x="767"/>
        <item x="657"/>
        <item x="744"/>
        <item x="821"/>
        <item x="128"/>
        <item x="400"/>
        <item x="289"/>
        <item x="681"/>
        <item x="275"/>
        <item x="790"/>
        <item x="52"/>
        <item x="422"/>
        <item x="126"/>
        <item x="613"/>
        <item x="424"/>
        <item x="32"/>
        <item x="171"/>
        <item x="246"/>
        <item x="714"/>
        <item x="363"/>
        <item x="309"/>
        <item x="315"/>
        <item x="381"/>
        <item x="667"/>
        <item x="328"/>
        <item x="778"/>
        <item x="764"/>
        <item x="742"/>
        <item x="55"/>
        <item x="752"/>
        <item x="617"/>
        <item x="60"/>
        <item x="4"/>
        <item x="282"/>
        <item x="54"/>
        <item x="42"/>
        <item x="291"/>
        <item x="531"/>
        <item x="111"/>
        <item x="829"/>
        <item x="214"/>
        <item x="793"/>
        <item x="45"/>
        <item x="645"/>
        <item x="583"/>
        <item x="350"/>
        <item x="150"/>
        <item x="838"/>
        <item x="203"/>
        <item x="761"/>
        <item x="427"/>
        <item x="564"/>
        <item x="78"/>
        <item x="2"/>
        <item x="382"/>
        <item x="90"/>
        <item x="265"/>
        <item x="773"/>
        <item x="840"/>
        <item x="108"/>
        <item x="828"/>
        <item x="584"/>
        <item x="198"/>
        <item x="325"/>
        <item x="372"/>
        <item x="704"/>
        <item x="845"/>
        <item x="465"/>
        <item x="548"/>
        <item x="223"/>
        <item x="708"/>
        <item x="636"/>
        <item x="739"/>
        <item x="253"/>
        <item x="672"/>
        <item x="514"/>
        <item x="644"/>
        <item x="789"/>
        <item x="467"/>
        <item x="729"/>
        <item x="844"/>
        <item x="547"/>
        <item x="756"/>
        <item x="696"/>
        <item x="348"/>
        <item x="208"/>
        <item x="517"/>
        <item x="191"/>
        <item x="538"/>
        <item x="496"/>
        <item x="533"/>
        <item x="797"/>
        <item x="112"/>
        <item x="611"/>
        <item x="567"/>
        <item x="848"/>
        <item x="565"/>
        <item x="530"/>
        <item x="660"/>
        <item x="267"/>
        <item x="723"/>
        <item x="337"/>
        <item x="712"/>
        <item x="377"/>
        <item x="35"/>
        <item x="796"/>
        <item x="221"/>
        <item x="498"/>
        <item x="807"/>
        <item x="834"/>
        <item x="654"/>
        <item x="97"/>
        <item x="673"/>
        <item x="216"/>
        <item x="597"/>
        <item x="220"/>
        <item x="794"/>
        <item x="245"/>
        <item x="188"/>
        <item x="585"/>
        <item x="572"/>
        <item x="510"/>
        <item x="509"/>
        <item x="631"/>
        <item x="319"/>
        <item x="361"/>
        <item x="497"/>
        <item x="544"/>
        <item x="144"/>
        <item x="327"/>
        <item x="487"/>
        <item x="694"/>
        <item x="621"/>
        <item x="710"/>
        <item x="802"/>
        <item x="26"/>
        <item x="513"/>
        <item x="745"/>
        <item x="264"/>
        <item x="493"/>
        <item x="542"/>
        <item x="201"/>
        <item x="506"/>
        <item x="443"/>
        <item x="615"/>
        <item x="161"/>
        <item x="520"/>
        <item x="177"/>
        <item x="151"/>
        <item x="664"/>
        <item x="658"/>
        <item x="607"/>
        <item x="430"/>
        <item x="722"/>
        <item x="247"/>
        <item x="77"/>
        <item x="85"/>
        <item x="642"/>
        <item x="820"/>
        <item x="413"/>
        <item x="251"/>
        <item x="338"/>
        <item x="699"/>
        <item x="650"/>
        <item x="383"/>
        <item x="362"/>
        <item x="411"/>
        <item x="109"/>
        <item x="588"/>
        <item x="600"/>
        <item x="0"/>
        <item x="399"/>
        <item x="15"/>
        <item x="131"/>
        <item x="296"/>
        <item x="323"/>
        <item x="632"/>
        <item x="523"/>
        <item x="156"/>
        <item x="529"/>
        <item x="268"/>
        <item x="521"/>
        <item x="457"/>
        <item x="388"/>
        <item x="718"/>
        <item x="606"/>
        <item x="605"/>
        <item x="598"/>
        <item x="480"/>
        <item x="665"/>
        <item x="410"/>
        <item x="324"/>
        <item x="140"/>
        <item x="155"/>
        <item x="616"/>
        <item x="352"/>
        <item x="684"/>
        <item x="129"/>
        <item x="343"/>
        <item x="511"/>
        <item x="500"/>
        <item x="364"/>
        <item x="281"/>
        <item x="806"/>
        <item x="242"/>
        <item x="562"/>
        <item x="703"/>
        <item x="58"/>
        <item x="451"/>
        <item x="21"/>
        <item x="290"/>
        <item x="746"/>
        <item x="775"/>
        <item x="461"/>
        <item x="143"/>
        <item x="351"/>
        <item x="647"/>
        <item x="10"/>
        <item x="250"/>
        <item x="643"/>
        <item x="774"/>
        <item x="261"/>
        <item x="571"/>
        <item x="14"/>
        <item x="9"/>
        <item x="738"/>
        <item x="306"/>
        <item x="262"/>
        <item x="753"/>
        <item x="95"/>
        <item x="842"/>
        <item x="24"/>
        <item x="294"/>
        <item x="835"/>
        <item x="680"/>
        <item x="283"/>
        <item x="102"/>
        <item x="163"/>
        <item x="503"/>
        <item x="341"/>
        <item x="44"/>
        <item x="199"/>
        <item x="373"/>
        <item x="153"/>
        <item x="256"/>
        <item x="122"/>
        <item x="666"/>
        <item x="466"/>
        <item x="439"/>
        <item x="396"/>
        <item x="693"/>
        <item x="623"/>
        <item x="784"/>
        <item x="12"/>
        <item x="811"/>
        <item x="333"/>
        <item x="335"/>
        <item x="346"/>
        <item x="671"/>
        <item x="730"/>
        <item x="370"/>
        <item x="630"/>
        <item x="527"/>
        <item x="403"/>
        <item x="401"/>
        <item x="139"/>
        <item x="408"/>
        <item x="519"/>
        <item x="339"/>
        <item x="545"/>
        <item x="634"/>
        <item x="757"/>
        <item x="8"/>
        <item x="800"/>
        <item x="47"/>
        <item x="574"/>
        <item x="478"/>
        <item x="550"/>
        <item x="64"/>
        <item x="772"/>
        <item x="801"/>
        <item x="602"/>
        <item x="535"/>
        <item x="701"/>
        <item x="839"/>
        <item x="48"/>
        <item x="601"/>
        <item x="766"/>
        <item x="386"/>
        <item x="369"/>
        <item x="614"/>
        <item x="22"/>
        <item x="682"/>
        <item x="420"/>
        <item x="347"/>
        <item x="391"/>
        <item x="539"/>
        <item x="668"/>
        <item x="817"/>
        <item x="823"/>
        <item x="799"/>
        <item x="653"/>
        <item x="824"/>
        <item x="470"/>
        <item x="305"/>
        <item x="433"/>
        <item x="299"/>
        <item x="189"/>
        <item x="501"/>
        <item x="646"/>
        <item x="705"/>
        <item x="166"/>
        <item x="595"/>
        <item x="468"/>
        <item x="577"/>
        <item x="674"/>
        <item x="196"/>
        <item x="716"/>
        <item x="543"/>
        <item x="187"/>
        <item x="152"/>
        <item x="133"/>
        <item x="31"/>
        <item x="459"/>
        <item x="656"/>
        <item x="534"/>
        <item x="414"/>
        <item x="649"/>
        <item x="816"/>
        <item x="763"/>
        <item x="69"/>
        <item x="787"/>
        <item x="278"/>
        <item x="733"/>
        <item x="18"/>
        <item x="736"/>
        <item x="141"/>
        <item x="390"/>
        <item x="485"/>
        <item x="771"/>
        <item x="822"/>
        <item x="3"/>
        <item x="423"/>
        <item x="279"/>
        <item x="735"/>
        <item x="713"/>
        <item x="233"/>
        <item x="271"/>
        <item x="677"/>
        <item x="437"/>
        <item x="215"/>
        <item x="84"/>
        <item x="79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164" showAll="0"/>
    <pivotField showAll="0"/>
    <pivotField showAll="0"/>
    <pivotField axis="axisRow" showAll="0">
      <items count="5">
        <item x="2"/>
        <item x="3"/>
        <item x="1"/>
        <item x="0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</pivotFields>
  <rowFields count="1">
    <field x="13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Order ID" fld="0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0"/>
          </reference>
          <reference field="1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FA465C-FF6B-433C-9E41-BE6438FDB3C0}" name="PivotTable3" cacheId="1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3" rowHeaderCaption="Year">
  <location ref="J1:K28" firstHeaderRow="1" firstDataRow="1" firstDataCol="1"/>
  <pivotFields count="15"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64" showAll="0"/>
    <pivotField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</pivotFields>
  <rowFields count="2">
    <field x="14"/>
    <field x="1"/>
  </rowFields>
  <rowItems count="27"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t="grand">
      <x/>
    </i>
  </rowItems>
  <colItems count="1">
    <i/>
  </colItems>
  <dataFields count="1">
    <dataField name="Sum of Sales" fld="10" baseField="0" baseItem="0" numFmtId="1"/>
  </dataFields>
  <formats count="1">
    <format dxfId="1">
      <pivotArea outline="0" collapsedLevelsAreSubtotals="1" fieldPosition="0"/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C2CA7B-905B-4116-A4A6-70093E431133}" name="PivotTable2" cacheId="1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3" rowHeaderCaption="Product Category">
  <location ref="D1:E6" firstHeaderRow="1" firstDataRow="1" firstDataCol="1"/>
  <pivotFields count="15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axis="axisRow" showAll="0">
      <items count="5">
        <item x="2"/>
        <item x="1"/>
        <item x="0"/>
        <item x="3"/>
        <item t="default"/>
      </items>
    </pivotField>
    <pivotField showAll="0"/>
    <pivotField showAll="0"/>
    <pivotField showAll="0"/>
    <pivotField dataField="1" numFmtId="164" showAll="0"/>
    <pivotField showAll="0"/>
    <pivotField showAll="0"/>
    <pivotField showAll="0"/>
    <pivotField showAll="0">
      <items count="6">
        <item x="0"/>
        <item x="1"/>
        <item x="2"/>
        <item x="3"/>
        <item x="4"/>
        <item t="default"/>
      </items>
    </pivotField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Sales" fld="10" baseField="0" baseItem="0" numFmtId="1"/>
  </dataFields>
  <formats count="1">
    <format dxfId="2">
      <pivotArea outline="0" collapsedLevelsAreSubtotals="1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F889C9-478F-4545-BBF8-1CF9163E1D5D}" name="PivotTable1" cacheId="1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3" rowHeaderCaption="Regions">
  <location ref="A1:B7" firstHeaderRow="1" firstDataRow="1" firstDataCol="1"/>
  <pivotFields count="15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axis="axisRow" showAll="0">
      <items count="6">
        <item x="4"/>
        <item x="3"/>
        <item x="1"/>
        <item x="0"/>
        <item x="2"/>
        <item t="default"/>
      </items>
    </pivotField>
    <pivotField showAll="0"/>
    <pivotField showAll="0"/>
    <pivotField showAll="0"/>
    <pivotField showAll="0"/>
    <pivotField showAll="0"/>
    <pivotField dataField="1" numFmtId="164" showAll="0"/>
    <pivotField showAll="0"/>
    <pivotField showAll="0"/>
    <pivotField showAll="0"/>
    <pivotField showAll="0">
      <items count="6">
        <item x="0"/>
        <item x="1"/>
        <item x="2"/>
        <item x="3"/>
        <item x="4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Sales" fld="10" baseField="0" baseItem="0" numFmtId="1"/>
  </dataFields>
  <formats count="1">
    <format dxfId="3">
      <pivotArea outline="0" collapsedLevelsAreSubtotals="1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E3A2B72-69E8-4CE4-867D-4BA9B5665BD6}" name="Table1" displayName="Table1" ref="A1:N2554" totalsRowShown="0" headerRowDxfId="4" dataDxfId="5" headerRowBorderDxfId="21" tableBorderDxfId="22" totalsRowBorderDxfId="20">
  <autoFilter ref="A1:N2554" xr:uid="{CE3A2B72-69E8-4CE4-867D-4BA9B5665BD6}"/>
  <tableColumns count="14">
    <tableColumn id="1" xr3:uid="{D39367DC-E877-4F59-B1E0-EE3D1ADBD6E4}" name="Order ID" dataDxfId="19"/>
    <tableColumn id="2" xr3:uid="{8572A267-8B8B-4E57-97D3-30B55007BDBB}" name="Order Date" dataDxfId="18"/>
    <tableColumn id="3" xr3:uid="{13FA7321-F10B-40C5-9534-E1684CB08A8C}" name="Customer ID" dataDxfId="17"/>
    <tableColumn id="4" xr3:uid="{F59CEB9E-40D5-44A3-9E0A-BF7D2D8807CE}" name="Customer Name" dataDxfId="16"/>
    <tableColumn id="5" xr3:uid="{5AFBA332-D0AE-45FB-AFD3-7E4AB2EDB885}" name="Region" dataDxfId="15"/>
    <tableColumn id="6" xr3:uid="{D5752BD6-CDB3-42D7-8D98-7F577FAE7F85}" name="City" dataDxfId="14"/>
    <tableColumn id="7" xr3:uid="{5A14EE98-3D62-4F64-A084-25F1C4AD8B2B}" name="Category" dataDxfId="13"/>
    <tableColumn id="8" xr3:uid="{30C00A56-F741-443B-A5FF-5A599A215B05}" name="Sub Category" dataDxfId="12"/>
    <tableColumn id="9" xr3:uid="{758D0DEE-D219-462B-B2E5-A1CBE18F6A12}" name="Product" dataDxfId="11"/>
    <tableColumn id="10" xr3:uid="{A3A0A4CA-350D-421A-8AF8-9E8C0B781001}" name="Quantity" dataDxfId="10"/>
    <tableColumn id="11" xr3:uid="{F7DECC3B-57BC-4A0A-B035-9CEA3C61DEE9}" name="Sales" dataDxfId="9"/>
    <tableColumn id="12" xr3:uid="{017789C8-64D6-44E5-AFAC-1063443FBB87}" name="Discount %" dataDxfId="8"/>
    <tableColumn id="13" xr3:uid="{9050AF9D-A39C-4745-8DD8-BC5C32956932}" name="Salesperson" dataDxfId="7"/>
    <tableColumn id="14" xr3:uid="{03B38F29-01E8-496A-A3AD-5611BF1D3CB1}" name="Payment Mode" dataDxfId="6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E6CA8-0225-403F-B391-5BC35C9594A1}">
  <dimension ref="A1"/>
  <sheetViews>
    <sheetView showGridLines="0" tabSelected="1" workbookViewId="0">
      <selection activeCell="U10" sqref="U10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5085"/>
  <sheetViews>
    <sheetView workbookViewId="0">
      <selection activeCell="P6" sqref="P6"/>
    </sheetView>
  </sheetViews>
  <sheetFormatPr defaultRowHeight="15" x14ac:dyDescent="0.25"/>
  <cols>
    <col min="1" max="1" width="10.5703125" style="1" customWidth="1"/>
    <col min="2" max="2" width="12.85546875" style="2" customWidth="1"/>
    <col min="3" max="3" width="14" style="1" customWidth="1"/>
    <col min="4" max="4" width="17.42578125" style="1" customWidth="1"/>
    <col min="5" max="5" width="9.28515625" style="1" customWidth="1"/>
    <col min="6" max="6" width="10" style="1" bestFit="1" customWidth="1"/>
    <col min="7" max="7" width="14.5703125" style="1" bestFit="1" customWidth="1"/>
    <col min="8" max="8" width="14.7109375" style="1" customWidth="1"/>
    <col min="9" max="9" width="10" style="1" customWidth="1"/>
    <col min="10" max="10" width="10.85546875" style="1" customWidth="1"/>
    <col min="11" max="11" width="10.7109375" style="3" bestFit="1" customWidth="1"/>
    <col min="12" max="12" width="12.85546875" style="1" customWidth="1"/>
    <col min="13" max="13" width="13.85546875" style="1" customWidth="1"/>
    <col min="14" max="14" width="16.7109375" style="1" customWidth="1"/>
    <col min="15" max="16" width="5.42578125" style="1" bestFit="1" customWidth="1"/>
    <col min="17" max="17" width="15" style="1" bestFit="1" customWidth="1"/>
    <col min="18" max="16384" width="9.140625" style="1"/>
  </cols>
  <sheetData>
    <row r="1" spans="1:14" x14ac:dyDescent="0.25">
      <c r="A1" s="11" t="s">
        <v>0</v>
      </c>
      <c r="B1" s="12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3" t="s">
        <v>6</v>
      </c>
      <c r="H1" s="13" t="s">
        <v>7</v>
      </c>
      <c r="I1" s="13" t="s">
        <v>8</v>
      </c>
      <c r="J1" s="13" t="s">
        <v>9</v>
      </c>
      <c r="K1" s="14" t="s">
        <v>10</v>
      </c>
      <c r="L1" s="13" t="s">
        <v>11</v>
      </c>
      <c r="M1" s="13" t="s">
        <v>12</v>
      </c>
      <c r="N1" s="20" t="s">
        <v>13</v>
      </c>
    </row>
    <row r="2" spans="1:14" x14ac:dyDescent="0.25">
      <c r="A2" s="9" t="s">
        <v>14</v>
      </c>
      <c r="B2" s="2">
        <v>44991</v>
      </c>
      <c r="C2" s="1" t="s">
        <v>15</v>
      </c>
      <c r="D2" s="1" t="s">
        <v>16</v>
      </c>
      <c r="E2" s="1" t="s">
        <v>17</v>
      </c>
      <c r="F2" s="1" t="s">
        <v>18</v>
      </c>
      <c r="G2" s="1" t="s">
        <v>19</v>
      </c>
      <c r="H2" s="1" t="s">
        <v>20</v>
      </c>
      <c r="I2" s="1" t="s">
        <v>21</v>
      </c>
      <c r="J2" s="1">
        <v>8</v>
      </c>
      <c r="K2" s="3">
        <v>22677.08</v>
      </c>
      <c r="L2" s="1">
        <v>5</v>
      </c>
      <c r="M2" s="1" t="s">
        <v>22</v>
      </c>
      <c r="N2" s="10" t="s">
        <v>23</v>
      </c>
    </row>
    <row r="3" spans="1:14" x14ac:dyDescent="0.25">
      <c r="A3" s="9" t="s">
        <v>24</v>
      </c>
      <c r="B3" s="2">
        <v>45305</v>
      </c>
      <c r="C3" s="1" t="s">
        <v>25</v>
      </c>
      <c r="D3" s="1" t="s">
        <v>26</v>
      </c>
      <c r="E3" s="1" t="s">
        <v>27</v>
      </c>
      <c r="F3" s="1" t="s">
        <v>28</v>
      </c>
      <c r="G3" s="1" t="s">
        <v>19</v>
      </c>
      <c r="H3" s="1" t="s">
        <v>29</v>
      </c>
      <c r="I3" s="1" t="s">
        <v>30</v>
      </c>
      <c r="J3" s="1">
        <v>6</v>
      </c>
      <c r="K3" s="3">
        <v>5190.6499999999996</v>
      </c>
      <c r="L3" s="1">
        <v>0</v>
      </c>
      <c r="M3" s="1" t="s">
        <v>22</v>
      </c>
      <c r="N3" s="10" t="s">
        <v>31</v>
      </c>
    </row>
    <row r="4" spans="1:14" x14ac:dyDescent="0.25">
      <c r="A4" s="9" t="s">
        <v>38</v>
      </c>
      <c r="B4" s="2">
        <v>45365</v>
      </c>
      <c r="C4" s="1" t="s">
        <v>39</v>
      </c>
      <c r="D4" s="1" t="s">
        <v>40</v>
      </c>
      <c r="E4" s="1" t="s">
        <v>41</v>
      </c>
      <c r="F4" s="1" t="s">
        <v>28</v>
      </c>
      <c r="G4" s="1" t="s">
        <v>42</v>
      </c>
      <c r="H4" s="1" t="s">
        <v>43</v>
      </c>
      <c r="I4" s="1" t="s">
        <v>44</v>
      </c>
      <c r="J4" s="1">
        <v>5</v>
      </c>
      <c r="K4" s="3">
        <v>9479.9599999999991</v>
      </c>
      <c r="L4" s="1">
        <v>0</v>
      </c>
      <c r="M4" s="1" t="s">
        <v>36</v>
      </c>
      <c r="N4" s="10" t="s">
        <v>45</v>
      </c>
    </row>
    <row r="5" spans="1:14" x14ac:dyDescent="0.25">
      <c r="A5" s="9" t="s">
        <v>46</v>
      </c>
      <c r="B5" s="2">
        <v>45590</v>
      </c>
      <c r="C5" s="1" t="s">
        <v>47</v>
      </c>
      <c r="D5" s="1" t="s">
        <v>48</v>
      </c>
      <c r="E5" s="1" t="s">
        <v>34</v>
      </c>
      <c r="F5" s="1" t="s">
        <v>49</v>
      </c>
      <c r="G5" s="1" t="s">
        <v>42</v>
      </c>
      <c r="H5" s="1" t="s">
        <v>43</v>
      </c>
      <c r="I5" s="1" t="s">
        <v>50</v>
      </c>
      <c r="J5" s="1">
        <v>2</v>
      </c>
      <c r="K5" s="3">
        <v>643.58000000000004</v>
      </c>
      <c r="L5" s="1">
        <v>5</v>
      </c>
      <c r="M5" s="1" t="s">
        <v>22</v>
      </c>
      <c r="N5" s="10" t="s">
        <v>37</v>
      </c>
    </row>
    <row r="6" spans="1:14" x14ac:dyDescent="0.25">
      <c r="A6" s="9" t="s">
        <v>57</v>
      </c>
      <c r="B6" s="2">
        <v>45218</v>
      </c>
      <c r="C6" s="1" t="s">
        <v>58</v>
      </c>
      <c r="D6" s="1" t="s">
        <v>40</v>
      </c>
      <c r="E6" s="1" t="s">
        <v>59</v>
      </c>
      <c r="F6" s="1" t="s">
        <v>60</v>
      </c>
      <c r="G6" s="1" t="s">
        <v>42</v>
      </c>
      <c r="H6" s="1" t="s">
        <v>61</v>
      </c>
      <c r="I6" s="1" t="s">
        <v>62</v>
      </c>
      <c r="J6" s="1">
        <v>3</v>
      </c>
      <c r="K6" s="3">
        <v>8995.7000000000007</v>
      </c>
      <c r="L6" s="1">
        <v>20</v>
      </c>
      <c r="M6" s="1" t="s">
        <v>63</v>
      </c>
      <c r="N6" s="10" t="s">
        <v>64</v>
      </c>
    </row>
    <row r="7" spans="1:14" x14ac:dyDescent="0.25">
      <c r="A7" s="9" t="s">
        <v>65</v>
      </c>
      <c r="B7" s="2">
        <v>44971</v>
      </c>
      <c r="C7" s="1" t="s">
        <v>66</v>
      </c>
      <c r="D7" s="1" t="s">
        <v>67</v>
      </c>
      <c r="E7" s="1" t="s">
        <v>41</v>
      </c>
      <c r="F7" s="1" t="s">
        <v>49</v>
      </c>
      <c r="G7" s="1" t="s">
        <v>42</v>
      </c>
      <c r="H7" s="1" t="s">
        <v>61</v>
      </c>
      <c r="I7" s="1" t="s">
        <v>68</v>
      </c>
      <c r="J7" s="1">
        <v>8</v>
      </c>
      <c r="K7" s="3">
        <v>6109.5</v>
      </c>
      <c r="L7" s="1">
        <v>10</v>
      </c>
      <c r="M7" s="1" t="s">
        <v>69</v>
      </c>
      <c r="N7" s="10" t="s">
        <v>23</v>
      </c>
    </row>
    <row r="8" spans="1:14" x14ac:dyDescent="0.25">
      <c r="A8" s="9" t="s">
        <v>75</v>
      </c>
      <c r="B8" s="2">
        <v>44989</v>
      </c>
      <c r="C8" s="1" t="s">
        <v>76</v>
      </c>
      <c r="D8" s="1" t="s">
        <v>77</v>
      </c>
      <c r="E8" s="1" t="s">
        <v>17</v>
      </c>
      <c r="F8" s="1" t="s">
        <v>60</v>
      </c>
      <c r="G8" s="1" t="s">
        <v>19</v>
      </c>
      <c r="H8" s="1" t="s">
        <v>20</v>
      </c>
      <c r="I8" s="1" t="s">
        <v>78</v>
      </c>
      <c r="J8" s="1">
        <v>8</v>
      </c>
      <c r="K8" s="3">
        <v>26907.35</v>
      </c>
      <c r="L8" s="1">
        <v>0</v>
      </c>
      <c r="M8" s="1" t="s">
        <v>22</v>
      </c>
      <c r="N8" s="10" t="s">
        <v>74</v>
      </c>
    </row>
    <row r="9" spans="1:14" x14ac:dyDescent="0.25">
      <c r="A9" s="9" t="s">
        <v>79</v>
      </c>
      <c r="B9" s="2">
        <v>45026</v>
      </c>
      <c r="C9" s="1" t="s">
        <v>80</v>
      </c>
      <c r="D9" s="1" t="s">
        <v>81</v>
      </c>
      <c r="E9" s="1" t="s">
        <v>72</v>
      </c>
      <c r="F9" s="1" t="s">
        <v>82</v>
      </c>
      <c r="G9" s="1" t="s">
        <v>83</v>
      </c>
      <c r="H9" s="1" t="s">
        <v>43</v>
      </c>
      <c r="I9" s="1" t="s">
        <v>84</v>
      </c>
      <c r="J9" s="1">
        <v>6</v>
      </c>
      <c r="K9" s="3">
        <v>2140.83</v>
      </c>
      <c r="L9" s="1">
        <v>15</v>
      </c>
      <c r="M9" s="1" t="s">
        <v>22</v>
      </c>
      <c r="N9" s="10" t="s">
        <v>74</v>
      </c>
    </row>
    <row r="10" spans="1:14" x14ac:dyDescent="0.25">
      <c r="A10" s="9" t="s">
        <v>85</v>
      </c>
      <c r="B10" s="2">
        <v>45315</v>
      </c>
      <c r="C10" s="1" t="s">
        <v>86</v>
      </c>
      <c r="D10" s="1" t="s">
        <v>87</v>
      </c>
      <c r="E10" s="1" t="s">
        <v>41</v>
      </c>
      <c r="F10" s="1" t="s">
        <v>88</v>
      </c>
      <c r="G10" s="1" t="s">
        <v>42</v>
      </c>
      <c r="H10" s="1" t="s">
        <v>43</v>
      </c>
      <c r="I10" s="1" t="s">
        <v>89</v>
      </c>
      <c r="J10" s="1">
        <v>10</v>
      </c>
      <c r="K10" s="3">
        <v>23121.279999999999</v>
      </c>
      <c r="L10" s="1">
        <v>10</v>
      </c>
      <c r="M10" s="1" t="s">
        <v>69</v>
      </c>
      <c r="N10" s="10" t="s">
        <v>64</v>
      </c>
    </row>
    <row r="11" spans="1:14" x14ac:dyDescent="0.25">
      <c r="A11" s="9" t="s">
        <v>90</v>
      </c>
      <c r="B11" s="2">
        <v>45244</v>
      </c>
      <c r="C11" s="1" t="s">
        <v>91</v>
      </c>
      <c r="D11" s="1" t="s">
        <v>26</v>
      </c>
      <c r="E11" s="1" t="s">
        <v>41</v>
      </c>
      <c r="F11" s="1" t="s">
        <v>60</v>
      </c>
      <c r="G11" s="1" t="s">
        <v>53</v>
      </c>
      <c r="H11" s="1" t="s">
        <v>54</v>
      </c>
      <c r="I11" s="1" t="s">
        <v>92</v>
      </c>
      <c r="J11" s="1">
        <v>9</v>
      </c>
      <c r="K11" s="3">
        <v>8003.19</v>
      </c>
      <c r="L11" s="1">
        <v>5</v>
      </c>
      <c r="M11" s="1" t="s">
        <v>93</v>
      </c>
      <c r="N11" s="10" t="s">
        <v>23</v>
      </c>
    </row>
    <row r="12" spans="1:14" x14ac:dyDescent="0.25">
      <c r="A12" s="9" t="s">
        <v>94</v>
      </c>
      <c r="B12" s="2">
        <v>45154</v>
      </c>
      <c r="C12" s="1" t="s">
        <v>95</v>
      </c>
      <c r="D12" s="1" t="s">
        <v>26</v>
      </c>
      <c r="E12" s="1" t="s">
        <v>41</v>
      </c>
      <c r="F12" s="1" t="s">
        <v>88</v>
      </c>
      <c r="G12" s="1" t="s">
        <v>19</v>
      </c>
      <c r="H12" s="1" t="s">
        <v>29</v>
      </c>
      <c r="I12" s="1" t="s">
        <v>96</v>
      </c>
      <c r="J12" s="1">
        <v>5</v>
      </c>
      <c r="K12" s="3">
        <v>3993.7</v>
      </c>
      <c r="L12" s="1">
        <v>5</v>
      </c>
      <c r="M12" s="1" t="s">
        <v>36</v>
      </c>
      <c r="N12" s="10" t="s">
        <v>74</v>
      </c>
    </row>
    <row r="13" spans="1:14" x14ac:dyDescent="0.25">
      <c r="A13" s="9" t="s">
        <v>97</v>
      </c>
      <c r="B13" s="2">
        <v>45227</v>
      </c>
      <c r="C13" s="1" t="s">
        <v>98</v>
      </c>
      <c r="D13" s="1" t="s">
        <v>33</v>
      </c>
      <c r="E13" s="1" t="s">
        <v>34</v>
      </c>
      <c r="F13" s="1" t="s">
        <v>99</v>
      </c>
      <c r="G13" s="1" t="s">
        <v>42</v>
      </c>
      <c r="H13" s="1" t="s">
        <v>43</v>
      </c>
      <c r="I13" s="1" t="s">
        <v>100</v>
      </c>
      <c r="J13" s="1">
        <v>9</v>
      </c>
      <c r="K13" s="3">
        <v>44363.28</v>
      </c>
      <c r="L13" s="1">
        <v>5</v>
      </c>
      <c r="M13" s="1" t="s">
        <v>22</v>
      </c>
      <c r="N13" s="10" t="s">
        <v>31</v>
      </c>
    </row>
    <row r="14" spans="1:14" x14ac:dyDescent="0.25">
      <c r="A14" s="9" t="s">
        <v>101</v>
      </c>
      <c r="B14" s="2">
        <v>45027</v>
      </c>
      <c r="C14" s="1" t="s">
        <v>102</v>
      </c>
      <c r="D14" s="1" t="s">
        <v>52</v>
      </c>
      <c r="E14" s="1" t="s">
        <v>34</v>
      </c>
      <c r="F14" s="1" t="s">
        <v>60</v>
      </c>
      <c r="G14" s="1" t="s">
        <v>53</v>
      </c>
      <c r="H14" s="1" t="s">
        <v>54</v>
      </c>
      <c r="I14" s="1" t="s">
        <v>103</v>
      </c>
      <c r="J14" s="1">
        <v>10</v>
      </c>
      <c r="K14" s="3">
        <v>12802.17</v>
      </c>
      <c r="L14" s="1">
        <v>5</v>
      </c>
      <c r="M14" s="1" t="s">
        <v>56</v>
      </c>
      <c r="N14" s="10" t="s">
        <v>23</v>
      </c>
    </row>
    <row r="15" spans="1:14" x14ac:dyDescent="0.25">
      <c r="A15" s="9" t="s">
        <v>104</v>
      </c>
      <c r="B15" s="2">
        <v>45382</v>
      </c>
      <c r="C15" s="1" t="s">
        <v>105</v>
      </c>
      <c r="D15" s="1" t="s">
        <v>33</v>
      </c>
      <c r="E15" s="1" t="s">
        <v>27</v>
      </c>
      <c r="F15" s="1" t="s">
        <v>49</v>
      </c>
      <c r="G15" s="1" t="s">
        <v>42</v>
      </c>
      <c r="H15" s="1" t="s">
        <v>61</v>
      </c>
      <c r="I15" s="1" t="s">
        <v>106</v>
      </c>
      <c r="J15" s="1">
        <v>1</v>
      </c>
      <c r="K15" s="3">
        <v>2007.82</v>
      </c>
      <c r="L15" s="1">
        <v>10</v>
      </c>
      <c r="M15" s="1" t="s">
        <v>56</v>
      </c>
      <c r="N15" s="10" t="s">
        <v>31</v>
      </c>
    </row>
    <row r="16" spans="1:14" x14ac:dyDescent="0.25">
      <c r="A16" s="9" t="s">
        <v>107</v>
      </c>
      <c r="B16" s="2">
        <v>44991</v>
      </c>
      <c r="C16" s="1" t="s">
        <v>108</v>
      </c>
      <c r="D16" s="1" t="s">
        <v>71</v>
      </c>
      <c r="E16" s="1" t="s">
        <v>27</v>
      </c>
      <c r="F16" s="1" t="s">
        <v>18</v>
      </c>
      <c r="G16" s="1" t="s">
        <v>53</v>
      </c>
      <c r="H16" s="1" t="s">
        <v>54</v>
      </c>
      <c r="I16" s="1" t="s">
        <v>109</v>
      </c>
      <c r="J16" s="1">
        <v>7</v>
      </c>
      <c r="K16" s="3">
        <v>23577.13</v>
      </c>
      <c r="L16" s="4">
        <v>0.1</v>
      </c>
      <c r="M16" s="1" t="s">
        <v>22</v>
      </c>
      <c r="N16" s="10" t="s">
        <v>31</v>
      </c>
    </row>
    <row r="17" spans="1:14" x14ac:dyDescent="0.25">
      <c r="A17" s="9" t="s">
        <v>111</v>
      </c>
      <c r="B17" s="2">
        <v>45296</v>
      </c>
      <c r="C17" s="1" t="s">
        <v>112</v>
      </c>
      <c r="D17" s="1" t="s">
        <v>81</v>
      </c>
      <c r="E17" s="1" t="s">
        <v>59</v>
      </c>
      <c r="F17" s="1" t="s">
        <v>99</v>
      </c>
      <c r="G17" s="1" t="s">
        <v>19</v>
      </c>
      <c r="H17" s="1" t="s">
        <v>29</v>
      </c>
      <c r="I17" s="1" t="s">
        <v>113</v>
      </c>
      <c r="J17" s="1">
        <v>6</v>
      </c>
      <c r="K17" s="3">
        <v>27782.78</v>
      </c>
      <c r="L17" s="1">
        <v>0</v>
      </c>
      <c r="M17" s="1" t="s">
        <v>93</v>
      </c>
      <c r="N17" s="10" t="s">
        <v>64</v>
      </c>
    </row>
    <row r="18" spans="1:14" x14ac:dyDescent="0.25">
      <c r="A18" s="9" t="s">
        <v>114</v>
      </c>
      <c r="B18" s="2">
        <v>45198</v>
      </c>
      <c r="C18" s="1" t="s">
        <v>95</v>
      </c>
      <c r="D18" s="1" t="s">
        <v>33</v>
      </c>
      <c r="E18" s="1" t="s">
        <v>34</v>
      </c>
      <c r="F18" s="1" t="s">
        <v>82</v>
      </c>
      <c r="G18" s="1" t="s">
        <v>42</v>
      </c>
      <c r="H18" s="1" t="s">
        <v>61</v>
      </c>
      <c r="I18" s="1" t="s">
        <v>115</v>
      </c>
      <c r="J18" s="1">
        <v>5</v>
      </c>
      <c r="K18" s="3">
        <v>15804.62</v>
      </c>
      <c r="L18" s="1">
        <v>10</v>
      </c>
      <c r="M18" s="1" t="s">
        <v>56</v>
      </c>
      <c r="N18" s="10" t="s">
        <v>45</v>
      </c>
    </row>
    <row r="19" spans="1:14" x14ac:dyDescent="0.25">
      <c r="A19" s="9" t="s">
        <v>116</v>
      </c>
      <c r="B19" s="2">
        <v>45634</v>
      </c>
      <c r="C19" s="1" t="s">
        <v>117</v>
      </c>
      <c r="D19" s="1" t="s">
        <v>118</v>
      </c>
      <c r="E19" s="1" t="s">
        <v>27</v>
      </c>
      <c r="F19" s="1" t="s">
        <v>60</v>
      </c>
      <c r="G19" s="1" t="s">
        <v>83</v>
      </c>
      <c r="H19" s="1" t="s">
        <v>43</v>
      </c>
      <c r="I19" s="1" t="s">
        <v>50</v>
      </c>
      <c r="J19" s="1">
        <v>4</v>
      </c>
      <c r="K19" s="3">
        <v>8467.4</v>
      </c>
      <c r="L19" s="1">
        <v>20</v>
      </c>
      <c r="M19" s="1" t="s">
        <v>63</v>
      </c>
      <c r="N19" s="10" t="s">
        <v>45</v>
      </c>
    </row>
    <row r="20" spans="1:14" x14ac:dyDescent="0.25">
      <c r="A20" s="9" t="s">
        <v>119</v>
      </c>
      <c r="B20" s="2">
        <v>45176</v>
      </c>
      <c r="C20" s="1" t="s">
        <v>120</v>
      </c>
      <c r="D20" s="1" t="s">
        <v>87</v>
      </c>
      <c r="E20" s="1" t="s">
        <v>34</v>
      </c>
      <c r="F20" s="1" t="s">
        <v>49</v>
      </c>
      <c r="G20" s="1" t="s">
        <v>53</v>
      </c>
      <c r="H20" s="1" t="s">
        <v>54</v>
      </c>
      <c r="I20" s="1" t="s">
        <v>121</v>
      </c>
      <c r="J20" s="1">
        <v>2</v>
      </c>
      <c r="K20" s="3">
        <v>8121.94</v>
      </c>
      <c r="L20" s="4">
        <v>0.1</v>
      </c>
      <c r="M20" s="1" t="s">
        <v>22</v>
      </c>
      <c r="N20" s="10" t="s">
        <v>37</v>
      </c>
    </row>
    <row r="21" spans="1:14" x14ac:dyDescent="0.25">
      <c r="A21" s="9" t="s">
        <v>122</v>
      </c>
      <c r="B21" s="2">
        <v>45204</v>
      </c>
      <c r="C21" s="1" t="s">
        <v>123</v>
      </c>
      <c r="D21" s="1" t="s">
        <v>26</v>
      </c>
      <c r="E21" s="1" t="s">
        <v>27</v>
      </c>
      <c r="F21" s="1" t="s">
        <v>28</v>
      </c>
      <c r="G21" s="1" t="s">
        <v>19</v>
      </c>
      <c r="H21" s="1" t="s">
        <v>29</v>
      </c>
      <c r="I21" s="1" t="s">
        <v>124</v>
      </c>
      <c r="J21" s="1">
        <v>2</v>
      </c>
      <c r="K21" s="3">
        <v>6708.09</v>
      </c>
      <c r="L21" s="1">
        <v>15</v>
      </c>
      <c r="M21" s="1" t="s">
        <v>93</v>
      </c>
      <c r="N21" s="10" t="s">
        <v>37</v>
      </c>
    </row>
    <row r="22" spans="1:14" x14ac:dyDescent="0.25">
      <c r="A22" s="9" t="s">
        <v>125</v>
      </c>
      <c r="B22" s="2">
        <v>45415</v>
      </c>
      <c r="C22" s="1" t="s">
        <v>126</v>
      </c>
      <c r="D22" s="1" t="s">
        <v>26</v>
      </c>
      <c r="E22" s="1" t="s">
        <v>34</v>
      </c>
      <c r="F22" s="1" t="s">
        <v>49</v>
      </c>
      <c r="G22" s="1" t="s">
        <v>19</v>
      </c>
      <c r="H22" s="1" t="s">
        <v>20</v>
      </c>
      <c r="I22" s="1" t="s">
        <v>127</v>
      </c>
      <c r="J22" s="1">
        <v>9</v>
      </c>
      <c r="K22" s="3">
        <v>15032.93</v>
      </c>
      <c r="L22" s="1">
        <v>0</v>
      </c>
      <c r="M22" s="1" t="s">
        <v>93</v>
      </c>
      <c r="N22" s="10" t="s">
        <v>45</v>
      </c>
    </row>
    <row r="23" spans="1:14" x14ac:dyDescent="0.25">
      <c r="A23" s="9" t="s">
        <v>128</v>
      </c>
      <c r="B23" s="2">
        <v>45255</v>
      </c>
      <c r="C23" s="1" t="s">
        <v>129</v>
      </c>
      <c r="D23" s="1" t="s">
        <v>33</v>
      </c>
      <c r="E23" s="1" t="s">
        <v>27</v>
      </c>
      <c r="F23" s="1" t="s">
        <v>60</v>
      </c>
      <c r="G23" s="1" t="s">
        <v>19</v>
      </c>
      <c r="H23" s="1" t="s">
        <v>20</v>
      </c>
      <c r="I23" s="1" t="s">
        <v>130</v>
      </c>
      <c r="J23" s="1">
        <v>9</v>
      </c>
      <c r="K23" s="3">
        <v>34099</v>
      </c>
      <c r="L23" s="1">
        <v>5</v>
      </c>
      <c r="M23" s="1" t="s">
        <v>36</v>
      </c>
      <c r="N23" s="10" t="s">
        <v>74</v>
      </c>
    </row>
    <row r="24" spans="1:14" x14ac:dyDescent="0.25">
      <c r="A24" s="9" t="s">
        <v>133</v>
      </c>
      <c r="B24" s="2">
        <v>45014</v>
      </c>
      <c r="C24" s="1" t="s">
        <v>134</v>
      </c>
      <c r="D24" s="1" t="s">
        <v>33</v>
      </c>
      <c r="E24" s="1" t="s">
        <v>59</v>
      </c>
      <c r="F24" s="1" t="s">
        <v>99</v>
      </c>
      <c r="G24" s="1" t="s">
        <v>19</v>
      </c>
      <c r="H24" s="1" t="s">
        <v>29</v>
      </c>
      <c r="I24" s="1" t="s">
        <v>135</v>
      </c>
      <c r="J24" s="1">
        <v>6</v>
      </c>
      <c r="K24" s="3">
        <v>11192.57</v>
      </c>
      <c r="L24" s="1" t="s">
        <v>110</v>
      </c>
      <c r="M24" s="1" t="s">
        <v>22</v>
      </c>
      <c r="N24" s="10" t="s">
        <v>23</v>
      </c>
    </row>
    <row r="25" spans="1:14" x14ac:dyDescent="0.25">
      <c r="A25" s="9" t="s">
        <v>136</v>
      </c>
      <c r="B25" s="2">
        <v>45004</v>
      </c>
      <c r="C25" s="1" t="s">
        <v>137</v>
      </c>
      <c r="D25" s="1" t="s">
        <v>16</v>
      </c>
      <c r="E25" s="1" t="s">
        <v>34</v>
      </c>
      <c r="F25" s="1" t="s">
        <v>18</v>
      </c>
      <c r="G25" s="1" t="s">
        <v>19</v>
      </c>
      <c r="H25" s="1" t="s">
        <v>20</v>
      </c>
      <c r="I25" s="1" t="s">
        <v>138</v>
      </c>
      <c r="J25" s="1">
        <v>7</v>
      </c>
      <c r="K25" s="3">
        <v>2568.56</v>
      </c>
      <c r="L25" s="1">
        <v>5</v>
      </c>
      <c r="M25" s="1" t="s">
        <v>22</v>
      </c>
      <c r="N25" s="10" t="s">
        <v>37</v>
      </c>
    </row>
    <row r="26" spans="1:14" x14ac:dyDescent="0.25">
      <c r="A26" s="9" t="s">
        <v>139</v>
      </c>
      <c r="B26" s="2">
        <v>45345</v>
      </c>
      <c r="C26" s="1" t="s">
        <v>140</v>
      </c>
      <c r="D26" s="1" t="s">
        <v>40</v>
      </c>
      <c r="E26" s="1" t="s">
        <v>72</v>
      </c>
      <c r="F26" s="1" t="s">
        <v>18</v>
      </c>
      <c r="G26" s="1" t="s">
        <v>19</v>
      </c>
      <c r="H26" s="1" t="s">
        <v>29</v>
      </c>
      <c r="I26" s="1" t="s">
        <v>141</v>
      </c>
      <c r="J26" s="1">
        <v>2</v>
      </c>
      <c r="K26" s="3">
        <v>2024.21</v>
      </c>
      <c r="L26" s="1" t="s">
        <v>110</v>
      </c>
      <c r="M26" s="1" t="s">
        <v>22</v>
      </c>
      <c r="N26" s="10" t="s">
        <v>45</v>
      </c>
    </row>
    <row r="27" spans="1:14" x14ac:dyDescent="0.25">
      <c r="A27" s="9" t="s">
        <v>142</v>
      </c>
      <c r="B27" s="2">
        <v>45333</v>
      </c>
      <c r="C27" s="1" t="s">
        <v>143</v>
      </c>
      <c r="D27" s="1" t="s">
        <v>52</v>
      </c>
      <c r="E27" s="1" t="s">
        <v>59</v>
      </c>
      <c r="F27" s="1" t="s">
        <v>99</v>
      </c>
      <c r="G27" s="1" t="s">
        <v>83</v>
      </c>
      <c r="H27" s="1" t="s">
        <v>43</v>
      </c>
      <c r="I27" s="1" t="s">
        <v>144</v>
      </c>
      <c r="J27" s="1">
        <v>7</v>
      </c>
      <c r="K27" s="3">
        <v>22559.5</v>
      </c>
      <c r="L27" s="1">
        <v>15</v>
      </c>
      <c r="M27" s="1" t="s">
        <v>69</v>
      </c>
      <c r="N27" s="10" t="s">
        <v>31</v>
      </c>
    </row>
    <row r="28" spans="1:14" x14ac:dyDescent="0.25">
      <c r="A28" s="9" t="s">
        <v>145</v>
      </c>
      <c r="B28" s="2">
        <v>45080</v>
      </c>
      <c r="C28" s="1" t="s">
        <v>146</v>
      </c>
      <c r="D28" s="1" t="s">
        <v>147</v>
      </c>
      <c r="E28" s="1" t="s">
        <v>72</v>
      </c>
      <c r="F28" s="1" t="s">
        <v>28</v>
      </c>
      <c r="G28" s="1" t="s">
        <v>19</v>
      </c>
      <c r="H28" s="1" t="s">
        <v>29</v>
      </c>
      <c r="I28" s="1" t="s">
        <v>148</v>
      </c>
      <c r="J28" s="1">
        <v>8</v>
      </c>
      <c r="K28" s="3">
        <v>3777.67</v>
      </c>
      <c r="L28" s="1">
        <v>10</v>
      </c>
      <c r="M28" s="1" t="s">
        <v>63</v>
      </c>
      <c r="N28" s="10" t="s">
        <v>23</v>
      </c>
    </row>
    <row r="29" spans="1:14" x14ac:dyDescent="0.25">
      <c r="A29" s="9" t="s">
        <v>149</v>
      </c>
      <c r="B29" s="2">
        <v>45507</v>
      </c>
      <c r="C29" s="1" t="s">
        <v>150</v>
      </c>
      <c r="D29" s="1" t="s">
        <v>16</v>
      </c>
      <c r="E29" s="1" t="s">
        <v>41</v>
      </c>
      <c r="F29" s="1" t="s">
        <v>18</v>
      </c>
      <c r="G29" s="1" t="s">
        <v>42</v>
      </c>
      <c r="H29" s="1" t="s">
        <v>61</v>
      </c>
      <c r="I29" s="1" t="s">
        <v>151</v>
      </c>
      <c r="J29" s="1">
        <v>8</v>
      </c>
      <c r="K29" s="3">
        <v>8476.4</v>
      </c>
      <c r="L29" s="1">
        <v>5</v>
      </c>
      <c r="M29" s="1" t="s">
        <v>36</v>
      </c>
      <c r="N29" s="10" t="s">
        <v>23</v>
      </c>
    </row>
    <row r="30" spans="1:14" x14ac:dyDescent="0.25">
      <c r="A30" s="9" t="s">
        <v>152</v>
      </c>
      <c r="B30" s="2">
        <v>45206</v>
      </c>
      <c r="C30" s="1" t="s">
        <v>153</v>
      </c>
      <c r="D30" s="1" t="s">
        <v>33</v>
      </c>
      <c r="E30" s="1" t="s">
        <v>41</v>
      </c>
      <c r="F30" s="1" t="s">
        <v>82</v>
      </c>
      <c r="G30" s="1" t="s">
        <v>83</v>
      </c>
      <c r="H30" s="1" t="s">
        <v>43</v>
      </c>
      <c r="I30" s="1" t="s">
        <v>154</v>
      </c>
      <c r="J30" s="1">
        <v>8</v>
      </c>
      <c r="K30" s="3">
        <v>19596.82</v>
      </c>
      <c r="L30" s="1">
        <v>15</v>
      </c>
      <c r="M30" s="1" t="s">
        <v>93</v>
      </c>
      <c r="N30" s="10" t="s">
        <v>64</v>
      </c>
    </row>
    <row r="31" spans="1:14" x14ac:dyDescent="0.25">
      <c r="A31" s="9" t="s">
        <v>155</v>
      </c>
      <c r="B31" s="2">
        <v>45055</v>
      </c>
      <c r="C31" s="1" t="s">
        <v>156</v>
      </c>
      <c r="D31" s="1" t="s">
        <v>67</v>
      </c>
      <c r="E31" s="1" t="s">
        <v>34</v>
      </c>
      <c r="F31" s="1" t="s">
        <v>82</v>
      </c>
      <c r="G31" s="1" t="s">
        <v>83</v>
      </c>
      <c r="H31" s="1" t="s">
        <v>43</v>
      </c>
      <c r="I31" s="1" t="s">
        <v>157</v>
      </c>
      <c r="J31" s="1">
        <v>5</v>
      </c>
      <c r="K31" s="3">
        <v>15415.32</v>
      </c>
      <c r="L31" s="1">
        <v>5</v>
      </c>
      <c r="M31" s="1" t="s">
        <v>69</v>
      </c>
      <c r="N31" s="10" t="s">
        <v>23</v>
      </c>
    </row>
    <row r="32" spans="1:14" x14ac:dyDescent="0.25">
      <c r="A32" s="9" t="s">
        <v>158</v>
      </c>
      <c r="B32" s="2">
        <v>45497</v>
      </c>
      <c r="C32" s="1" t="s">
        <v>159</v>
      </c>
      <c r="D32" s="1" t="s">
        <v>16</v>
      </c>
      <c r="E32" s="1" t="s">
        <v>59</v>
      </c>
      <c r="F32" s="1" t="s">
        <v>82</v>
      </c>
      <c r="G32" s="1" t="s">
        <v>83</v>
      </c>
      <c r="H32" s="1" t="s">
        <v>43</v>
      </c>
      <c r="I32" s="1" t="s">
        <v>154</v>
      </c>
      <c r="J32" s="1">
        <v>1</v>
      </c>
      <c r="K32" s="3">
        <v>3274.98</v>
      </c>
      <c r="L32" s="1">
        <v>15</v>
      </c>
      <c r="M32" s="1" t="s">
        <v>63</v>
      </c>
      <c r="N32" s="10" t="s">
        <v>31</v>
      </c>
    </row>
    <row r="33" spans="1:14" x14ac:dyDescent="0.25">
      <c r="A33" s="9" t="s">
        <v>165</v>
      </c>
      <c r="B33" s="2">
        <v>45150</v>
      </c>
      <c r="C33" s="1" t="s">
        <v>166</v>
      </c>
      <c r="D33" s="1" t="s">
        <v>87</v>
      </c>
      <c r="E33" s="1" t="s">
        <v>59</v>
      </c>
      <c r="F33" s="1" t="s">
        <v>60</v>
      </c>
      <c r="G33" s="1" t="s">
        <v>19</v>
      </c>
      <c r="H33" s="1" t="s">
        <v>29</v>
      </c>
      <c r="I33" s="1" t="s">
        <v>30</v>
      </c>
      <c r="J33" s="1">
        <v>1</v>
      </c>
      <c r="K33" s="3">
        <v>2226.37</v>
      </c>
      <c r="L33" s="1">
        <v>20</v>
      </c>
      <c r="M33" s="1" t="s">
        <v>93</v>
      </c>
      <c r="N33" s="10" t="s">
        <v>31</v>
      </c>
    </row>
    <row r="34" spans="1:14" x14ac:dyDescent="0.25">
      <c r="A34" s="9" t="s">
        <v>167</v>
      </c>
      <c r="B34" s="2">
        <v>45218</v>
      </c>
      <c r="C34" s="1" t="s">
        <v>168</v>
      </c>
      <c r="D34" s="1" t="s">
        <v>169</v>
      </c>
      <c r="E34" s="1" t="s">
        <v>59</v>
      </c>
      <c r="F34" s="1" t="s">
        <v>28</v>
      </c>
      <c r="G34" s="1" t="s">
        <v>53</v>
      </c>
      <c r="H34" s="1" t="s">
        <v>54</v>
      </c>
      <c r="I34" s="1" t="s">
        <v>170</v>
      </c>
      <c r="J34" s="1">
        <v>10</v>
      </c>
      <c r="K34" s="3">
        <v>13909.52</v>
      </c>
      <c r="L34" s="1">
        <v>5</v>
      </c>
      <c r="M34" s="1" t="s">
        <v>93</v>
      </c>
      <c r="N34" s="10" t="s">
        <v>64</v>
      </c>
    </row>
    <row r="35" spans="1:14" x14ac:dyDescent="0.25">
      <c r="A35" s="9" t="s">
        <v>171</v>
      </c>
      <c r="B35" s="2">
        <v>45522</v>
      </c>
      <c r="C35" s="1" t="s">
        <v>172</v>
      </c>
      <c r="D35" s="1" t="s">
        <v>26</v>
      </c>
      <c r="E35" s="1" t="s">
        <v>17</v>
      </c>
      <c r="F35" s="1" t="s">
        <v>99</v>
      </c>
      <c r="G35" s="1" t="s">
        <v>53</v>
      </c>
      <c r="H35" s="1" t="s">
        <v>54</v>
      </c>
      <c r="I35" s="1" t="s">
        <v>173</v>
      </c>
      <c r="J35" s="1">
        <v>1</v>
      </c>
      <c r="K35" s="3">
        <v>4808.7299999999996</v>
      </c>
      <c r="L35" s="1">
        <v>10</v>
      </c>
      <c r="M35" s="1" t="s">
        <v>69</v>
      </c>
      <c r="N35" s="10" t="s">
        <v>45</v>
      </c>
    </row>
    <row r="36" spans="1:14" x14ac:dyDescent="0.25">
      <c r="A36" s="9" t="s">
        <v>174</v>
      </c>
      <c r="B36" s="2">
        <v>45557</v>
      </c>
      <c r="C36" s="1" t="s">
        <v>175</v>
      </c>
      <c r="D36" s="1" t="s">
        <v>16</v>
      </c>
      <c r="E36" s="1" t="s">
        <v>27</v>
      </c>
      <c r="F36" s="1" t="s">
        <v>49</v>
      </c>
      <c r="G36" s="1" t="s">
        <v>19</v>
      </c>
      <c r="H36" s="1" t="s">
        <v>20</v>
      </c>
      <c r="I36" s="1" t="s">
        <v>176</v>
      </c>
      <c r="J36" s="1">
        <v>8</v>
      </c>
      <c r="K36" s="3">
        <v>4032.59</v>
      </c>
      <c r="L36" s="1">
        <v>0</v>
      </c>
      <c r="M36" s="1" t="s">
        <v>36</v>
      </c>
      <c r="N36" s="10" t="s">
        <v>37</v>
      </c>
    </row>
    <row r="37" spans="1:14" x14ac:dyDescent="0.25">
      <c r="A37" s="9" t="s">
        <v>177</v>
      </c>
      <c r="B37" s="2">
        <v>44939</v>
      </c>
      <c r="C37" s="1" t="s">
        <v>178</v>
      </c>
      <c r="D37" s="1" t="s">
        <v>40</v>
      </c>
      <c r="E37" s="1" t="s">
        <v>72</v>
      </c>
      <c r="F37" s="1" t="s">
        <v>28</v>
      </c>
      <c r="G37" s="1" t="s">
        <v>19</v>
      </c>
      <c r="H37" s="1" t="s">
        <v>20</v>
      </c>
      <c r="I37" s="1" t="s">
        <v>179</v>
      </c>
      <c r="J37" s="1">
        <v>9</v>
      </c>
      <c r="K37" s="3">
        <v>43597.09</v>
      </c>
      <c r="L37" s="1">
        <v>5</v>
      </c>
      <c r="M37" s="1" t="s">
        <v>63</v>
      </c>
      <c r="N37" s="10" t="s">
        <v>74</v>
      </c>
    </row>
    <row r="38" spans="1:14" x14ac:dyDescent="0.25">
      <c r="A38" s="9" t="s">
        <v>180</v>
      </c>
      <c r="B38" s="2">
        <v>45162</v>
      </c>
      <c r="C38" s="1" t="s">
        <v>181</v>
      </c>
      <c r="D38" s="1" t="s">
        <v>52</v>
      </c>
      <c r="E38" s="1" t="s">
        <v>72</v>
      </c>
      <c r="F38" s="1" t="s">
        <v>60</v>
      </c>
      <c r="G38" s="1" t="s">
        <v>83</v>
      </c>
      <c r="H38" s="1" t="s">
        <v>43</v>
      </c>
      <c r="I38" s="1" t="s">
        <v>182</v>
      </c>
      <c r="J38" s="1">
        <v>7</v>
      </c>
      <c r="K38" s="3">
        <v>791.92</v>
      </c>
      <c r="L38" s="1">
        <v>15</v>
      </c>
      <c r="M38" s="1" t="s">
        <v>22</v>
      </c>
      <c r="N38" s="10" t="s">
        <v>45</v>
      </c>
    </row>
    <row r="39" spans="1:14" x14ac:dyDescent="0.25">
      <c r="A39" s="9" t="s">
        <v>183</v>
      </c>
      <c r="B39" s="2">
        <v>45305</v>
      </c>
      <c r="C39" s="1" t="s">
        <v>184</v>
      </c>
      <c r="D39" s="1" t="s">
        <v>87</v>
      </c>
      <c r="E39" s="1" t="s">
        <v>41</v>
      </c>
      <c r="F39" s="1" t="s">
        <v>88</v>
      </c>
      <c r="G39" s="1" t="s">
        <v>42</v>
      </c>
      <c r="H39" s="1" t="s">
        <v>61</v>
      </c>
      <c r="I39" s="1" t="s">
        <v>185</v>
      </c>
      <c r="J39" s="1">
        <v>5</v>
      </c>
      <c r="K39" s="3">
        <v>14583.64</v>
      </c>
      <c r="L39" s="1" t="s">
        <v>110</v>
      </c>
      <c r="M39" s="1" t="s">
        <v>22</v>
      </c>
      <c r="N39" s="10" t="s">
        <v>74</v>
      </c>
    </row>
    <row r="40" spans="1:14" x14ac:dyDescent="0.25">
      <c r="A40" s="9" t="s">
        <v>188</v>
      </c>
      <c r="B40" s="2">
        <v>45150</v>
      </c>
      <c r="C40" s="1" t="s">
        <v>105</v>
      </c>
      <c r="D40" s="1" t="s">
        <v>87</v>
      </c>
      <c r="E40" s="1" t="s">
        <v>59</v>
      </c>
      <c r="F40" s="1" t="s">
        <v>18</v>
      </c>
      <c r="G40" s="1" t="s">
        <v>19</v>
      </c>
      <c r="H40" s="1" t="s">
        <v>29</v>
      </c>
      <c r="I40" s="1" t="s">
        <v>162</v>
      </c>
      <c r="J40" s="1">
        <v>10</v>
      </c>
      <c r="K40" s="3">
        <v>24336.2</v>
      </c>
      <c r="L40" s="1">
        <v>10</v>
      </c>
      <c r="M40" s="1" t="s">
        <v>36</v>
      </c>
      <c r="N40" s="10" t="s">
        <v>37</v>
      </c>
    </row>
    <row r="41" spans="1:14" x14ac:dyDescent="0.25">
      <c r="A41" s="9" t="s">
        <v>189</v>
      </c>
      <c r="B41" s="2">
        <v>45562</v>
      </c>
      <c r="C41" s="1" t="s">
        <v>190</v>
      </c>
      <c r="D41" s="1" t="s">
        <v>26</v>
      </c>
      <c r="E41" s="1" t="s">
        <v>17</v>
      </c>
      <c r="F41" s="1" t="s">
        <v>82</v>
      </c>
      <c r="G41" s="1" t="s">
        <v>42</v>
      </c>
      <c r="H41" s="1" t="s">
        <v>61</v>
      </c>
      <c r="I41" s="1" t="s">
        <v>185</v>
      </c>
      <c r="J41" s="1">
        <v>3</v>
      </c>
      <c r="K41" s="3">
        <v>5368.27</v>
      </c>
      <c r="L41" s="1">
        <v>10</v>
      </c>
      <c r="M41" s="1" t="s">
        <v>56</v>
      </c>
      <c r="N41" s="10" t="s">
        <v>64</v>
      </c>
    </row>
    <row r="42" spans="1:14" x14ac:dyDescent="0.25">
      <c r="A42" s="9" t="s">
        <v>194</v>
      </c>
      <c r="B42" s="2">
        <v>45235</v>
      </c>
      <c r="C42" s="1" t="s">
        <v>195</v>
      </c>
      <c r="D42" s="1" t="s">
        <v>147</v>
      </c>
      <c r="E42" s="1" t="s">
        <v>72</v>
      </c>
      <c r="F42" s="1" t="s">
        <v>18</v>
      </c>
      <c r="G42" s="1" t="s">
        <v>42</v>
      </c>
      <c r="H42" s="1" t="s">
        <v>61</v>
      </c>
      <c r="I42" s="1" t="s">
        <v>196</v>
      </c>
      <c r="J42" s="1">
        <v>10</v>
      </c>
      <c r="K42" s="3">
        <v>44533.45</v>
      </c>
      <c r="L42" s="1">
        <v>20</v>
      </c>
      <c r="M42" s="1" t="s">
        <v>93</v>
      </c>
      <c r="N42" s="10" t="s">
        <v>74</v>
      </c>
    </row>
    <row r="43" spans="1:14" x14ac:dyDescent="0.25">
      <c r="A43" s="9" t="s">
        <v>197</v>
      </c>
      <c r="B43" s="2">
        <v>45442</v>
      </c>
      <c r="C43" s="1" t="s">
        <v>198</v>
      </c>
      <c r="D43" s="1" t="s">
        <v>52</v>
      </c>
      <c r="E43" s="1" t="s">
        <v>41</v>
      </c>
      <c r="F43" s="1" t="s">
        <v>99</v>
      </c>
      <c r="G43" s="1" t="s">
        <v>19</v>
      </c>
      <c r="H43" s="1" t="s">
        <v>29</v>
      </c>
      <c r="I43" s="1" t="s">
        <v>96</v>
      </c>
      <c r="J43" s="1">
        <v>-9</v>
      </c>
      <c r="K43" s="3">
        <v>16779.46</v>
      </c>
      <c r="L43" s="1">
        <v>20</v>
      </c>
      <c r="M43" s="1" t="s">
        <v>69</v>
      </c>
      <c r="N43" s="10" t="s">
        <v>64</v>
      </c>
    </row>
    <row r="44" spans="1:14" x14ac:dyDescent="0.25">
      <c r="A44" s="9" t="s">
        <v>199</v>
      </c>
      <c r="B44" s="2">
        <v>45061</v>
      </c>
      <c r="C44" s="1" t="s">
        <v>200</v>
      </c>
      <c r="D44" s="1" t="s">
        <v>67</v>
      </c>
      <c r="E44" s="1" t="s">
        <v>34</v>
      </c>
      <c r="F44" s="1" t="s">
        <v>88</v>
      </c>
      <c r="G44" s="1" t="s">
        <v>42</v>
      </c>
      <c r="H44" s="1" t="s">
        <v>61</v>
      </c>
      <c r="I44" s="1" t="s">
        <v>185</v>
      </c>
      <c r="J44" s="1">
        <v>7</v>
      </c>
      <c r="K44" s="3">
        <v>5796.23</v>
      </c>
      <c r="L44" s="1">
        <v>15</v>
      </c>
      <c r="M44" s="1" t="s">
        <v>69</v>
      </c>
      <c r="N44" s="10" t="s">
        <v>45</v>
      </c>
    </row>
    <row r="45" spans="1:14" x14ac:dyDescent="0.25">
      <c r="A45" s="9" t="s">
        <v>201</v>
      </c>
      <c r="B45" s="2">
        <v>45121</v>
      </c>
      <c r="C45" s="1" t="s">
        <v>80</v>
      </c>
      <c r="D45" s="1" t="s">
        <v>16</v>
      </c>
      <c r="E45" s="1" t="s">
        <v>34</v>
      </c>
      <c r="F45" s="1" t="s">
        <v>82</v>
      </c>
      <c r="G45" s="1" t="s">
        <v>19</v>
      </c>
      <c r="H45" s="1" t="s">
        <v>29</v>
      </c>
      <c r="I45" s="1" t="s">
        <v>162</v>
      </c>
      <c r="J45" s="1">
        <v>4</v>
      </c>
      <c r="K45" s="3">
        <v>5558.37</v>
      </c>
      <c r="L45" s="1">
        <v>20</v>
      </c>
      <c r="M45" s="1" t="s">
        <v>56</v>
      </c>
      <c r="N45" s="10" t="s">
        <v>74</v>
      </c>
    </row>
    <row r="46" spans="1:14" x14ac:dyDescent="0.25">
      <c r="A46" s="9" t="s">
        <v>202</v>
      </c>
      <c r="B46" s="2">
        <v>44977</v>
      </c>
      <c r="C46" s="1" t="s">
        <v>203</v>
      </c>
      <c r="D46" s="1" t="s">
        <v>52</v>
      </c>
      <c r="E46" s="1" t="s">
        <v>72</v>
      </c>
      <c r="F46" s="1" t="s">
        <v>60</v>
      </c>
      <c r="G46" s="1" t="s">
        <v>42</v>
      </c>
      <c r="H46" s="1" t="s">
        <v>61</v>
      </c>
      <c r="I46" s="1" t="s">
        <v>204</v>
      </c>
      <c r="J46" s="1">
        <v>6</v>
      </c>
      <c r="K46" s="3">
        <v>21718.53</v>
      </c>
      <c r="L46" s="1" t="s">
        <v>110</v>
      </c>
      <c r="M46" s="1" t="s">
        <v>56</v>
      </c>
      <c r="N46" s="10" t="s">
        <v>74</v>
      </c>
    </row>
    <row r="47" spans="1:14" x14ac:dyDescent="0.25">
      <c r="A47" s="9" t="s">
        <v>205</v>
      </c>
      <c r="B47" s="2">
        <v>45308</v>
      </c>
      <c r="C47" s="1" t="s">
        <v>206</v>
      </c>
      <c r="D47" s="1" t="s">
        <v>33</v>
      </c>
      <c r="E47" s="1" t="s">
        <v>59</v>
      </c>
      <c r="F47" s="1" t="s">
        <v>82</v>
      </c>
      <c r="G47" s="1" t="s">
        <v>53</v>
      </c>
      <c r="H47" s="1" t="s">
        <v>54</v>
      </c>
      <c r="I47" s="1" t="s">
        <v>207</v>
      </c>
      <c r="J47" s="1">
        <v>6</v>
      </c>
      <c r="K47" s="3">
        <v>7513.39</v>
      </c>
      <c r="L47" s="1">
        <v>5</v>
      </c>
      <c r="M47" s="1" t="s">
        <v>93</v>
      </c>
      <c r="N47" s="10" t="s">
        <v>37</v>
      </c>
    </row>
    <row r="48" spans="1:14" x14ac:dyDescent="0.25">
      <c r="A48" s="9" t="s">
        <v>209</v>
      </c>
      <c r="B48" s="2">
        <v>45003</v>
      </c>
      <c r="C48" s="1" t="s">
        <v>210</v>
      </c>
      <c r="D48" s="1" t="s">
        <v>40</v>
      </c>
      <c r="E48" s="1" t="s">
        <v>72</v>
      </c>
      <c r="F48" s="1" t="s">
        <v>82</v>
      </c>
      <c r="G48" s="1" t="s">
        <v>19</v>
      </c>
      <c r="H48" s="1" t="s">
        <v>29</v>
      </c>
      <c r="I48" s="1" t="s">
        <v>162</v>
      </c>
      <c r="J48" s="1">
        <v>6</v>
      </c>
      <c r="K48" s="3">
        <v>22781.01</v>
      </c>
      <c r="L48" s="1">
        <v>15</v>
      </c>
      <c r="M48" s="1" t="s">
        <v>56</v>
      </c>
      <c r="N48" s="10" t="s">
        <v>45</v>
      </c>
    </row>
    <row r="49" spans="1:14" x14ac:dyDescent="0.25">
      <c r="A49" s="9" t="s">
        <v>211</v>
      </c>
      <c r="B49" s="2">
        <v>45559</v>
      </c>
      <c r="C49" s="1" t="s">
        <v>212</v>
      </c>
      <c r="D49" s="1" t="s">
        <v>67</v>
      </c>
      <c r="E49" s="1" t="s">
        <v>27</v>
      </c>
      <c r="F49" s="1" t="s">
        <v>49</v>
      </c>
      <c r="G49" s="1" t="s">
        <v>19</v>
      </c>
      <c r="H49" s="1" t="s">
        <v>20</v>
      </c>
      <c r="I49" s="1" t="s">
        <v>213</v>
      </c>
      <c r="J49" s="1">
        <v>10</v>
      </c>
      <c r="K49" s="3">
        <v>2773.36</v>
      </c>
      <c r="L49" s="1">
        <v>5</v>
      </c>
      <c r="M49" s="1" t="s">
        <v>22</v>
      </c>
      <c r="N49" s="10" t="s">
        <v>74</v>
      </c>
    </row>
    <row r="50" spans="1:14" x14ac:dyDescent="0.25">
      <c r="A50" s="9" t="s">
        <v>215</v>
      </c>
      <c r="B50" s="2">
        <v>45543</v>
      </c>
      <c r="C50" s="1" t="s">
        <v>216</v>
      </c>
      <c r="D50" s="1" t="s">
        <v>40</v>
      </c>
      <c r="E50" s="1" t="s">
        <v>34</v>
      </c>
      <c r="F50" s="1" t="s">
        <v>49</v>
      </c>
      <c r="G50" s="1" t="s">
        <v>42</v>
      </c>
      <c r="H50" s="1" t="s">
        <v>61</v>
      </c>
      <c r="I50" s="1" t="s">
        <v>217</v>
      </c>
      <c r="J50" s="1">
        <v>4</v>
      </c>
      <c r="K50" s="3">
        <v>15322.22</v>
      </c>
      <c r="L50" s="1">
        <v>10</v>
      </c>
      <c r="M50" s="1" t="s">
        <v>69</v>
      </c>
      <c r="N50" s="10" t="s">
        <v>45</v>
      </c>
    </row>
    <row r="51" spans="1:14" x14ac:dyDescent="0.25">
      <c r="A51" s="9" t="s">
        <v>218</v>
      </c>
      <c r="B51" s="2">
        <v>45636</v>
      </c>
      <c r="C51" s="1" t="s">
        <v>219</v>
      </c>
      <c r="D51" s="1" t="s">
        <v>16</v>
      </c>
      <c r="E51" s="1" t="s">
        <v>27</v>
      </c>
      <c r="F51" s="1" t="s">
        <v>18</v>
      </c>
      <c r="G51" s="1" t="s">
        <v>19</v>
      </c>
      <c r="H51" s="1" t="s">
        <v>29</v>
      </c>
      <c r="I51" s="1" t="s">
        <v>220</v>
      </c>
      <c r="J51" s="1">
        <v>10</v>
      </c>
      <c r="K51" s="3">
        <v>25784.92</v>
      </c>
      <c r="L51" s="1">
        <v>15</v>
      </c>
      <c r="M51" s="1" t="s">
        <v>36</v>
      </c>
      <c r="N51" s="10" t="s">
        <v>74</v>
      </c>
    </row>
    <row r="52" spans="1:14" x14ac:dyDescent="0.25">
      <c r="A52" s="9" t="s">
        <v>221</v>
      </c>
      <c r="B52" s="2">
        <v>45448</v>
      </c>
      <c r="C52" s="1" t="s">
        <v>222</v>
      </c>
      <c r="D52" s="1" t="s">
        <v>52</v>
      </c>
      <c r="E52" s="1" t="s">
        <v>72</v>
      </c>
      <c r="F52" s="1" t="s">
        <v>18</v>
      </c>
      <c r="G52" s="1" t="s">
        <v>19</v>
      </c>
      <c r="H52" s="1" t="s">
        <v>29</v>
      </c>
      <c r="I52" s="1" t="s">
        <v>223</v>
      </c>
      <c r="J52" s="1">
        <v>4</v>
      </c>
      <c r="K52" s="3">
        <v>1241.2</v>
      </c>
      <c r="L52" s="1">
        <v>15</v>
      </c>
      <c r="M52" s="1" t="s">
        <v>69</v>
      </c>
      <c r="N52" s="10" t="s">
        <v>37</v>
      </c>
    </row>
    <row r="53" spans="1:14" x14ac:dyDescent="0.25">
      <c r="A53" s="9" t="s">
        <v>224</v>
      </c>
      <c r="B53" s="2">
        <v>45461</v>
      </c>
      <c r="C53" s="1" t="s">
        <v>225</v>
      </c>
      <c r="D53" s="1" t="s">
        <v>147</v>
      </c>
      <c r="E53" s="1" t="s">
        <v>72</v>
      </c>
      <c r="F53" s="1" t="s">
        <v>28</v>
      </c>
      <c r="G53" s="1" t="s">
        <v>19</v>
      </c>
      <c r="H53" s="1" t="s">
        <v>20</v>
      </c>
      <c r="I53" s="1" t="s">
        <v>226</v>
      </c>
      <c r="J53" s="1">
        <v>2</v>
      </c>
      <c r="K53" s="3">
        <v>4601.55</v>
      </c>
      <c r="L53" s="1">
        <v>5</v>
      </c>
      <c r="M53" s="1" t="s">
        <v>22</v>
      </c>
      <c r="N53" s="10" t="s">
        <v>31</v>
      </c>
    </row>
    <row r="54" spans="1:14" x14ac:dyDescent="0.25">
      <c r="A54" s="9" t="s">
        <v>227</v>
      </c>
      <c r="B54" s="2">
        <v>45240</v>
      </c>
      <c r="C54" s="1" t="s">
        <v>228</v>
      </c>
      <c r="D54" s="1" t="s">
        <v>33</v>
      </c>
      <c r="E54" s="1" t="s">
        <v>72</v>
      </c>
      <c r="F54" s="1" t="s">
        <v>88</v>
      </c>
      <c r="G54" s="1" t="s">
        <v>19</v>
      </c>
      <c r="H54" s="1" t="s">
        <v>20</v>
      </c>
      <c r="I54" s="1" t="s">
        <v>213</v>
      </c>
      <c r="J54" s="1">
        <v>2</v>
      </c>
      <c r="K54" s="3">
        <v>6614.18</v>
      </c>
      <c r="L54" s="1">
        <v>20</v>
      </c>
      <c r="M54" s="1" t="s">
        <v>93</v>
      </c>
      <c r="N54" s="10" t="s">
        <v>74</v>
      </c>
    </row>
    <row r="55" spans="1:14" x14ac:dyDescent="0.25">
      <c r="A55" s="9" t="s">
        <v>231</v>
      </c>
      <c r="B55" s="2">
        <v>45212</v>
      </c>
      <c r="C55" s="1" t="s">
        <v>129</v>
      </c>
      <c r="D55" s="1" t="s">
        <v>16</v>
      </c>
      <c r="E55" s="1" t="s">
        <v>72</v>
      </c>
      <c r="F55" s="1" t="s">
        <v>28</v>
      </c>
      <c r="G55" s="1" t="s">
        <v>83</v>
      </c>
      <c r="H55" s="1" t="s">
        <v>43</v>
      </c>
      <c r="I55" s="1" t="s">
        <v>50</v>
      </c>
      <c r="J55" s="1">
        <v>7</v>
      </c>
      <c r="K55" s="3">
        <v>24744.35</v>
      </c>
      <c r="L55" s="1">
        <v>15</v>
      </c>
      <c r="M55" s="1" t="s">
        <v>69</v>
      </c>
      <c r="N55" s="10" t="s">
        <v>64</v>
      </c>
    </row>
    <row r="56" spans="1:14" x14ac:dyDescent="0.25">
      <c r="A56" s="9" t="s">
        <v>232</v>
      </c>
      <c r="B56" s="2">
        <v>45416</v>
      </c>
      <c r="C56" s="1" t="s">
        <v>233</v>
      </c>
      <c r="D56" s="1" t="s">
        <v>67</v>
      </c>
      <c r="E56" s="1" t="s">
        <v>17</v>
      </c>
      <c r="F56" s="1" t="s">
        <v>60</v>
      </c>
      <c r="G56" s="1" t="s">
        <v>42</v>
      </c>
      <c r="H56" s="1" t="s">
        <v>61</v>
      </c>
      <c r="I56" s="1" t="s">
        <v>234</v>
      </c>
      <c r="J56" s="1">
        <v>5</v>
      </c>
      <c r="K56" s="3">
        <v>11914.73</v>
      </c>
      <c r="L56" s="1">
        <v>10</v>
      </c>
      <c r="M56" s="1" t="s">
        <v>69</v>
      </c>
      <c r="N56" s="10" t="s">
        <v>23</v>
      </c>
    </row>
    <row r="57" spans="1:14" x14ac:dyDescent="0.25">
      <c r="A57" s="9" t="s">
        <v>237</v>
      </c>
      <c r="B57" s="2">
        <v>45370</v>
      </c>
      <c r="C57" s="1" t="s">
        <v>238</v>
      </c>
      <c r="D57" s="1" t="s">
        <v>81</v>
      </c>
      <c r="E57" s="1" t="s">
        <v>34</v>
      </c>
      <c r="F57" s="1" t="s">
        <v>18</v>
      </c>
      <c r="G57" s="1" t="s">
        <v>19</v>
      </c>
      <c r="H57" s="1" t="s">
        <v>20</v>
      </c>
      <c r="I57" s="1" t="s">
        <v>239</v>
      </c>
      <c r="J57" s="1">
        <v>4</v>
      </c>
      <c r="K57" s="3">
        <v>9060.7000000000007</v>
      </c>
      <c r="L57" s="1">
        <v>20</v>
      </c>
      <c r="M57" s="1" t="s">
        <v>93</v>
      </c>
      <c r="N57" s="10" t="s">
        <v>23</v>
      </c>
    </row>
    <row r="58" spans="1:14" x14ac:dyDescent="0.25">
      <c r="A58" s="9" t="s">
        <v>240</v>
      </c>
      <c r="B58" s="2">
        <v>45090</v>
      </c>
      <c r="C58" s="1" t="s">
        <v>241</v>
      </c>
      <c r="D58" s="1" t="s">
        <v>147</v>
      </c>
      <c r="E58" s="1" t="s">
        <v>41</v>
      </c>
      <c r="F58" s="1" t="s">
        <v>82</v>
      </c>
      <c r="G58" s="1" t="s">
        <v>42</v>
      </c>
      <c r="H58" s="1" t="s">
        <v>61</v>
      </c>
      <c r="I58" s="1" t="s">
        <v>68</v>
      </c>
      <c r="J58" s="1">
        <v>6</v>
      </c>
      <c r="K58" s="3">
        <v>14131.34</v>
      </c>
      <c r="L58" s="1">
        <v>0</v>
      </c>
      <c r="M58" s="1" t="s">
        <v>93</v>
      </c>
      <c r="N58" s="10" t="s">
        <v>31</v>
      </c>
    </row>
    <row r="59" spans="1:14" x14ac:dyDescent="0.25">
      <c r="A59" s="9" t="s">
        <v>242</v>
      </c>
      <c r="B59" s="2">
        <v>45135</v>
      </c>
      <c r="C59" s="1" t="s">
        <v>243</v>
      </c>
      <c r="D59" s="1" t="s">
        <v>81</v>
      </c>
      <c r="E59" s="1" t="s">
        <v>59</v>
      </c>
      <c r="F59" s="1" t="s">
        <v>82</v>
      </c>
      <c r="G59" s="1" t="s">
        <v>42</v>
      </c>
      <c r="H59" s="1" t="s">
        <v>43</v>
      </c>
      <c r="I59" s="1" t="s">
        <v>244</v>
      </c>
      <c r="J59" s="1">
        <v>2</v>
      </c>
      <c r="K59" s="3">
        <v>4930.3900000000003</v>
      </c>
      <c r="L59" s="1">
        <v>20</v>
      </c>
      <c r="M59" s="1" t="s">
        <v>93</v>
      </c>
      <c r="N59" s="10" t="s">
        <v>45</v>
      </c>
    </row>
    <row r="60" spans="1:14" x14ac:dyDescent="0.25">
      <c r="A60" s="9" t="s">
        <v>245</v>
      </c>
      <c r="B60" s="2">
        <v>45222</v>
      </c>
      <c r="C60" s="1" t="s">
        <v>246</v>
      </c>
      <c r="D60" s="1" t="s">
        <v>169</v>
      </c>
      <c r="E60" s="1" t="s">
        <v>27</v>
      </c>
      <c r="F60" s="1" t="s">
        <v>18</v>
      </c>
      <c r="G60" s="1" t="s">
        <v>42</v>
      </c>
      <c r="H60" s="1" t="s">
        <v>61</v>
      </c>
      <c r="I60" s="1" t="s">
        <v>247</v>
      </c>
      <c r="J60" s="1">
        <v>6</v>
      </c>
      <c r="K60" s="3">
        <v>19227.38</v>
      </c>
      <c r="L60" s="1" t="s">
        <v>110</v>
      </c>
      <c r="M60" s="1" t="s">
        <v>22</v>
      </c>
      <c r="N60" s="10" t="s">
        <v>23</v>
      </c>
    </row>
    <row r="61" spans="1:14" x14ac:dyDescent="0.25">
      <c r="A61" s="9" t="s">
        <v>248</v>
      </c>
      <c r="B61" s="2">
        <v>45631</v>
      </c>
      <c r="C61" s="1" t="s">
        <v>249</v>
      </c>
      <c r="D61" s="1" t="s">
        <v>26</v>
      </c>
      <c r="E61" s="1" t="s">
        <v>59</v>
      </c>
      <c r="F61" s="1" t="s">
        <v>99</v>
      </c>
      <c r="G61" s="1" t="s">
        <v>42</v>
      </c>
      <c r="H61" s="1" t="s">
        <v>61</v>
      </c>
      <c r="I61" s="1" t="s">
        <v>250</v>
      </c>
      <c r="J61" s="1">
        <v>3</v>
      </c>
      <c r="K61" s="3">
        <v>3856.11</v>
      </c>
      <c r="L61" s="1">
        <v>20</v>
      </c>
      <c r="M61" s="1" t="s">
        <v>93</v>
      </c>
      <c r="N61" s="10" t="s">
        <v>64</v>
      </c>
    </row>
    <row r="62" spans="1:14" x14ac:dyDescent="0.25">
      <c r="A62" s="9" t="s">
        <v>251</v>
      </c>
      <c r="B62" s="2">
        <v>45524</v>
      </c>
      <c r="C62" s="1" t="s">
        <v>252</v>
      </c>
      <c r="D62" s="1" t="s">
        <v>16</v>
      </c>
      <c r="E62" s="1" t="s">
        <v>59</v>
      </c>
      <c r="F62" s="1" t="s">
        <v>18</v>
      </c>
      <c r="G62" s="1" t="s">
        <v>53</v>
      </c>
      <c r="H62" s="1" t="s">
        <v>54</v>
      </c>
      <c r="I62" s="1" t="s">
        <v>253</v>
      </c>
      <c r="J62" s="1">
        <v>1</v>
      </c>
      <c r="K62" s="3">
        <v>4490.13</v>
      </c>
      <c r="L62" s="1">
        <v>20</v>
      </c>
      <c r="M62" s="1" t="s">
        <v>93</v>
      </c>
      <c r="N62" s="10" t="s">
        <v>64</v>
      </c>
    </row>
    <row r="63" spans="1:14" x14ac:dyDescent="0.25">
      <c r="A63" s="9" t="s">
        <v>256</v>
      </c>
      <c r="B63" s="2">
        <v>45186</v>
      </c>
      <c r="C63" s="1" t="s">
        <v>257</v>
      </c>
      <c r="D63" s="1" t="s">
        <v>87</v>
      </c>
      <c r="E63" s="1" t="s">
        <v>34</v>
      </c>
      <c r="F63" s="1" t="s">
        <v>49</v>
      </c>
      <c r="G63" s="1" t="s">
        <v>83</v>
      </c>
      <c r="H63" s="1" t="s">
        <v>43</v>
      </c>
      <c r="I63" s="1" t="s">
        <v>258</v>
      </c>
      <c r="J63" s="1">
        <v>9</v>
      </c>
      <c r="K63" s="3">
        <v>11726.09</v>
      </c>
      <c r="L63" s="1">
        <v>0</v>
      </c>
      <c r="M63" s="1" t="s">
        <v>22</v>
      </c>
      <c r="N63" s="10" t="s">
        <v>23</v>
      </c>
    </row>
    <row r="64" spans="1:14" x14ac:dyDescent="0.25">
      <c r="A64" s="9" t="s">
        <v>259</v>
      </c>
      <c r="B64" s="2">
        <v>45630</v>
      </c>
      <c r="C64" s="1" t="s">
        <v>260</v>
      </c>
      <c r="D64" s="1" t="s">
        <v>81</v>
      </c>
      <c r="E64" s="1" t="s">
        <v>41</v>
      </c>
      <c r="F64" s="1" t="s">
        <v>28</v>
      </c>
      <c r="G64" s="1" t="s">
        <v>19</v>
      </c>
      <c r="H64" s="1" t="s">
        <v>20</v>
      </c>
      <c r="I64" s="1" t="s">
        <v>261</v>
      </c>
      <c r="J64" s="1">
        <v>5</v>
      </c>
      <c r="K64" s="3">
        <v>19743.150000000001</v>
      </c>
      <c r="L64" s="1">
        <v>0</v>
      </c>
      <c r="M64" s="1" t="s">
        <v>36</v>
      </c>
      <c r="N64" s="10" t="s">
        <v>45</v>
      </c>
    </row>
    <row r="65" spans="1:14" x14ac:dyDescent="0.25">
      <c r="A65" s="9" t="s">
        <v>264</v>
      </c>
      <c r="B65" s="2">
        <v>45206</v>
      </c>
      <c r="C65" s="1" t="s">
        <v>102</v>
      </c>
      <c r="D65" s="1" t="s">
        <v>67</v>
      </c>
      <c r="E65" s="1" t="s">
        <v>17</v>
      </c>
      <c r="F65" s="1" t="s">
        <v>49</v>
      </c>
      <c r="G65" s="1" t="s">
        <v>19</v>
      </c>
      <c r="H65" s="1" t="s">
        <v>29</v>
      </c>
      <c r="I65" s="1" t="s">
        <v>162</v>
      </c>
      <c r="J65" s="1">
        <v>4</v>
      </c>
      <c r="K65" s="3">
        <v>14963.19</v>
      </c>
      <c r="L65" s="1">
        <v>0</v>
      </c>
      <c r="M65" s="1" t="s">
        <v>56</v>
      </c>
      <c r="N65" s="10" t="s">
        <v>74</v>
      </c>
    </row>
    <row r="66" spans="1:14" x14ac:dyDescent="0.25">
      <c r="A66" s="9" t="s">
        <v>265</v>
      </c>
      <c r="B66" s="2">
        <v>45439</v>
      </c>
      <c r="C66" s="1" t="s">
        <v>266</v>
      </c>
      <c r="D66" s="1" t="s">
        <v>52</v>
      </c>
      <c r="E66" s="1" t="s">
        <v>59</v>
      </c>
      <c r="F66" s="1" t="s">
        <v>88</v>
      </c>
      <c r="G66" s="1" t="s">
        <v>19</v>
      </c>
      <c r="H66" s="1" t="s">
        <v>29</v>
      </c>
      <c r="I66" s="1" t="s">
        <v>267</v>
      </c>
      <c r="J66" s="1">
        <v>5</v>
      </c>
      <c r="K66" s="3">
        <v>2230.77</v>
      </c>
      <c r="L66" s="1" t="s">
        <v>110</v>
      </c>
      <c r="M66" s="1" t="s">
        <v>93</v>
      </c>
      <c r="N66" s="10" t="s">
        <v>64</v>
      </c>
    </row>
    <row r="67" spans="1:14" x14ac:dyDescent="0.25">
      <c r="A67" s="9" t="s">
        <v>268</v>
      </c>
      <c r="B67" s="2">
        <v>45488</v>
      </c>
      <c r="C67" s="1" t="s">
        <v>51</v>
      </c>
      <c r="D67" s="1" t="s">
        <v>81</v>
      </c>
      <c r="E67" s="1" t="s">
        <v>59</v>
      </c>
      <c r="F67" s="1" t="s">
        <v>99</v>
      </c>
      <c r="G67" s="1" t="s">
        <v>42</v>
      </c>
      <c r="H67" s="1" t="s">
        <v>43</v>
      </c>
      <c r="I67" s="1" t="s">
        <v>157</v>
      </c>
      <c r="J67" s="1">
        <v>9</v>
      </c>
      <c r="K67" s="3">
        <v>17352.28</v>
      </c>
      <c r="L67" s="1">
        <v>5</v>
      </c>
      <c r="M67" s="1" t="s">
        <v>56</v>
      </c>
      <c r="N67" s="10" t="s">
        <v>23</v>
      </c>
    </row>
    <row r="68" spans="1:14" x14ac:dyDescent="0.25">
      <c r="A68" s="9" t="s">
        <v>270</v>
      </c>
      <c r="B68" s="2">
        <v>45415</v>
      </c>
      <c r="C68" s="1" t="s">
        <v>271</v>
      </c>
      <c r="D68" s="1" t="s">
        <v>33</v>
      </c>
      <c r="E68" s="1" t="s">
        <v>41</v>
      </c>
      <c r="F68" s="1" t="s">
        <v>88</v>
      </c>
      <c r="G68" s="1" t="s">
        <v>53</v>
      </c>
      <c r="H68" s="1" t="s">
        <v>54</v>
      </c>
      <c r="I68" s="1" t="s">
        <v>272</v>
      </c>
      <c r="J68" s="1">
        <v>8</v>
      </c>
      <c r="K68" s="3">
        <v>12558.9</v>
      </c>
      <c r="L68" s="1">
        <v>5</v>
      </c>
      <c r="M68" s="1" t="s">
        <v>69</v>
      </c>
      <c r="N68" s="10" t="s">
        <v>64</v>
      </c>
    </row>
    <row r="69" spans="1:14" x14ac:dyDescent="0.25">
      <c r="A69" s="9" t="s">
        <v>275</v>
      </c>
      <c r="B69" s="2">
        <v>45238</v>
      </c>
      <c r="C69" s="1" t="s">
        <v>276</v>
      </c>
      <c r="D69" s="1" t="s">
        <v>81</v>
      </c>
      <c r="E69" s="1" t="s">
        <v>72</v>
      </c>
      <c r="F69" s="1" t="s">
        <v>82</v>
      </c>
      <c r="G69" s="1" t="s">
        <v>19</v>
      </c>
      <c r="H69" s="1" t="s">
        <v>29</v>
      </c>
      <c r="I69" s="1" t="s">
        <v>113</v>
      </c>
      <c r="J69" s="1">
        <v>4</v>
      </c>
      <c r="K69" s="3">
        <v>4504.8900000000003</v>
      </c>
      <c r="L69" s="1">
        <v>0</v>
      </c>
      <c r="M69" s="1" t="s">
        <v>22</v>
      </c>
      <c r="N69" s="10" t="s">
        <v>74</v>
      </c>
    </row>
    <row r="70" spans="1:14" x14ac:dyDescent="0.25">
      <c r="A70" s="9" t="s">
        <v>277</v>
      </c>
      <c r="B70" s="2">
        <v>44935</v>
      </c>
      <c r="C70" s="1" t="s">
        <v>278</v>
      </c>
      <c r="D70" s="1" t="s">
        <v>40</v>
      </c>
      <c r="E70" s="1" t="s">
        <v>41</v>
      </c>
      <c r="F70" s="1" t="s">
        <v>18</v>
      </c>
      <c r="G70" s="1" t="s">
        <v>19</v>
      </c>
      <c r="H70" s="1" t="s">
        <v>20</v>
      </c>
      <c r="I70" s="1" t="s">
        <v>78</v>
      </c>
      <c r="J70" s="1">
        <v>7</v>
      </c>
      <c r="K70" s="3">
        <v>6276.11</v>
      </c>
      <c r="L70" s="1">
        <v>0</v>
      </c>
      <c r="M70" s="1" t="s">
        <v>69</v>
      </c>
      <c r="N70" s="10" t="s">
        <v>31</v>
      </c>
    </row>
    <row r="71" spans="1:14" x14ac:dyDescent="0.25">
      <c r="A71" s="9" t="s">
        <v>279</v>
      </c>
      <c r="B71" s="2">
        <v>45490</v>
      </c>
      <c r="C71" s="1" t="s">
        <v>271</v>
      </c>
      <c r="D71" s="1" t="s">
        <v>26</v>
      </c>
      <c r="E71" s="1" t="s">
        <v>34</v>
      </c>
      <c r="F71" s="1" t="s">
        <v>60</v>
      </c>
      <c r="G71" s="1" t="s">
        <v>19</v>
      </c>
      <c r="H71" s="1" t="s">
        <v>20</v>
      </c>
      <c r="I71" s="1" t="s">
        <v>280</v>
      </c>
      <c r="J71" s="1">
        <v>9</v>
      </c>
      <c r="K71" s="3">
        <v>14061.11</v>
      </c>
      <c r="L71" s="1">
        <v>0</v>
      </c>
      <c r="M71" s="1" t="s">
        <v>69</v>
      </c>
      <c r="N71" s="10" t="s">
        <v>37</v>
      </c>
    </row>
    <row r="72" spans="1:14" x14ac:dyDescent="0.25">
      <c r="A72" s="9" t="s">
        <v>281</v>
      </c>
      <c r="B72" s="2">
        <v>45258</v>
      </c>
      <c r="C72" s="1" t="s">
        <v>282</v>
      </c>
      <c r="D72" s="1" t="s">
        <v>33</v>
      </c>
      <c r="E72" s="1" t="s">
        <v>72</v>
      </c>
      <c r="F72" s="1" t="s">
        <v>18</v>
      </c>
      <c r="G72" s="1" t="s">
        <v>19</v>
      </c>
      <c r="H72" s="1" t="s">
        <v>20</v>
      </c>
      <c r="I72" s="1" t="s">
        <v>78</v>
      </c>
      <c r="J72" s="1">
        <v>9</v>
      </c>
      <c r="K72" s="3">
        <v>28624.58</v>
      </c>
      <c r="L72" s="1">
        <v>0</v>
      </c>
      <c r="M72" s="1" t="s">
        <v>36</v>
      </c>
      <c r="N72" s="10" t="s">
        <v>37</v>
      </c>
    </row>
    <row r="73" spans="1:14" x14ac:dyDescent="0.25">
      <c r="A73" s="9" t="s">
        <v>283</v>
      </c>
      <c r="B73" s="2">
        <v>45092</v>
      </c>
      <c r="C73" s="1" t="s">
        <v>284</v>
      </c>
      <c r="D73" s="1" t="s">
        <v>33</v>
      </c>
      <c r="E73" s="1" t="s">
        <v>72</v>
      </c>
      <c r="F73" s="1" t="s">
        <v>60</v>
      </c>
      <c r="G73" s="1" t="s">
        <v>42</v>
      </c>
      <c r="H73" s="1" t="s">
        <v>43</v>
      </c>
      <c r="I73" s="1" t="s">
        <v>285</v>
      </c>
      <c r="J73" s="1">
        <v>7</v>
      </c>
      <c r="K73" s="3">
        <v>2287.0700000000002</v>
      </c>
      <c r="L73" s="1">
        <v>5</v>
      </c>
      <c r="M73" s="1" t="s">
        <v>56</v>
      </c>
      <c r="N73" s="10" t="s">
        <v>31</v>
      </c>
    </row>
    <row r="74" spans="1:14" x14ac:dyDescent="0.25">
      <c r="A74" s="9" t="s">
        <v>286</v>
      </c>
      <c r="B74" s="2">
        <v>45553</v>
      </c>
      <c r="C74" s="1" t="s">
        <v>287</v>
      </c>
      <c r="D74" s="1" t="s">
        <v>26</v>
      </c>
      <c r="E74" s="1" t="s">
        <v>27</v>
      </c>
      <c r="F74" s="1" t="s">
        <v>49</v>
      </c>
      <c r="G74" s="1" t="s">
        <v>42</v>
      </c>
      <c r="H74" s="1" t="s">
        <v>43</v>
      </c>
      <c r="I74" s="1" t="s">
        <v>288</v>
      </c>
      <c r="J74" s="1">
        <v>1</v>
      </c>
      <c r="K74" s="3">
        <v>1099.3699999999999</v>
      </c>
      <c r="L74" s="1" t="s">
        <v>110</v>
      </c>
      <c r="M74" s="1" t="s">
        <v>56</v>
      </c>
      <c r="N74" s="10" t="s">
        <v>64</v>
      </c>
    </row>
    <row r="75" spans="1:14" x14ac:dyDescent="0.25">
      <c r="A75" s="9" t="s">
        <v>289</v>
      </c>
      <c r="B75" s="2">
        <v>45105</v>
      </c>
      <c r="C75" s="1" t="s">
        <v>290</v>
      </c>
      <c r="D75" s="1" t="s">
        <v>71</v>
      </c>
      <c r="E75" s="1" t="s">
        <v>41</v>
      </c>
      <c r="F75" s="1" t="s">
        <v>82</v>
      </c>
      <c r="G75" s="1" t="s">
        <v>19</v>
      </c>
      <c r="H75" s="1" t="s">
        <v>20</v>
      </c>
      <c r="I75" s="1" t="s">
        <v>280</v>
      </c>
      <c r="J75" s="1">
        <v>4</v>
      </c>
      <c r="K75" s="3">
        <v>19793.580000000002</v>
      </c>
      <c r="L75" s="1">
        <v>10</v>
      </c>
      <c r="M75" s="1" t="s">
        <v>36</v>
      </c>
      <c r="N75" s="10" t="s">
        <v>31</v>
      </c>
    </row>
    <row r="76" spans="1:14" x14ac:dyDescent="0.25">
      <c r="A76" s="9" t="s">
        <v>291</v>
      </c>
      <c r="B76" s="2">
        <v>45397</v>
      </c>
      <c r="C76" s="1" t="s">
        <v>292</v>
      </c>
      <c r="D76" s="1" t="s">
        <v>147</v>
      </c>
      <c r="E76" s="1" t="s">
        <v>34</v>
      </c>
      <c r="F76" s="1" t="s">
        <v>49</v>
      </c>
      <c r="G76" s="1" t="s">
        <v>19</v>
      </c>
      <c r="H76" s="1" t="s">
        <v>29</v>
      </c>
      <c r="I76" s="1" t="s">
        <v>35</v>
      </c>
      <c r="J76" s="1">
        <v>8</v>
      </c>
      <c r="K76" s="3">
        <v>30439.91</v>
      </c>
      <c r="L76" s="1" t="s">
        <v>110</v>
      </c>
      <c r="M76" s="1" t="s">
        <v>63</v>
      </c>
      <c r="N76" s="10" t="s">
        <v>31</v>
      </c>
    </row>
    <row r="77" spans="1:14" x14ac:dyDescent="0.25">
      <c r="A77" s="9" t="s">
        <v>293</v>
      </c>
      <c r="B77" s="2">
        <v>45155</v>
      </c>
      <c r="C77" s="1" t="s">
        <v>276</v>
      </c>
      <c r="D77" s="1" t="s">
        <v>16</v>
      </c>
      <c r="E77" s="1" t="s">
        <v>72</v>
      </c>
      <c r="F77" s="1" t="s">
        <v>18</v>
      </c>
      <c r="G77" s="1" t="s">
        <v>42</v>
      </c>
      <c r="H77" s="1" t="s">
        <v>43</v>
      </c>
      <c r="I77" s="1" t="s">
        <v>274</v>
      </c>
      <c r="J77" s="1">
        <v>6</v>
      </c>
      <c r="K77" s="3">
        <v>13699.62</v>
      </c>
      <c r="L77" s="1">
        <v>0</v>
      </c>
      <c r="M77" s="1" t="s">
        <v>63</v>
      </c>
      <c r="N77" s="10" t="s">
        <v>23</v>
      </c>
    </row>
    <row r="78" spans="1:14" x14ac:dyDescent="0.25">
      <c r="A78" s="9" t="s">
        <v>295</v>
      </c>
      <c r="B78" s="2">
        <v>45009</v>
      </c>
      <c r="C78" s="1" t="s">
        <v>296</v>
      </c>
      <c r="D78" s="1" t="s">
        <v>26</v>
      </c>
      <c r="E78" s="1" t="s">
        <v>27</v>
      </c>
      <c r="F78" s="1" t="s">
        <v>18</v>
      </c>
      <c r="G78" s="1" t="s">
        <v>83</v>
      </c>
      <c r="H78" s="1" t="s">
        <v>43</v>
      </c>
      <c r="I78" s="1" t="s">
        <v>244</v>
      </c>
      <c r="J78" s="1">
        <v>4</v>
      </c>
      <c r="K78" s="3">
        <v>19716.87</v>
      </c>
      <c r="L78" s="1">
        <v>0</v>
      </c>
      <c r="M78" s="1" t="s">
        <v>93</v>
      </c>
      <c r="N78" s="10" t="s">
        <v>45</v>
      </c>
    </row>
    <row r="79" spans="1:14" x14ac:dyDescent="0.25">
      <c r="A79" s="9" t="s">
        <v>297</v>
      </c>
      <c r="B79" s="2">
        <v>44947</v>
      </c>
      <c r="C79" s="1" t="s">
        <v>298</v>
      </c>
      <c r="D79" s="1" t="s">
        <v>67</v>
      </c>
      <c r="E79" s="1" t="s">
        <v>17</v>
      </c>
      <c r="F79" s="1" t="s">
        <v>28</v>
      </c>
      <c r="G79" s="1" t="s">
        <v>19</v>
      </c>
      <c r="H79" s="1" t="s">
        <v>20</v>
      </c>
      <c r="I79" s="1" t="s">
        <v>138</v>
      </c>
      <c r="J79" s="1">
        <v>10</v>
      </c>
      <c r="K79" s="3">
        <v>13661.73</v>
      </c>
      <c r="L79" s="1" t="s">
        <v>110</v>
      </c>
      <c r="M79" s="1" t="s">
        <v>36</v>
      </c>
      <c r="N79" s="10" t="s">
        <v>31</v>
      </c>
    </row>
    <row r="80" spans="1:14" x14ac:dyDescent="0.25">
      <c r="A80" s="9" t="s">
        <v>299</v>
      </c>
      <c r="B80" s="2">
        <v>45082</v>
      </c>
      <c r="C80" s="1" t="s">
        <v>143</v>
      </c>
      <c r="D80" s="1" t="s">
        <v>81</v>
      </c>
      <c r="E80" s="1" t="s">
        <v>27</v>
      </c>
      <c r="F80" s="1" t="s">
        <v>49</v>
      </c>
      <c r="G80" s="1" t="s">
        <v>42</v>
      </c>
      <c r="H80" s="1" t="s">
        <v>43</v>
      </c>
      <c r="I80" s="1" t="s">
        <v>285</v>
      </c>
      <c r="J80" s="1">
        <v>6</v>
      </c>
      <c r="K80" s="3">
        <v>4017.48</v>
      </c>
      <c r="L80" s="1">
        <v>15</v>
      </c>
      <c r="M80" s="1" t="s">
        <v>69</v>
      </c>
      <c r="N80" s="10" t="s">
        <v>23</v>
      </c>
    </row>
    <row r="81" spans="1:14" x14ac:dyDescent="0.25">
      <c r="A81" s="9" t="s">
        <v>300</v>
      </c>
      <c r="B81" s="2">
        <v>45138</v>
      </c>
      <c r="C81" s="1" t="s">
        <v>301</v>
      </c>
      <c r="D81" s="1" t="s">
        <v>81</v>
      </c>
      <c r="E81" s="1" t="s">
        <v>27</v>
      </c>
      <c r="F81" s="1" t="s">
        <v>99</v>
      </c>
      <c r="G81" s="1" t="s">
        <v>42</v>
      </c>
      <c r="H81" s="1" t="s">
        <v>61</v>
      </c>
      <c r="I81" s="1" t="s">
        <v>302</v>
      </c>
      <c r="J81" s="1">
        <v>6</v>
      </c>
      <c r="K81" s="3">
        <v>10122.549999999999</v>
      </c>
      <c r="L81" s="1">
        <v>10</v>
      </c>
      <c r="M81" s="1" t="s">
        <v>56</v>
      </c>
      <c r="N81" s="10" t="s">
        <v>23</v>
      </c>
    </row>
    <row r="82" spans="1:14" x14ac:dyDescent="0.25">
      <c r="A82" s="9" t="s">
        <v>303</v>
      </c>
      <c r="B82" s="2">
        <v>45156</v>
      </c>
      <c r="C82" s="1" t="s">
        <v>304</v>
      </c>
      <c r="D82" s="1" t="s">
        <v>40</v>
      </c>
      <c r="E82" s="1" t="s">
        <v>17</v>
      </c>
      <c r="F82" s="1" t="s">
        <v>99</v>
      </c>
      <c r="G82" s="1" t="s">
        <v>42</v>
      </c>
      <c r="H82" s="1" t="s">
        <v>61</v>
      </c>
      <c r="I82" s="1" t="s">
        <v>305</v>
      </c>
      <c r="J82" s="1">
        <v>1</v>
      </c>
      <c r="K82" s="3">
        <v>4787.4799999999996</v>
      </c>
      <c r="L82" s="1">
        <v>20</v>
      </c>
      <c r="M82" s="1" t="s">
        <v>36</v>
      </c>
      <c r="N82" s="10" t="s">
        <v>45</v>
      </c>
    </row>
    <row r="83" spans="1:14" x14ac:dyDescent="0.25">
      <c r="A83" s="9" t="s">
        <v>306</v>
      </c>
      <c r="B83" s="2">
        <v>45245</v>
      </c>
      <c r="C83" s="1" t="s">
        <v>307</v>
      </c>
      <c r="D83" s="1" t="s">
        <v>52</v>
      </c>
      <c r="E83" s="1" t="s">
        <v>59</v>
      </c>
      <c r="F83" s="1" t="s">
        <v>18</v>
      </c>
      <c r="G83" s="1" t="s">
        <v>53</v>
      </c>
      <c r="H83" s="1" t="s">
        <v>54</v>
      </c>
      <c r="I83" s="1" t="s">
        <v>308</v>
      </c>
      <c r="J83" s="1">
        <v>9</v>
      </c>
      <c r="K83" s="3">
        <v>42871.1</v>
      </c>
      <c r="L83" s="1">
        <v>20</v>
      </c>
      <c r="M83" s="1" t="s">
        <v>56</v>
      </c>
      <c r="N83" s="10" t="s">
        <v>45</v>
      </c>
    </row>
    <row r="84" spans="1:14" x14ac:dyDescent="0.25">
      <c r="A84" s="9" t="s">
        <v>309</v>
      </c>
      <c r="B84" s="2">
        <v>45226</v>
      </c>
      <c r="C84" s="1" t="s">
        <v>143</v>
      </c>
      <c r="D84" s="1" t="s">
        <v>81</v>
      </c>
      <c r="E84" s="1" t="s">
        <v>34</v>
      </c>
      <c r="F84" s="1" t="s">
        <v>49</v>
      </c>
      <c r="G84" s="1" t="s">
        <v>42</v>
      </c>
      <c r="H84" s="1" t="s">
        <v>61</v>
      </c>
      <c r="I84" s="1" t="s">
        <v>115</v>
      </c>
      <c r="J84" s="1">
        <v>2</v>
      </c>
      <c r="K84" s="3">
        <v>3464.52</v>
      </c>
      <c r="L84" s="1">
        <v>15</v>
      </c>
      <c r="M84" s="1" t="s">
        <v>22</v>
      </c>
      <c r="N84" s="10" t="s">
        <v>74</v>
      </c>
    </row>
    <row r="85" spans="1:14" x14ac:dyDescent="0.25">
      <c r="A85" s="9" t="s">
        <v>310</v>
      </c>
      <c r="B85" s="2">
        <v>45553</v>
      </c>
      <c r="C85" s="1" t="s">
        <v>311</v>
      </c>
      <c r="D85" s="1" t="s">
        <v>71</v>
      </c>
      <c r="E85" s="1" t="s">
        <v>17</v>
      </c>
      <c r="F85" s="1" t="s">
        <v>88</v>
      </c>
      <c r="G85" s="1" t="s">
        <v>19</v>
      </c>
      <c r="H85" s="1" t="s">
        <v>20</v>
      </c>
      <c r="I85" s="1" t="s">
        <v>312</v>
      </c>
      <c r="J85" s="1">
        <v>10</v>
      </c>
      <c r="K85" s="3">
        <v>47717.19</v>
      </c>
      <c r="L85" s="1">
        <v>10</v>
      </c>
      <c r="M85" s="1" t="s">
        <v>63</v>
      </c>
      <c r="N85" s="10" t="s">
        <v>74</v>
      </c>
    </row>
    <row r="86" spans="1:14" x14ac:dyDescent="0.25">
      <c r="A86" s="9" t="s">
        <v>313</v>
      </c>
      <c r="B86" s="2">
        <v>45555</v>
      </c>
      <c r="C86" s="1" t="s">
        <v>314</v>
      </c>
      <c r="D86" s="1" t="s">
        <v>16</v>
      </c>
      <c r="E86" s="1" t="s">
        <v>34</v>
      </c>
      <c r="F86" s="1" t="s">
        <v>60</v>
      </c>
      <c r="G86" s="1" t="s">
        <v>19</v>
      </c>
      <c r="H86" s="1" t="s">
        <v>20</v>
      </c>
      <c r="I86" s="1" t="s">
        <v>187</v>
      </c>
      <c r="J86" s="1">
        <v>7</v>
      </c>
      <c r="K86" s="3">
        <v>27924.04</v>
      </c>
      <c r="L86" s="1" t="s">
        <v>110</v>
      </c>
      <c r="M86" s="1" t="s">
        <v>93</v>
      </c>
      <c r="N86" s="10" t="s">
        <v>74</v>
      </c>
    </row>
    <row r="87" spans="1:14" x14ac:dyDescent="0.25">
      <c r="A87" s="9" t="s">
        <v>315</v>
      </c>
      <c r="B87" s="2">
        <v>45223</v>
      </c>
      <c r="C87" s="1" t="s">
        <v>150</v>
      </c>
      <c r="D87" s="1" t="s">
        <v>81</v>
      </c>
      <c r="E87" s="1" t="s">
        <v>59</v>
      </c>
      <c r="F87" s="1" t="s">
        <v>99</v>
      </c>
      <c r="G87" s="1" t="s">
        <v>19</v>
      </c>
      <c r="H87" s="1" t="s">
        <v>29</v>
      </c>
      <c r="I87" s="1" t="s">
        <v>223</v>
      </c>
      <c r="J87" s="1">
        <v>7</v>
      </c>
      <c r="K87" s="3">
        <v>17519.080000000002</v>
      </c>
      <c r="L87" s="1">
        <v>5</v>
      </c>
      <c r="M87" s="1" t="s">
        <v>22</v>
      </c>
      <c r="N87" s="10" t="s">
        <v>64</v>
      </c>
    </row>
    <row r="88" spans="1:14" x14ac:dyDescent="0.25">
      <c r="A88" s="9" t="s">
        <v>318</v>
      </c>
      <c r="B88" s="2">
        <v>45145</v>
      </c>
      <c r="C88" s="1" t="s">
        <v>319</v>
      </c>
      <c r="D88" s="1" t="s">
        <v>33</v>
      </c>
      <c r="E88" s="1" t="s">
        <v>17</v>
      </c>
      <c r="F88" s="1" t="s">
        <v>88</v>
      </c>
      <c r="G88" s="1" t="s">
        <v>19</v>
      </c>
      <c r="H88" s="1" t="s">
        <v>29</v>
      </c>
      <c r="I88" s="1" t="s">
        <v>320</v>
      </c>
      <c r="J88" s="1">
        <v>4</v>
      </c>
      <c r="K88" s="3">
        <v>16224.21</v>
      </c>
      <c r="L88" s="1" t="s">
        <v>110</v>
      </c>
      <c r="M88" s="1" t="s">
        <v>36</v>
      </c>
      <c r="N88" s="10" t="s">
        <v>64</v>
      </c>
    </row>
    <row r="89" spans="1:14" x14ac:dyDescent="0.25">
      <c r="A89" s="9" t="s">
        <v>321</v>
      </c>
      <c r="B89" s="2">
        <v>45353</v>
      </c>
      <c r="C89" s="1" t="s">
        <v>322</v>
      </c>
      <c r="D89" s="1" t="s">
        <v>40</v>
      </c>
      <c r="E89" s="1" t="s">
        <v>41</v>
      </c>
      <c r="F89" s="1" t="s">
        <v>60</v>
      </c>
      <c r="G89" s="1" t="s">
        <v>42</v>
      </c>
      <c r="H89" s="1" t="s">
        <v>43</v>
      </c>
      <c r="I89" s="1" t="s">
        <v>323</v>
      </c>
      <c r="J89" s="1">
        <v>2</v>
      </c>
      <c r="K89" s="3">
        <v>8917.5400000000009</v>
      </c>
      <c r="L89" s="1">
        <v>20</v>
      </c>
      <c r="M89" s="1" t="s">
        <v>93</v>
      </c>
      <c r="N89" s="10" t="s">
        <v>45</v>
      </c>
    </row>
    <row r="90" spans="1:14" x14ac:dyDescent="0.25">
      <c r="A90" s="9" t="s">
        <v>324</v>
      </c>
      <c r="B90" s="2">
        <v>44961</v>
      </c>
      <c r="C90" s="1" t="s">
        <v>325</v>
      </c>
      <c r="D90" s="1" t="s">
        <v>147</v>
      </c>
      <c r="E90" s="1" t="s">
        <v>34</v>
      </c>
      <c r="F90" s="1" t="s">
        <v>60</v>
      </c>
      <c r="G90" s="1" t="s">
        <v>19</v>
      </c>
      <c r="H90" s="1" t="s">
        <v>20</v>
      </c>
      <c r="I90" s="1" t="s">
        <v>326</v>
      </c>
      <c r="J90" s="1">
        <v>1</v>
      </c>
      <c r="K90" s="3">
        <v>4465.1000000000004</v>
      </c>
      <c r="L90" s="1">
        <v>0</v>
      </c>
      <c r="M90" s="1" t="s">
        <v>22</v>
      </c>
      <c r="N90" s="10" t="s">
        <v>23</v>
      </c>
    </row>
    <row r="91" spans="1:14" x14ac:dyDescent="0.25">
      <c r="A91" s="9" t="s">
        <v>327</v>
      </c>
      <c r="B91" s="2">
        <v>45098</v>
      </c>
      <c r="C91" s="1" t="s">
        <v>328</v>
      </c>
      <c r="D91" s="1" t="s">
        <v>52</v>
      </c>
      <c r="E91" s="1" t="s">
        <v>72</v>
      </c>
      <c r="F91" s="1" t="s">
        <v>60</v>
      </c>
      <c r="G91" s="1" t="s">
        <v>42</v>
      </c>
      <c r="H91" s="1" t="s">
        <v>43</v>
      </c>
      <c r="I91" s="1" t="s">
        <v>329</v>
      </c>
      <c r="J91" s="1">
        <v>4</v>
      </c>
      <c r="K91" s="3">
        <v>1206.6400000000001</v>
      </c>
      <c r="L91" s="1">
        <v>10</v>
      </c>
      <c r="M91" s="1" t="s">
        <v>36</v>
      </c>
      <c r="N91" s="10" t="s">
        <v>37</v>
      </c>
    </row>
    <row r="92" spans="1:14" x14ac:dyDescent="0.25">
      <c r="A92" s="9" t="s">
        <v>330</v>
      </c>
      <c r="B92" s="2">
        <v>45585</v>
      </c>
      <c r="C92" s="1" t="s">
        <v>331</v>
      </c>
      <c r="D92" s="1" t="s">
        <v>33</v>
      </c>
      <c r="E92" s="1" t="s">
        <v>72</v>
      </c>
      <c r="F92" s="1" t="s">
        <v>99</v>
      </c>
      <c r="G92" s="1" t="s">
        <v>19</v>
      </c>
      <c r="H92" s="1" t="s">
        <v>29</v>
      </c>
      <c r="I92" s="1" t="s">
        <v>135</v>
      </c>
      <c r="J92" s="1">
        <v>3</v>
      </c>
      <c r="K92" s="3">
        <v>12155.76</v>
      </c>
      <c r="L92" s="1">
        <v>20</v>
      </c>
      <c r="M92" s="1" t="s">
        <v>93</v>
      </c>
      <c r="N92" s="10" t="s">
        <v>37</v>
      </c>
    </row>
    <row r="93" spans="1:14" x14ac:dyDescent="0.25">
      <c r="A93" s="9" t="s">
        <v>334</v>
      </c>
      <c r="B93" s="2">
        <v>45031</v>
      </c>
      <c r="C93" s="1" t="s">
        <v>335</v>
      </c>
      <c r="D93" s="1" t="s">
        <v>81</v>
      </c>
      <c r="E93" s="1" t="s">
        <v>59</v>
      </c>
      <c r="F93" s="1" t="s">
        <v>18</v>
      </c>
      <c r="G93" s="1" t="s">
        <v>83</v>
      </c>
      <c r="H93" s="1" t="s">
        <v>43</v>
      </c>
      <c r="I93" s="1" t="s">
        <v>336</v>
      </c>
      <c r="J93" s="1">
        <v>10</v>
      </c>
      <c r="K93" s="3">
        <v>28196.880000000001</v>
      </c>
      <c r="L93" s="1">
        <v>15</v>
      </c>
      <c r="M93" s="1" t="s">
        <v>63</v>
      </c>
      <c r="N93" s="10" t="s">
        <v>74</v>
      </c>
    </row>
    <row r="94" spans="1:14" x14ac:dyDescent="0.25">
      <c r="A94" s="9" t="s">
        <v>337</v>
      </c>
      <c r="B94" s="2">
        <v>45205</v>
      </c>
      <c r="C94" s="1" t="s">
        <v>338</v>
      </c>
      <c r="D94" s="1" t="s">
        <v>33</v>
      </c>
      <c r="E94" s="1" t="s">
        <v>59</v>
      </c>
      <c r="F94" s="1" t="s">
        <v>18</v>
      </c>
      <c r="G94" s="1" t="s">
        <v>42</v>
      </c>
      <c r="H94" s="1" t="s">
        <v>43</v>
      </c>
      <c r="I94" s="1" t="s">
        <v>339</v>
      </c>
      <c r="J94" s="1">
        <v>5</v>
      </c>
      <c r="K94" s="3">
        <v>4850.09</v>
      </c>
      <c r="L94" s="1">
        <v>0</v>
      </c>
      <c r="M94" s="1" t="s">
        <v>69</v>
      </c>
      <c r="N94" s="10" t="s">
        <v>37</v>
      </c>
    </row>
    <row r="95" spans="1:14" x14ac:dyDescent="0.25">
      <c r="A95" s="9" t="s">
        <v>340</v>
      </c>
      <c r="B95" s="2">
        <v>45149</v>
      </c>
      <c r="C95" s="1" t="s">
        <v>341</v>
      </c>
      <c r="D95" s="1" t="s">
        <v>67</v>
      </c>
      <c r="E95" s="1" t="s">
        <v>17</v>
      </c>
      <c r="F95" s="1" t="s">
        <v>82</v>
      </c>
      <c r="G95" s="1" t="s">
        <v>42</v>
      </c>
      <c r="H95" s="1" t="s">
        <v>43</v>
      </c>
      <c r="I95" s="1" t="s">
        <v>144</v>
      </c>
      <c r="J95" s="1">
        <v>9</v>
      </c>
      <c r="K95" s="3">
        <v>18714.05</v>
      </c>
      <c r="L95" s="1">
        <v>15</v>
      </c>
      <c r="M95" s="1" t="s">
        <v>63</v>
      </c>
      <c r="N95" s="10" t="s">
        <v>23</v>
      </c>
    </row>
    <row r="96" spans="1:14" x14ac:dyDescent="0.25">
      <c r="A96" s="9" t="s">
        <v>342</v>
      </c>
      <c r="B96" s="2">
        <v>45234</v>
      </c>
      <c r="C96" s="1" t="s">
        <v>343</v>
      </c>
      <c r="D96" s="1" t="s">
        <v>52</v>
      </c>
      <c r="E96" s="1" t="s">
        <v>17</v>
      </c>
      <c r="F96" s="1" t="s">
        <v>88</v>
      </c>
      <c r="G96" s="1" t="s">
        <v>53</v>
      </c>
      <c r="H96" s="1" t="s">
        <v>54</v>
      </c>
      <c r="I96" s="1" t="s">
        <v>253</v>
      </c>
      <c r="J96" s="1">
        <v>3</v>
      </c>
      <c r="K96" s="3">
        <v>12024.46</v>
      </c>
      <c r="L96" s="1" t="s">
        <v>110</v>
      </c>
      <c r="M96" s="1" t="s">
        <v>63</v>
      </c>
      <c r="N96" s="10" t="s">
        <v>31</v>
      </c>
    </row>
    <row r="97" spans="1:14" x14ac:dyDescent="0.25">
      <c r="A97" s="9" t="s">
        <v>344</v>
      </c>
      <c r="B97" s="2">
        <v>45656</v>
      </c>
      <c r="C97" s="1" t="s">
        <v>345</v>
      </c>
      <c r="D97" s="1" t="s">
        <v>71</v>
      </c>
      <c r="E97" s="1" t="s">
        <v>41</v>
      </c>
      <c r="F97" s="1" t="s">
        <v>28</v>
      </c>
      <c r="G97" s="1" t="s">
        <v>83</v>
      </c>
      <c r="H97" s="1" t="s">
        <v>43</v>
      </c>
      <c r="I97" s="1" t="s">
        <v>182</v>
      </c>
      <c r="J97" s="1">
        <v>8</v>
      </c>
      <c r="K97" s="3">
        <v>18336.939999999999</v>
      </c>
      <c r="L97" s="1">
        <v>5</v>
      </c>
      <c r="M97" s="1" t="s">
        <v>69</v>
      </c>
      <c r="N97" s="10" t="s">
        <v>37</v>
      </c>
    </row>
    <row r="98" spans="1:14" x14ac:dyDescent="0.25">
      <c r="A98" s="9" t="s">
        <v>346</v>
      </c>
      <c r="B98" s="2">
        <v>45469</v>
      </c>
      <c r="C98" s="1" t="s">
        <v>347</v>
      </c>
      <c r="D98" s="1" t="s">
        <v>26</v>
      </c>
      <c r="E98" s="1" t="s">
        <v>72</v>
      </c>
      <c r="F98" s="1" t="s">
        <v>88</v>
      </c>
      <c r="G98" s="1" t="s">
        <v>42</v>
      </c>
      <c r="H98" s="1" t="s">
        <v>43</v>
      </c>
      <c r="I98" s="1" t="s">
        <v>348</v>
      </c>
      <c r="J98" s="1">
        <v>10</v>
      </c>
      <c r="K98" s="3">
        <v>14254.6</v>
      </c>
      <c r="L98" s="1">
        <v>0</v>
      </c>
      <c r="M98" s="1" t="s">
        <v>36</v>
      </c>
      <c r="N98" s="10" t="s">
        <v>74</v>
      </c>
    </row>
    <row r="99" spans="1:14" x14ac:dyDescent="0.25">
      <c r="A99" s="9" t="s">
        <v>349</v>
      </c>
      <c r="B99" s="2">
        <v>45582</v>
      </c>
      <c r="C99" s="1" t="s">
        <v>120</v>
      </c>
      <c r="D99" s="1" t="s">
        <v>26</v>
      </c>
      <c r="E99" s="1" t="s">
        <v>72</v>
      </c>
      <c r="F99" s="1" t="s">
        <v>99</v>
      </c>
      <c r="G99" s="1" t="s">
        <v>19</v>
      </c>
      <c r="H99" s="1" t="s">
        <v>20</v>
      </c>
      <c r="I99" s="1" t="s">
        <v>78</v>
      </c>
      <c r="J99" s="1">
        <v>10</v>
      </c>
      <c r="K99" s="3">
        <v>35604.15</v>
      </c>
      <c r="L99" s="1" t="s">
        <v>110</v>
      </c>
      <c r="M99" s="1" t="s">
        <v>22</v>
      </c>
      <c r="N99" s="10" t="s">
        <v>23</v>
      </c>
    </row>
    <row r="100" spans="1:14" x14ac:dyDescent="0.25">
      <c r="A100" s="9" t="s">
        <v>350</v>
      </c>
      <c r="B100" s="2">
        <v>45113</v>
      </c>
      <c r="C100" s="1" t="s">
        <v>117</v>
      </c>
      <c r="D100" s="1" t="s">
        <v>192</v>
      </c>
      <c r="E100" s="1" t="s">
        <v>41</v>
      </c>
      <c r="F100" s="1" t="s">
        <v>82</v>
      </c>
      <c r="G100" s="1" t="s">
        <v>53</v>
      </c>
      <c r="H100" s="1" t="s">
        <v>54</v>
      </c>
      <c r="I100" s="1" t="s">
        <v>132</v>
      </c>
      <c r="J100" s="1">
        <v>3</v>
      </c>
      <c r="K100" s="3">
        <v>5534.5</v>
      </c>
      <c r="L100" s="1">
        <v>15</v>
      </c>
      <c r="M100" s="1" t="s">
        <v>93</v>
      </c>
      <c r="N100" s="10" t="s">
        <v>45</v>
      </c>
    </row>
    <row r="101" spans="1:14" x14ac:dyDescent="0.25">
      <c r="A101" s="9" t="s">
        <v>351</v>
      </c>
      <c r="B101" s="2">
        <v>45552</v>
      </c>
      <c r="C101" s="1" t="s">
        <v>352</v>
      </c>
      <c r="D101" s="1" t="s">
        <v>33</v>
      </c>
      <c r="E101" s="1" t="s">
        <v>41</v>
      </c>
      <c r="F101" s="1" t="s">
        <v>82</v>
      </c>
      <c r="G101" s="1" t="s">
        <v>42</v>
      </c>
      <c r="H101" s="1" t="s">
        <v>61</v>
      </c>
      <c r="I101" s="1" t="s">
        <v>234</v>
      </c>
      <c r="J101" s="1">
        <v>9</v>
      </c>
      <c r="K101" s="3">
        <v>2046.71</v>
      </c>
      <c r="L101" s="1" t="s">
        <v>110</v>
      </c>
      <c r="M101" s="1" t="s">
        <v>69</v>
      </c>
      <c r="N101" s="10" t="s">
        <v>31</v>
      </c>
    </row>
    <row r="102" spans="1:14" x14ac:dyDescent="0.25">
      <c r="A102" s="9" t="s">
        <v>353</v>
      </c>
      <c r="B102" s="2">
        <v>45252</v>
      </c>
      <c r="C102" s="1" t="s">
        <v>354</v>
      </c>
      <c r="D102" s="1" t="s">
        <v>81</v>
      </c>
      <c r="E102" s="1" t="s">
        <v>17</v>
      </c>
      <c r="F102" s="1" t="s">
        <v>28</v>
      </c>
      <c r="G102" s="1" t="s">
        <v>19</v>
      </c>
      <c r="H102" s="1" t="s">
        <v>20</v>
      </c>
      <c r="I102" s="1" t="s">
        <v>21</v>
      </c>
      <c r="J102" s="1">
        <v>3</v>
      </c>
      <c r="K102" s="3">
        <v>13619.19</v>
      </c>
      <c r="L102" s="1">
        <v>0</v>
      </c>
      <c r="M102" s="1" t="s">
        <v>93</v>
      </c>
      <c r="N102" s="10" t="s">
        <v>37</v>
      </c>
    </row>
    <row r="103" spans="1:14" x14ac:dyDescent="0.25">
      <c r="A103" s="9" t="s">
        <v>355</v>
      </c>
      <c r="B103" s="2">
        <v>44994</v>
      </c>
      <c r="C103" s="1" t="s">
        <v>356</v>
      </c>
      <c r="D103" s="1" t="s">
        <v>33</v>
      </c>
      <c r="E103" s="1" t="s">
        <v>72</v>
      </c>
      <c r="F103" s="1" t="s">
        <v>28</v>
      </c>
      <c r="G103" s="1" t="s">
        <v>42</v>
      </c>
      <c r="H103" s="1" t="s">
        <v>61</v>
      </c>
      <c r="I103" s="1" t="s">
        <v>357</v>
      </c>
      <c r="J103" s="1">
        <v>5</v>
      </c>
      <c r="K103" s="3">
        <v>18662.099999999999</v>
      </c>
      <c r="L103" s="1">
        <v>0</v>
      </c>
      <c r="M103" s="1" t="s">
        <v>22</v>
      </c>
      <c r="N103" s="10" t="s">
        <v>64</v>
      </c>
    </row>
    <row r="104" spans="1:14" x14ac:dyDescent="0.25">
      <c r="A104" s="9" t="s">
        <v>358</v>
      </c>
      <c r="B104" s="2">
        <v>45154</v>
      </c>
      <c r="C104" s="1" t="s">
        <v>359</v>
      </c>
      <c r="D104" s="1" t="s">
        <v>360</v>
      </c>
      <c r="E104" s="1" t="s">
        <v>72</v>
      </c>
      <c r="F104" s="1" t="s">
        <v>99</v>
      </c>
      <c r="G104" s="1" t="s">
        <v>83</v>
      </c>
      <c r="H104" s="1" t="s">
        <v>43</v>
      </c>
      <c r="I104" s="1" t="s">
        <v>336</v>
      </c>
      <c r="J104" s="1">
        <v>3</v>
      </c>
      <c r="K104" s="3">
        <v>7546.96</v>
      </c>
      <c r="L104" s="1">
        <v>20</v>
      </c>
      <c r="M104" s="1" t="s">
        <v>22</v>
      </c>
      <c r="N104" s="10" t="s">
        <v>31</v>
      </c>
    </row>
    <row r="105" spans="1:14" x14ac:dyDescent="0.25">
      <c r="A105" s="9" t="s">
        <v>361</v>
      </c>
      <c r="B105" s="2">
        <v>45153</v>
      </c>
      <c r="C105" s="1" t="s">
        <v>362</v>
      </c>
      <c r="D105" s="1" t="s">
        <v>147</v>
      </c>
      <c r="E105" s="1" t="s">
        <v>27</v>
      </c>
      <c r="F105" s="1" t="s">
        <v>28</v>
      </c>
      <c r="G105" s="1" t="s">
        <v>19</v>
      </c>
      <c r="H105" s="1" t="s">
        <v>29</v>
      </c>
      <c r="I105" s="1" t="s">
        <v>35</v>
      </c>
      <c r="J105" s="1">
        <v>8</v>
      </c>
      <c r="K105" s="3">
        <v>10295.620000000001</v>
      </c>
      <c r="L105" s="1">
        <v>0</v>
      </c>
      <c r="M105" s="1" t="s">
        <v>93</v>
      </c>
      <c r="N105" s="10" t="s">
        <v>37</v>
      </c>
    </row>
    <row r="106" spans="1:14" x14ac:dyDescent="0.25">
      <c r="A106" s="9" t="s">
        <v>363</v>
      </c>
      <c r="B106" s="2">
        <v>45250</v>
      </c>
      <c r="C106" s="1" t="s">
        <v>364</v>
      </c>
      <c r="D106" s="1" t="s">
        <v>71</v>
      </c>
      <c r="E106" s="1" t="s">
        <v>41</v>
      </c>
      <c r="F106" s="1" t="s">
        <v>49</v>
      </c>
      <c r="G106" s="1" t="s">
        <v>83</v>
      </c>
      <c r="H106" s="1" t="s">
        <v>43</v>
      </c>
      <c r="I106" s="1" t="s">
        <v>365</v>
      </c>
      <c r="J106" s="1">
        <v>10</v>
      </c>
      <c r="K106" s="3">
        <v>20979.040000000001</v>
      </c>
      <c r="L106" s="1">
        <v>20</v>
      </c>
      <c r="M106" s="1" t="s">
        <v>56</v>
      </c>
      <c r="N106" s="10" t="s">
        <v>45</v>
      </c>
    </row>
    <row r="107" spans="1:14" x14ac:dyDescent="0.25">
      <c r="A107" s="9" t="s">
        <v>366</v>
      </c>
      <c r="B107" s="2">
        <v>45577</v>
      </c>
      <c r="C107" s="1" t="s">
        <v>367</v>
      </c>
      <c r="D107" s="1" t="s">
        <v>71</v>
      </c>
      <c r="E107" s="1" t="s">
        <v>72</v>
      </c>
      <c r="F107" s="1" t="s">
        <v>18</v>
      </c>
      <c r="G107" s="1" t="s">
        <v>83</v>
      </c>
      <c r="H107" s="1" t="s">
        <v>43</v>
      </c>
      <c r="I107" s="1" t="s">
        <v>288</v>
      </c>
      <c r="J107" s="1">
        <v>5</v>
      </c>
      <c r="K107" s="3">
        <v>3498.27</v>
      </c>
      <c r="L107" s="1">
        <v>15</v>
      </c>
      <c r="M107" s="1" t="s">
        <v>69</v>
      </c>
      <c r="N107" s="10" t="s">
        <v>37</v>
      </c>
    </row>
    <row r="108" spans="1:14" x14ac:dyDescent="0.25">
      <c r="A108" s="9" t="s">
        <v>368</v>
      </c>
      <c r="B108" s="2">
        <v>45129</v>
      </c>
      <c r="C108" s="1" t="s">
        <v>369</v>
      </c>
      <c r="D108" s="1" t="s">
        <v>77</v>
      </c>
      <c r="E108" s="1" t="s">
        <v>27</v>
      </c>
      <c r="F108" s="1" t="s">
        <v>18</v>
      </c>
      <c r="G108" s="1" t="s">
        <v>19</v>
      </c>
      <c r="H108" s="1" t="s">
        <v>29</v>
      </c>
      <c r="I108" s="1" t="s">
        <v>370</v>
      </c>
      <c r="J108" s="1">
        <v>4</v>
      </c>
      <c r="K108" s="3">
        <v>2871.47</v>
      </c>
      <c r="L108" s="1" t="s">
        <v>110</v>
      </c>
      <c r="M108" s="1" t="s">
        <v>36</v>
      </c>
      <c r="N108" s="10" t="s">
        <v>74</v>
      </c>
    </row>
    <row r="109" spans="1:14" x14ac:dyDescent="0.25">
      <c r="A109" s="9" t="s">
        <v>371</v>
      </c>
      <c r="B109" s="2">
        <v>44944</v>
      </c>
      <c r="C109" s="1" t="s">
        <v>372</v>
      </c>
      <c r="D109" s="1" t="s">
        <v>147</v>
      </c>
      <c r="E109" s="1" t="s">
        <v>41</v>
      </c>
      <c r="F109" s="1" t="s">
        <v>28</v>
      </c>
      <c r="G109" s="1" t="s">
        <v>19</v>
      </c>
      <c r="H109" s="1" t="s">
        <v>20</v>
      </c>
      <c r="I109" s="1" t="s">
        <v>213</v>
      </c>
      <c r="J109" s="1">
        <v>6</v>
      </c>
      <c r="K109" s="3">
        <v>16890.55</v>
      </c>
      <c r="L109" s="1" t="s">
        <v>110</v>
      </c>
      <c r="M109" s="1" t="s">
        <v>56</v>
      </c>
      <c r="N109" s="10" t="s">
        <v>74</v>
      </c>
    </row>
    <row r="110" spans="1:14" x14ac:dyDescent="0.25">
      <c r="A110" s="9" t="s">
        <v>373</v>
      </c>
      <c r="B110" s="2">
        <v>44949</v>
      </c>
      <c r="C110" s="1" t="s">
        <v>372</v>
      </c>
      <c r="D110" s="1" t="s">
        <v>81</v>
      </c>
      <c r="E110" s="1" t="s">
        <v>41</v>
      </c>
      <c r="F110" s="1" t="s">
        <v>49</v>
      </c>
      <c r="G110" s="1" t="s">
        <v>19</v>
      </c>
      <c r="H110" s="1" t="s">
        <v>29</v>
      </c>
      <c r="I110" s="1" t="s">
        <v>374</v>
      </c>
      <c r="J110" s="1">
        <v>6</v>
      </c>
      <c r="K110" s="3">
        <v>4919.07</v>
      </c>
      <c r="L110" s="1">
        <v>10</v>
      </c>
      <c r="M110" s="1" t="s">
        <v>22</v>
      </c>
      <c r="N110" s="10" t="s">
        <v>37</v>
      </c>
    </row>
    <row r="111" spans="1:14" x14ac:dyDescent="0.25">
      <c r="A111" s="9" t="s">
        <v>376</v>
      </c>
      <c r="B111" s="2">
        <v>45576</v>
      </c>
      <c r="C111" s="1" t="s">
        <v>377</v>
      </c>
      <c r="D111" s="1" t="s">
        <v>378</v>
      </c>
      <c r="E111" s="1" t="s">
        <v>72</v>
      </c>
      <c r="F111" s="1" t="s">
        <v>60</v>
      </c>
      <c r="G111" s="1" t="s">
        <v>19</v>
      </c>
      <c r="H111" s="1" t="s">
        <v>20</v>
      </c>
      <c r="I111" s="1" t="s">
        <v>261</v>
      </c>
      <c r="J111" s="1">
        <v>7</v>
      </c>
      <c r="K111" s="3">
        <v>9082.49</v>
      </c>
      <c r="L111" s="1">
        <v>15</v>
      </c>
      <c r="M111" s="1" t="s">
        <v>69</v>
      </c>
      <c r="N111" s="10" t="s">
        <v>45</v>
      </c>
    </row>
    <row r="112" spans="1:14" x14ac:dyDescent="0.25">
      <c r="A112" s="9" t="s">
        <v>381</v>
      </c>
      <c r="B112" s="2">
        <v>45333</v>
      </c>
      <c r="C112" s="1" t="s">
        <v>382</v>
      </c>
      <c r="D112" s="1" t="s">
        <v>33</v>
      </c>
      <c r="E112" s="1" t="s">
        <v>34</v>
      </c>
      <c r="F112" s="1" t="s">
        <v>99</v>
      </c>
      <c r="G112" s="1" t="s">
        <v>83</v>
      </c>
      <c r="H112" s="1" t="s">
        <v>43</v>
      </c>
      <c r="I112" s="1" t="s">
        <v>274</v>
      </c>
      <c r="J112" s="1">
        <v>8</v>
      </c>
      <c r="K112" s="3">
        <v>13249.51</v>
      </c>
      <c r="L112" s="1">
        <v>15</v>
      </c>
      <c r="M112" s="1" t="s">
        <v>93</v>
      </c>
      <c r="N112" s="10" t="s">
        <v>37</v>
      </c>
    </row>
    <row r="113" spans="1:14" x14ac:dyDescent="0.25">
      <c r="A113" s="9" t="s">
        <v>383</v>
      </c>
      <c r="B113" s="2">
        <v>45607</v>
      </c>
      <c r="C113" s="1" t="s">
        <v>384</v>
      </c>
      <c r="D113" s="1" t="s">
        <v>33</v>
      </c>
      <c r="E113" s="1" t="s">
        <v>59</v>
      </c>
      <c r="F113" s="1" t="s">
        <v>18</v>
      </c>
      <c r="G113" s="1" t="s">
        <v>19</v>
      </c>
      <c r="H113" s="1" t="s">
        <v>29</v>
      </c>
      <c r="I113" s="1" t="s">
        <v>385</v>
      </c>
      <c r="J113" s="1">
        <v>3</v>
      </c>
      <c r="K113" s="3">
        <v>14630.86</v>
      </c>
      <c r="L113" s="1">
        <v>20</v>
      </c>
      <c r="M113" s="1" t="s">
        <v>56</v>
      </c>
      <c r="N113" s="10" t="s">
        <v>45</v>
      </c>
    </row>
    <row r="114" spans="1:14" x14ac:dyDescent="0.25">
      <c r="A114" s="9" t="s">
        <v>386</v>
      </c>
      <c r="B114" s="2">
        <v>45402</v>
      </c>
      <c r="C114" s="1" t="s">
        <v>387</v>
      </c>
      <c r="D114" s="1" t="s">
        <v>118</v>
      </c>
      <c r="E114" s="1" t="s">
        <v>72</v>
      </c>
      <c r="F114" s="1" t="s">
        <v>28</v>
      </c>
      <c r="G114" s="1" t="s">
        <v>42</v>
      </c>
      <c r="H114" s="1" t="s">
        <v>61</v>
      </c>
      <c r="I114" s="1" t="s">
        <v>388</v>
      </c>
      <c r="J114" s="1">
        <v>2</v>
      </c>
      <c r="K114" s="3">
        <v>3144.92</v>
      </c>
      <c r="L114" s="1" t="s">
        <v>110</v>
      </c>
      <c r="M114" s="1" t="s">
        <v>36</v>
      </c>
      <c r="N114" s="10" t="s">
        <v>31</v>
      </c>
    </row>
    <row r="115" spans="1:14" x14ac:dyDescent="0.25">
      <c r="A115" s="9" t="s">
        <v>389</v>
      </c>
      <c r="B115" s="2">
        <v>45183</v>
      </c>
      <c r="C115" s="1" t="s">
        <v>390</v>
      </c>
      <c r="D115" s="1" t="s">
        <v>71</v>
      </c>
      <c r="E115" s="1" t="s">
        <v>34</v>
      </c>
      <c r="F115" s="1" t="s">
        <v>82</v>
      </c>
      <c r="G115" s="1" t="s">
        <v>19</v>
      </c>
      <c r="H115" s="1" t="s">
        <v>20</v>
      </c>
      <c r="I115" s="1" t="s">
        <v>391</v>
      </c>
      <c r="J115" s="1">
        <v>5</v>
      </c>
      <c r="K115" s="3">
        <v>21282</v>
      </c>
      <c r="L115" s="1">
        <v>10</v>
      </c>
      <c r="M115" s="1" t="s">
        <v>36</v>
      </c>
      <c r="N115" s="10" t="s">
        <v>23</v>
      </c>
    </row>
    <row r="116" spans="1:14" x14ac:dyDescent="0.25">
      <c r="A116" s="9" t="s">
        <v>392</v>
      </c>
      <c r="B116" s="2">
        <v>44969</v>
      </c>
      <c r="C116" s="1" t="s">
        <v>393</v>
      </c>
      <c r="D116" s="1" t="s">
        <v>52</v>
      </c>
      <c r="E116" s="1" t="s">
        <v>34</v>
      </c>
      <c r="F116" s="1" t="s">
        <v>60</v>
      </c>
      <c r="G116" s="1" t="s">
        <v>42</v>
      </c>
      <c r="H116" s="1" t="s">
        <v>43</v>
      </c>
      <c r="I116" s="1" t="s">
        <v>394</v>
      </c>
      <c r="J116" s="1">
        <v>1</v>
      </c>
      <c r="K116" s="3">
        <v>1415.98</v>
      </c>
      <c r="L116" s="1">
        <v>20</v>
      </c>
      <c r="M116" s="1" t="s">
        <v>56</v>
      </c>
      <c r="N116" s="10" t="s">
        <v>45</v>
      </c>
    </row>
    <row r="117" spans="1:14" x14ac:dyDescent="0.25">
      <c r="A117" s="9" t="s">
        <v>395</v>
      </c>
      <c r="B117" s="2">
        <v>45055</v>
      </c>
      <c r="C117" s="1" t="s">
        <v>396</v>
      </c>
      <c r="D117" s="1" t="s">
        <v>16</v>
      </c>
      <c r="E117" s="1" t="s">
        <v>17</v>
      </c>
      <c r="F117" s="1" t="s">
        <v>99</v>
      </c>
      <c r="G117" s="1" t="s">
        <v>53</v>
      </c>
      <c r="H117" s="1" t="s">
        <v>54</v>
      </c>
      <c r="I117" s="1" t="s">
        <v>132</v>
      </c>
      <c r="J117" s="1">
        <v>5</v>
      </c>
      <c r="K117" s="3">
        <v>12678.2</v>
      </c>
      <c r="L117" s="1">
        <v>5</v>
      </c>
      <c r="M117" s="1" t="s">
        <v>56</v>
      </c>
      <c r="N117" s="10" t="s">
        <v>37</v>
      </c>
    </row>
    <row r="118" spans="1:14" x14ac:dyDescent="0.25">
      <c r="A118" s="9" t="s">
        <v>397</v>
      </c>
      <c r="B118" s="2">
        <v>45121</v>
      </c>
      <c r="C118" s="1" t="s">
        <v>398</v>
      </c>
      <c r="D118" s="1" t="s">
        <v>399</v>
      </c>
      <c r="E118" s="1" t="s">
        <v>27</v>
      </c>
      <c r="F118" s="1" t="s">
        <v>99</v>
      </c>
      <c r="G118" s="1" t="s">
        <v>42</v>
      </c>
      <c r="H118" s="1" t="s">
        <v>43</v>
      </c>
      <c r="I118" s="1" t="s">
        <v>329</v>
      </c>
      <c r="J118" s="1">
        <v>10</v>
      </c>
      <c r="K118" s="3">
        <v>45372.63</v>
      </c>
      <c r="L118" s="1">
        <v>5</v>
      </c>
      <c r="M118" s="1" t="s">
        <v>36</v>
      </c>
      <c r="N118" s="10" t="s">
        <v>31</v>
      </c>
    </row>
    <row r="119" spans="1:14" x14ac:dyDescent="0.25">
      <c r="A119" s="9" t="s">
        <v>400</v>
      </c>
      <c r="B119" s="2">
        <v>44953</v>
      </c>
      <c r="C119" s="1" t="s">
        <v>401</v>
      </c>
      <c r="D119" s="1" t="s">
        <v>52</v>
      </c>
      <c r="E119" s="1" t="s">
        <v>59</v>
      </c>
      <c r="F119" s="1" t="s">
        <v>60</v>
      </c>
      <c r="G119" s="1" t="s">
        <v>42</v>
      </c>
      <c r="H119" s="1" t="s">
        <v>61</v>
      </c>
      <c r="I119" s="1" t="s">
        <v>402</v>
      </c>
      <c r="J119" s="1">
        <v>1</v>
      </c>
      <c r="K119" s="3">
        <v>3299.71</v>
      </c>
      <c r="L119" s="1">
        <v>20</v>
      </c>
      <c r="M119" s="1" t="s">
        <v>56</v>
      </c>
      <c r="N119" s="10" t="s">
        <v>31</v>
      </c>
    </row>
    <row r="120" spans="1:14" x14ac:dyDescent="0.25">
      <c r="A120" s="9" t="s">
        <v>404</v>
      </c>
      <c r="B120" s="2">
        <v>44952</v>
      </c>
      <c r="C120" s="1" t="s">
        <v>405</v>
      </c>
      <c r="D120" s="1" t="s">
        <v>33</v>
      </c>
      <c r="E120" s="1" t="s">
        <v>41</v>
      </c>
      <c r="F120" s="1" t="s">
        <v>88</v>
      </c>
      <c r="G120" s="1" t="s">
        <v>19</v>
      </c>
      <c r="H120" s="1" t="s">
        <v>20</v>
      </c>
      <c r="I120" s="1" t="s">
        <v>226</v>
      </c>
      <c r="J120" s="1">
        <v>7</v>
      </c>
      <c r="K120" s="3">
        <v>13148.79</v>
      </c>
      <c r="L120" s="1">
        <v>0</v>
      </c>
      <c r="M120" s="1" t="s">
        <v>63</v>
      </c>
      <c r="N120" s="10" t="s">
        <v>23</v>
      </c>
    </row>
    <row r="121" spans="1:14" x14ac:dyDescent="0.25">
      <c r="A121" s="9" t="s">
        <v>406</v>
      </c>
      <c r="B121" s="2">
        <v>45603</v>
      </c>
      <c r="C121" s="1" t="s">
        <v>407</v>
      </c>
      <c r="D121" s="1" t="s">
        <v>40</v>
      </c>
      <c r="E121" s="1" t="s">
        <v>41</v>
      </c>
      <c r="F121" s="1" t="s">
        <v>49</v>
      </c>
      <c r="G121" s="1" t="s">
        <v>42</v>
      </c>
      <c r="H121" s="1" t="s">
        <v>43</v>
      </c>
      <c r="I121" s="1" t="s">
        <v>336</v>
      </c>
      <c r="J121" s="1">
        <v>5</v>
      </c>
      <c r="K121" s="3">
        <v>19391.14</v>
      </c>
      <c r="L121" s="1">
        <v>15</v>
      </c>
      <c r="M121" s="1" t="s">
        <v>93</v>
      </c>
      <c r="N121" s="10" t="s">
        <v>45</v>
      </c>
    </row>
    <row r="122" spans="1:14" x14ac:dyDescent="0.25">
      <c r="A122" s="9" t="s">
        <v>408</v>
      </c>
      <c r="B122" s="2">
        <v>45625</v>
      </c>
      <c r="C122" s="1" t="s">
        <v>338</v>
      </c>
      <c r="D122" s="1" t="s">
        <v>33</v>
      </c>
      <c r="E122" s="1" t="s">
        <v>59</v>
      </c>
      <c r="F122" s="1" t="s">
        <v>28</v>
      </c>
      <c r="G122" s="1" t="s">
        <v>42</v>
      </c>
      <c r="H122" s="1" t="s">
        <v>43</v>
      </c>
      <c r="I122" s="1" t="s">
        <v>154</v>
      </c>
      <c r="J122" s="1">
        <v>1</v>
      </c>
      <c r="K122" s="3">
        <v>476.67</v>
      </c>
      <c r="L122" s="1">
        <v>0</v>
      </c>
      <c r="M122" s="1" t="s">
        <v>63</v>
      </c>
      <c r="N122" s="10" t="s">
        <v>74</v>
      </c>
    </row>
    <row r="123" spans="1:14" x14ac:dyDescent="0.25">
      <c r="A123" s="9" t="s">
        <v>409</v>
      </c>
      <c r="B123" s="2">
        <v>45377</v>
      </c>
      <c r="C123" s="1" t="s">
        <v>410</v>
      </c>
      <c r="D123" s="1" t="s">
        <v>81</v>
      </c>
      <c r="E123" s="1" t="s">
        <v>59</v>
      </c>
      <c r="F123" s="1" t="s">
        <v>88</v>
      </c>
      <c r="G123" s="1" t="s">
        <v>53</v>
      </c>
      <c r="H123" s="1" t="s">
        <v>54</v>
      </c>
      <c r="I123" s="1" t="s">
        <v>173</v>
      </c>
      <c r="J123" s="1">
        <v>7</v>
      </c>
      <c r="K123" s="3">
        <v>20862.63</v>
      </c>
      <c r="L123" s="1">
        <v>0</v>
      </c>
      <c r="M123" s="1" t="s">
        <v>56</v>
      </c>
      <c r="N123" s="10" t="s">
        <v>64</v>
      </c>
    </row>
    <row r="124" spans="1:14" x14ac:dyDescent="0.25">
      <c r="A124" s="9" t="s">
        <v>411</v>
      </c>
      <c r="B124" s="2">
        <v>45396</v>
      </c>
      <c r="C124" s="1" t="s">
        <v>412</v>
      </c>
      <c r="D124" s="1" t="s">
        <v>81</v>
      </c>
      <c r="E124" s="1" t="s">
        <v>34</v>
      </c>
      <c r="F124" s="1" t="s">
        <v>49</v>
      </c>
      <c r="G124" s="1" t="s">
        <v>53</v>
      </c>
      <c r="H124" s="1" t="s">
        <v>54</v>
      </c>
      <c r="I124" s="1" t="s">
        <v>413</v>
      </c>
      <c r="J124" s="1">
        <v>2</v>
      </c>
      <c r="K124" s="3">
        <v>8633.5300000000007</v>
      </c>
      <c r="L124" s="1">
        <v>0</v>
      </c>
      <c r="M124" s="1" t="s">
        <v>36</v>
      </c>
      <c r="N124" s="10" t="s">
        <v>64</v>
      </c>
    </row>
    <row r="125" spans="1:14" x14ac:dyDescent="0.25">
      <c r="A125" s="9" t="s">
        <v>414</v>
      </c>
      <c r="B125" s="2">
        <v>45000</v>
      </c>
      <c r="C125" s="1" t="s">
        <v>415</v>
      </c>
      <c r="D125" s="1" t="s">
        <v>71</v>
      </c>
      <c r="E125" s="1" t="s">
        <v>17</v>
      </c>
      <c r="F125" s="1" t="s">
        <v>99</v>
      </c>
      <c r="G125" s="1" t="s">
        <v>19</v>
      </c>
      <c r="H125" s="1" t="s">
        <v>20</v>
      </c>
      <c r="I125" s="1" t="s">
        <v>164</v>
      </c>
      <c r="J125" s="1">
        <v>10</v>
      </c>
      <c r="K125" s="3">
        <v>17510.830000000002</v>
      </c>
      <c r="L125" s="1">
        <v>5</v>
      </c>
      <c r="M125" s="1" t="s">
        <v>36</v>
      </c>
      <c r="N125" s="10" t="s">
        <v>64</v>
      </c>
    </row>
    <row r="126" spans="1:14" x14ac:dyDescent="0.25">
      <c r="A126" s="9" t="s">
        <v>416</v>
      </c>
      <c r="B126" s="2">
        <v>45195</v>
      </c>
      <c r="C126" s="1" t="s">
        <v>417</v>
      </c>
      <c r="D126" s="1" t="s">
        <v>67</v>
      </c>
      <c r="E126" s="1" t="s">
        <v>34</v>
      </c>
      <c r="F126" s="1" t="s">
        <v>99</v>
      </c>
      <c r="G126" s="1" t="s">
        <v>19</v>
      </c>
      <c r="H126" s="1" t="s">
        <v>20</v>
      </c>
      <c r="I126" s="1" t="s">
        <v>230</v>
      </c>
      <c r="J126" s="1">
        <v>8</v>
      </c>
      <c r="K126" s="3">
        <v>28840.080000000002</v>
      </c>
      <c r="L126" s="1">
        <v>10</v>
      </c>
      <c r="M126" s="1" t="s">
        <v>93</v>
      </c>
      <c r="N126" s="10" t="s">
        <v>23</v>
      </c>
    </row>
    <row r="127" spans="1:14" x14ac:dyDescent="0.25">
      <c r="A127" s="9" t="s">
        <v>418</v>
      </c>
      <c r="B127" s="2">
        <v>45613</v>
      </c>
      <c r="C127" s="1" t="s">
        <v>91</v>
      </c>
      <c r="D127" s="1" t="s">
        <v>67</v>
      </c>
      <c r="E127" s="1" t="s">
        <v>17</v>
      </c>
      <c r="F127" s="1" t="s">
        <v>82</v>
      </c>
      <c r="G127" s="1" t="s">
        <v>42</v>
      </c>
      <c r="H127" s="1" t="s">
        <v>43</v>
      </c>
      <c r="I127" s="1" t="s">
        <v>285</v>
      </c>
      <c r="J127" s="1">
        <v>3</v>
      </c>
      <c r="K127" s="3">
        <v>12604.54</v>
      </c>
      <c r="L127" s="1">
        <v>20</v>
      </c>
      <c r="M127" s="1" t="s">
        <v>56</v>
      </c>
      <c r="N127" s="10" t="s">
        <v>74</v>
      </c>
    </row>
    <row r="128" spans="1:14" x14ac:dyDescent="0.25">
      <c r="A128" s="9" t="s">
        <v>419</v>
      </c>
      <c r="B128" s="2">
        <v>45222</v>
      </c>
      <c r="C128" s="1" t="s">
        <v>420</v>
      </c>
      <c r="D128" s="1" t="s">
        <v>81</v>
      </c>
      <c r="E128" s="1" t="s">
        <v>17</v>
      </c>
      <c r="F128" s="1" t="s">
        <v>99</v>
      </c>
      <c r="G128" s="1" t="s">
        <v>19</v>
      </c>
      <c r="H128" s="1" t="s">
        <v>20</v>
      </c>
      <c r="I128" s="1" t="s">
        <v>421</v>
      </c>
      <c r="J128" s="1">
        <v>4</v>
      </c>
      <c r="K128" s="3">
        <v>15463.77</v>
      </c>
      <c r="L128" s="1">
        <v>15</v>
      </c>
      <c r="M128" s="1" t="s">
        <v>36</v>
      </c>
      <c r="N128" s="10" t="s">
        <v>74</v>
      </c>
    </row>
    <row r="129" spans="1:14" x14ac:dyDescent="0.25">
      <c r="A129" s="9" t="s">
        <v>422</v>
      </c>
      <c r="B129" s="2">
        <v>44940</v>
      </c>
      <c r="C129" s="1" t="s">
        <v>423</v>
      </c>
      <c r="D129" s="1" t="s">
        <v>26</v>
      </c>
      <c r="E129" s="1" t="s">
        <v>59</v>
      </c>
      <c r="F129" s="1" t="s">
        <v>49</v>
      </c>
      <c r="G129" s="1" t="s">
        <v>19</v>
      </c>
      <c r="H129" s="1" t="s">
        <v>29</v>
      </c>
      <c r="I129" s="1" t="s">
        <v>424</v>
      </c>
      <c r="J129" s="1">
        <v>4</v>
      </c>
      <c r="K129" s="3">
        <v>1384.35</v>
      </c>
      <c r="L129" s="1">
        <v>0</v>
      </c>
      <c r="M129" s="1" t="s">
        <v>93</v>
      </c>
      <c r="N129" s="10" t="s">
        <v>31</v>
      </c>
    </row>
    <row r="130" spans="1:14" x14ac:dyDescent="0.25">
      <c r="A130" s="9" t="s">
        <v>425</v>
      </c>
      <c r="B130" s="2">
        <v>45582</v>
      </c>
      <c r="C130" s="1" t="s">
        <v>426</v>
      </c>
      <c r="D130" s="1" t="s">
        <v>71</v>
      </c>
      <c r="E130" s="1" t="s">
        <v>17</v>
      </c>
      <c r="F130" s="1" t="s">
        <v>28</v>
      </c>
      <c r="G130" s="1" t="s">
        <v>53</v>
      </c>
      <c r="H130" s="1" t="s">
        <v>54</v>
      </c>
      <c r="I130" s="1" t="s">
        <v>427</v>
      </c>
      <c r="J130" s="1">
        <v>6</v>
      </c>
      <c r="K130" s="3">
        <v>19910.310000000001</v>
      </c>
      <c r="L130" s="1">
        <v>0</v>
      </c>
      <c r="M130" s="1" t="s">
        <v>93</v>
      </c>
      <c r="N130" s="10" t="s">
        <v>23</v>
      </c>
    </row>
    <row r="131" spans="1:14" x14ac:dyDescent="0.25">
      <c r="A131" s="9" t="s">
        <v>428</v>
      </c>
      <c r="B131" s="2">
        <v>45423</v>
      </c>
      <c r="C131" s="1" t="s">
        <v>429</v>
      </c>
      <c r="D131" s="1" t="s">
        <v>52</v>
      </c>
      <c r="E131" s="1" t="s">
        <v>59</v>
      </c>
      <c r="F131" s="1" t="s">
        <v>28</v>
      </c>
      <c r="G131" s="1" t="s">
        <v>42</v>
      </c>
      <c r="H131" s="1" t="s">
        <v>61</v>
      </c>
      <c r="I131" s="1" t="s">
        <v>234</v>
      </c>
      <c r="J131" s="1">
        <v>10</v>
      </c>
      <c r="K131" s="3">
        <v>19624.310000000001</v>
      </c>
      <c r="L131" s="1">
        <v>20</v>
      </c>
      <c r="M131" s="1" t="s">
        <v>56</v>
      </c>
      <c r="N131" s="10" t="s">
        <v>31</v>
      </c>
    </row>
    <row r="132" spans="1:14" x14ac:dyDescent="0.25">
      <c r="A132" s="9" t="s">
        <v>430</v>
      </c>
      <c r="B132" s="2">
        <v>45483</v>
      </c>
      <c r="C132" s="1" t="s">
        <v>431</v>
      </c>
      <c r="D132" s="1" t="s">
        <v>52</v>
      </c>
      <c r="E132" s="1" t="s">
        <v>59</v>
      </c>
      <c r="F132" s="1" t="s">
        <v>60</v>
      </c>
      <c r="G132" s="1" t="s">
        <v>83</v>
      </c>
      <c r="H132" s="1" t="s">
        <v>43</v>
      </c>
      <c r="I132" s="1" t="s">
        <v>154</v>
      </c>
      <c r="J132" s="1">
        <v>1</v>
      </c>
      <c r="K132" s="3">
        <v>3369.54</v>
      </c>
      <c r="L132" s="1">
        <v>10</v>
      </c>
      <c r="M132" s="1" t="s">
        <v>56</v>
      </c>
      <c r="N132" s="10" t="s">
        <v>74</v>
      </c>
    </row>
    <row r="133" spans="1:14" x14ac:dyDescent="0.25">
      <c r="A133" s="9" t="s">
        <v>432</v>
      </c>
      <c r="B133" s="2">
        <v>44939</v>
      </c>
      <c r="C133" s="1" t="s">
        <v>433</v>
      </c>
      <c r="D133" s="1" t="s">
        <v>67</v>
      </c>
      <c r="E133" s="1" t="s">
        <v>27</v>
      </c>
      <c r="F133" s="1" t="s">
        <v>88</v>
      </c>
      <c r="G133" s="1" t="s">
        <v>42</v>
      </c>
      <c r="H133" s="1" t="s">
        <v>61</v>
      </c>
      <c r="I133" s="1" t="s">
        <v>305</v>
      </c>
      <c r="J133" s="1">
        <v>6</v>
      </c>
      <c r="K133" s="3">
        <v>17281.37</v>
      </c>
      <c r="L133" s="1">
        <v>15</v>
      </c>
      <c r="M133" s="1" t="s">
        <v>56</v>
      </c>
      <c r="N133" s="10" t="s">
        <v>37</v>
      </c>
    </row>
    <row r="134" spans="1:14" x14ac:dyDescent="0.25">
      <c r="A134" s="9" t="s">
        <v>434</v>
      </c>
      <c r="B134" s="2">
        <v>45037</v>
      </c>
      <c r="C134" s="1" t="s">
        <v>435</v>
      </c>
      <c r="D134" s="1" t="s">
        <v>436</v>
      </c>
      <c r="E134" s="1" t="s">
        <v>59</v>
      </c>
      <c r="F134" s="1" t="s">
        <v>99</v>
      </c>
      <c r="G134" s="1" t="s">
        <v>42</v>
      </c>
      <c r="H134" s="1" t="s">
        <v>43</v>
      </c>
      <c r="I134" s="1" t="s">
        <v>285</v>
      </c>
      <c r="J134" s="1">
        <v>5</v>
      </c>
      <c r="K134" s="3">
        <v>9693.8799999999992</v>
      </c>
      <c r="L134" s="1">
        <v>0</v>
      </c>
      <c r="M134" s="1" t="s">
        <v>56</v>
      </c>
      <c r="N134" s="10" t="s">
        <v>74</v>
      </c>
    </row>
    <row r="135" spans="1:14" x14ac:dyDescent="0.25">
      <c r="A135" s="9" t="s">
        <v>438</v>
      </c>
      <c r="B135" s="2">
        <v>45194</v>
      </c>
      <c r="C135" s="1" t="s">
        <v>439</v>
      </c>
      <c r="D135" s="1" t="s">
        <v>16</v>
      </c>
      <c r="E135" s="1" t="s">
        <v>17</v>
      </c>
      <c r="F135" s="1" t="s">
        <v>28</v>
      </c>
      <c r="G135" s="1" t="s">
        <v>42</v>
      </c>
      <c r="H135" s="1" t="s">
        <v>61</v>
      </c>
      <c r="I135" s="1" t="s">
        <v>440</v>
      </c>
      <c r="J135" s="1">
        <v>8</v>
      </c>
      <c r="K135" s="3">
        <v>38033.68</v>
      </c>
      <c r="L135" s="1">
        <v>15</v>
      </c>
      <c r="M135" s="1" t="s">
        <v>56</v>
      </c>
      <c r="N135" s="10" t="s">
        <v>45</v>
      </c>
    </row>
    <row r="136" spans="1:14" x14ac:dyDescent="0.25">
      <c r="A136" s="9" t="s">
        <v>441</v>
      </c>
      <c r="B136" s="2">
        <v>45646</v>
      </c>
      <c r="C136" s="1" t="s">
        <v>442</v>
      </c>
      <c r="D136" s="1" t="s">
        <v>169</v>
      </c>
      <c r="E136" s="1" t="s">
        <v>72</v>
      </c>
      <c r="F136" s="1" t="s">
        <v>28</v>
      </c>
      <c r="G136" s="1" t="s">
        <v>19</v>
      </c>
      <c r="H136" s="1" t="s">
        <v>29</v>
      </c>
      <c r="I136" s="1" t="s">
        <v>162</v>
      </c>
      <c r="J136" s="1">
        <v>8</v>
      </c>
      <c r="K136" s="3">
        <v>22873.49</v>
      </c>
      <c r="L136" s="1">
        <v>15</v>
      </c>
      <c r="M136" s="1" t="s">
        <v>22</v>
      </c>
      <c r="N136" s="10" t="s">
        <v>45</v>
      </c>
    </row>
    <row r="137" spans="1:14" x14ac:dyDescent="0.25">
      <c r="A137" s="9" t="s">
        <v>443</v>
      </c>
      <c r="B137" s="2">
        <v>45212</v>
      </c>
      <c r="C137" s="1" t="s">
        <v>444</v>
      </c>
      <c r="D137" s="1" t="s">
        <v>71</v>
      </c>
      <c r="E137" s="1" t="s">
        <v>27</v>
      </c>
      <c r="F137" s="1" t="s">
        <v>88</v>
      </c>
      <c r="G137" s="1" t="s">
        <v>19</v>
      </c>
      <c r="H137" s="1" t="s">
        <v>29</v>
      </c>
      <c r="I137" s="1" t="s">
        <v>445</v>
      </c>
      <c r="J137" s="1">
        <v>8</v>
      </c>
      <c r="K137" s="3">
        <v>27937.94</v>
      </c>
      <c r="L137" s="1">
        <v>20</v>
      </c>
      <c r="M137" s="1" t="s">
        <v>36</v>
      </c>
      <c r="N137" s="10" t="s">
        <v>31</v>
      </c>
    </row>
    <row r="138" spans="1:14" x14ac:dyDescent="0.25">
      <c r="A138" s="9" t="s">
        <v>446</v>
      </c>
      <c r="B138" s="2">
        <v>45283</v>
      </c>
      <c r="C138" s="1" t="s">
        <v>447</v>
      </c>
      <c r="D138" s="1" t="s">
        <v>81</v>
      </c>
      <c r="E138" s="1" t="s">
        <v>59</v>
      </c>
      <c r="F138" s="1" t="s">
        <v>88</v>
      </c>
      <c r="G138" s="1" t="s">
        <v>42</v>
      </c>
      <c r="H138" s="1" t="s">
        <v>61</v>
      </c>
      <c r="I138" s="1" t="s">
        <v>440</v>
      </c>
      <c r="J138" s="1">
        <v>2</v>
      </c>
      <c r="K138" s="3">
        <v>3853.82</v>
      </c>
      <c r="L138" s="1">
        <v>0</v>
      </c>
      <c r="M138" s="1" t="s">
        <v>22</v>
      </c>
      <c r="N138" s="10" t="s">
        <v>45</v>
      </c>
    </row>
    <row r="139" spans="1:14" x14ac:dyDescent="0.25">
      <c r="A139" s="9" t="s">
        <v>448</v>
      </c>
      <c r="B139" s="2">
        <v>45410</v>
      </c>
      <c r="C139" s="1" t="s">
        <v>449</v>
      </c>
      <c r="D139" s="1" t="s">
        <v>147</v>
      </c>
      <c r="E139" s="1" t="s">
        <v>27</v>
      </c>
      <c r="F139" s="1" t="s">
        <v>60</v>
      </c>
      <c r="G139" s="1" t="s">
        <v>83</v>
      </c>
      <c r="H139" s="1" t="s">
        <v>43</v>
      </c>
      <c r="I139" s="1" t="s">
        <v>394</v>
      </c>
      <c r="J139" s="1">
        <v>2</v>
      </c>
      <c r="K139" s="3">
        <v>6651.75</v>
      </c>
      <c r="L139" s="1" t="s">
        <v>110</v>
      </c>
      <c r="M139" s="1" t="s">
        <v>22</v>
      </c>
      <c r="N139" s="10" t="s">
        <v>23</v>
      </c>
    </row>
    <row r="140" spans="1:14" x14ac:dyDescent="0.25">
      <c r="A140" s="9" t="s">
        <v>450</v>
      </c>
      <c r="B140" s="2">
        <v>45541</v>
      </c>
      <c r="C140" s="1" t="s">
        <v>451</v>
      </c>
      <c r="D140" s="1" t="s">
        <v>147</v>
      </c>
      <c r="E140" s="1" t="s">
        <v>27</v>
      </c>
      <c r="F140" s="1" t="s">
        <v>18</v>
      </c>
      <c r="G140" s="1" t="s">
        <v>19</v>
      </c>
      <c r="H140" s="1" t="s">
        <v>29</v>
      </c>
      <c r="I140" s="1" t="s">
        <v>452</v>
      </c>
      <c r="J140" s="1">
        <v>6</v>
      </c>
      <c r="K140" s="3">
        <v>10904.1</v>
      </c>
      <c r="L140" s="1">
        <v>20</v>
      </c>
      <c r="M140" s="1" t="s">
        <v>69</v>
      </c>
      <c r="N140" s="10" t="s">
        <v>64</v>
      </c>
    </row>
    <row r="141" spans="1:14" x14ac:dyDescent="0.25">
      <c r="A141" s="9" t="s">
        <v>453</v>
      </c>
      <c r="B141" s="2">
        <v>45424</v>
      </c>
      <c r="C141" s="1" t="s">
        <v>454</v>
      </c>
      <c r="D141" s="1" t="s">
        <v>87</v>
      </c>
      <c r="E141" s="1" t="s">
        <v>59</v>
      </c>
      <c r="F141" s="1" t="s">
        <v>88</v>
      </c>
      <c r="G141" s="1" t="s">
        <v>42</v>
      </c>
      <c r="H141" s="1" t="s">
        <v>43</v>
      </c>
      <c r="I141" s="1" t="s">
        <v>84</v>
      </c>
      <c r="J141" s="1">
        <v>8</v>
      </c>
      <c r="K141" s="3">
        <v>22708.11</v>
      </c>
      <c r="L141" s="1">
        <v>0</v>
      </c>
      <c r="M141" s="1" t="s">
        <v>56</v>
      </c>
      <c r="N141" s="10" t="s">
        <v>74</v>
      </c>
    </row>
    <row r="142" spans="1:14" x14ac:dyDescent="0.25">
      <c r="A142" s="9" t="s">
        <v>455</v>
      </c>
      <c r="B142" s="2">
        <v>45061</v>
      </c>
      <c r="C142" s="1" t="s">
        <v>456</v>
      </c>
      <c r="D142" s="1" t="s">
        <v>192</v>
      </c>
      <c r="E142" s="1" t="s">
        <v>72</v>
      </c>
      <c r="F142" s="1" t="s">
        <v>82</v>
      </c>
      <c r="G142" s="1" t="s">
        <v>19</v>
      </c>
      <c r="H142" s="1" t="s">
        <v>29</v>
      </c>
      <c r="I142" s="1" t="s">
        <v>370</v>
      </c>
      <c r="J142" s="1">
        <v>7</v>
      </c>
      <c r="K142" s="3">
        <v>24443.8</v>
      </c>
      <c r="L142" s="1" t="s">
        <v>110</v>
      </c>
      <c r="M142" s="1" t="s">
        <v>22</v>
      </c>
      <c r="N142" s="10" t="s">
        <v>45</v>
      </c>
    </row>
    <row r="143" spans="1:14" x14ac:dyDescent="0.25">
      <c r="A143" s="9" t="s">
        <v>457</v>
      </c>
      <c r="B143" s="2">
        <v>44975</v>
      </c>
      <c r="C143" s="1" t="s">
        <v>458</v>
      </c>
      <c r="D143" s="1" t="s">
        <v>33</v>
      </c>
      <c r="E143" s="1" t="s">
        <v>59</v>
      </c>
      <c r="F143" s="1" t="s">
        <v>88</v>
      </c>
      <c r="G143" s="1" t="s">
        <v>83</v>
      </c>
      <c r="H143" s="1" t="s">
        <v>43</v>
      </c>
      <c r="I143" s="1" t="s">
        <v>288</v>
      </c>
      <c r="J143" s="1">
        <v>2</v>
      </c>
      <c r="K143" s="3">
        <v>5734.21</v>
      </c>
      <c r="L143" s="1">
        <v>5</v>
      </c>
      <c r="M143" s="1" t="s">
        <v>56</v>
      </c>
      <c r="N143" s="10" t="s">
        <v>23</v>
      </c>
    </row>
    <row r="144" spans="1:14" x14ac:dyDescent="0.25">
      <c r="A144" s="9" t="s">
        <v>459</v>
      </c>
      <c r="B144" s="2">
        <v>45283</v>
      </c>
      <c r="C144" s="1" t="s">
        <v>460</v>
      </c>
      <c r="D144" s="1" t="s">
        <v>26</v>
      </c>
      <c r="E144" s="1" t="s">
        <v>27</v>
      </c>
      <c r="F144" s="1" t="s">
        <v>28</v>
      </c>
      <c r="G144" s="1" t="s">
        <v>42</v>
      </c>
      <c r="H144" s="1" t="s">
        <v>61</v>
      </c>
      <c r="I144" s="1" t="s">
        <v>317</v>
      </c>
      <c r="J144" s="1">
        <v>1</v>
      </c>
      <c r="K144" s="3">
        <v>171.33</v>
      </c>
      <c r="L144" s="1">
        <v>15</v>
      </c>
      <c r="M144" s="1" t="s">
        <v>93</v>
      </c>
      <c r="N144" s="10" t="s">
        <v>23</v>
      </c>
    </row>
    <row r="145" spans="1:14" x14ac:dyDescent="0.25">
      <c r="A145" s="9" t="s">
        <v>461</v>
      </c>
      <c r="B145" s="2">
        <v>45585</v>
      </c>
      <c r="C145" s="1" t="s">
        <v>462</v>
      </c>
      <c r="D145" s="1" t="s">
        <v>26</v>
      </c>
      <c r="E145" s="1" t="s">
        <v>59</v>
      </c>
      <c r="F145" s="1" t="s">
        <v>49</v>
      </c>
      <c r="G145" s="1" t="s">
        <v>19</v>
      </c>
      <c r="H145" s="1" t="s">
        <v>20</v>
      </c>
      <c r="I145" s="1" t="s">
        <v>421</v>
      </c>
      <c r="J145" s="1">
        <v>8</v>
      </c>
      <c r="K145" s="3">
        <v>38713.78</v>
      </c>
      <c r="L145" s="1">
        <v>5</v>
      </c>
      <c r="M145" s="1" t="s">
        <v>63</v>
      </c>
      <c r="N145" s="10" t="s">
        <v>64</v>
      </c>
    </row>
    <row r="146" spans="1:14" x14ac:dyDescent="0.25">
      <c r="A146" s="9" t="s">
        <v>463</v>
      </c>
      <c r="B146" s="2">
        <v>44949</v>
      </c>
      <c r="C146" s="1" t="s">
        <v>464</v>
      </c>
      <c r="D146" s="1" t="s">
        <v>26</v>
      </c>
      <c r="E146" s="1" t="s">
        <v>72</v>
      </c>
      <c r="F146" s="1" t="s">
        <v>28</v>
      </c>
      <c r="G146" s="1" t="s">
        <v>83</v>
      </c>
      <c r="H146" s="1" t="s">
        <v>43</v>
      </c>
      <c r="I146" s="1" t="s">
        <v>157</v>
      </c>
      <c r="J146" s="1">
        <v>4</v>
      </c>
      <c r="K146" s="3">
        <v>9104.1200000000008</v>
      </c>
      <c r="L146" s="1">
        <v>15</v>
      </c>
      <c r="M146" s="1" t="s">
        <v>36</v>
      </c>
      <c r="N146" s="10" t="s">
        <v>74</v>
      </c>
    </row>
    <row r="147" spans="1:14" x14ac:dyDescent="0.25">
      <c r="A147" s="9" t="s">
        <v>465</v>
      </c>
      <c r="B147" s="2">
        <v>45274</v>
      </c>
      <c r="C147" s="1" t="s">
        <v>466</v>
      </c>
      <c r="D147" s="1" t="s">
        <v>52</v>
      </c>
      <c r="E147" s="1" t="s">
        <v>59</v>
      </c>
      <c r="F147" s="1" t="s">
        <v>28</v>
      </c>
      <c r="G147" s="1" t="s">
        <v>42</v>
      </c>
      <c r="H147" s="1" t="s">
        <v>61</v>
      </c>
      <c r="I147" s="1" t="s">
        <v>357</v>
      </c>
      <c r="J147" s="1">
        <v>9</v>
      </c>
      <c r="K147" s="3">
        <v>24476.63</v>
      </c>
      <c r="L147" s="1">
        <v>0</v>
      </c>
      <c r="M147" s="1" t="s">
        <v>93</v>
      </c>
      <c r="N147" s="10" t="s">
        <v>31</v>
      </c>
    </row>
    <row r="148" spans="1:14" x14ac:dyDescent="0.25">
      <c r="A148" s="9" t="s">
        <v>468</v>
      </c>
      <c r="B148" s="2">
        <v>45481</v>
      </c>
      <c r="C148" s="1" t="s">
        <v>160</v>
      </c>
      <c r="D148" s="1" t="s">
        <v>87</v>
      </c>
      <c r="E148" s="1" t="s">
        <v>34</v>
      </c>
      <c r="F148" s="1" t="s">
        <v>99</v>
      </c>
      <c r="G148" s="1" t="s">
        <v>42</v>
      </c>
      <c r="H148" s="1" t="s">
        <v>43</v>
      </c>
      <c r="I148" s="1" t="s">
        <v>323</v>
      </c>
      <c r="J148" s="1">
        <v>10</v>
      </c>
      <c r="K148" s="3">
        <v>42253.91</v>
      </c>
      <c r="L148" s="1" t="s">
        <v>110</v>
      </c>
      <c r="M148" s="1" t="s">
        <v>22</v>
      </c>
      <c r="N148" s="10" t="s">
        <v>23</v>
      </c>
    </row>
    <row r="149" spans="1:14" x14ac:dyDescent="0.25">
      <c r="A149" s="9" t="s">
        <v>469</v>
      </c>
      <c r="B149" s="2">
        <v>45001</v>
      </c>
      <c r="C149" s="1" t="s">
        <v>168</v>
      </c>
      <c r="D149" s="1" t="s">
        <v>16</v>
      </c>
      <c r="E149" s="1" t="s">
        <v>59</v>
      </c>
      <c r="F149" s="1" t="s">
        <v>88</v>
      </c>
      <c r="G149" s="1" t="s">
        <v>42</v>
      </c>
      <c r="H149" s="1" t="s">
        <v>61</v>
      </c>
      <c r="I149" s="1" t="s">
        <v>388</v>
      </c>
      <c r="J149" s="1">
        <v>7</v>
      </c>
      <c r="K149" s="3">
        <v>4501.7700000000004</v>
      </c>
      <c r="L149" s="1">
        <v>15</v>
      </c>
      <c r="M149" s="1" t="s">
        <v>36</v>
      </c>
      <c r="N149" s="10" t="s">
        <v>23</v>
      </c>
    </row>
    <row r="150" spans="1:14" x14ac:dyDescent="0.25">
      <c r="A150" s="9" t="s">
        <v>470</v>
      </c>
      <c r="B150" s="2">
        <v>45358</v>
      </c>
      <c r="C150" s="1" t="s">
        <v>471</v>
      </c>
      <c r="D150" s="1" t="s">
        <v>16</v>
      </c>
      <c r="E150" s="1" t="s">
        <v>41</v>
      </c>
      <c r="F150" s="1" t="s">
        <v>60</v>
      </c>
      <c r="G150" s="1" t="s">
        <v>19</v>
      </c>
      <c r="H150" s="1" t="s">
        <v>29</v>
      </c>
      <c r="I150" s="1" t="s">
        <v>472</v>
      </c>
      <c r="J150" s="1">
        <v>6</v>
      </c>
      <c r="K150" s="3">
        <v>11661</v>
      </c>
      <c r="L150" s="1">
        <v>0</v>
      </c>
      <c r="M150" s="1" t="s">
        <v>22</v>
      </c>
      <c r="N150" s="10" t="s">
        <v>45</v>
      </c>
    </row>
    <row r="151" spans="1:14" x14ac:dyDescent="0.25">
      <c r="A151" s="9" t="s">
        <v>473</v>
      </c>
      <c r="B151" s="2">
        <v>45506</v>
      </c>
      <c r="C151" s="1" t="s">
        <v>474</v>
      </c>
      <c r="D151" s="1" t="s">
        <v>87</v>
      </c>
      <c r="E151" s="1" t="s">
        <v>17</v>
      </c>
      <c r="F151" s="1" t="s">
        <v>28</v>
      </c>
      <c r="G151" s="1" t="s">
        <v>19</v>
      </c>
      <c r="H151" s="1" t="s">
        <v>29</v>
      </c>
      <c r="I151" s="1" t="s">
        <v>475</v>
      </c>
      <c r="J151" s="1">
        <v>9</v>
      </c>
      <c r="K151" s="3">
        <v>26541.31</v>
      </c>
      <c r="L151" s="1">
        <v>0</v>
      </c>
      <c r="M151" s="1" t="s">
        <v>22</v>
      </c>
      <c r="N151" s="10" t="s">
        <v>64</v>
      </c>
    </row>
    <row r="152" spans="1:14" x14ac:dyDescent="0.25">
      <c r="A152" s="9" t="s">
        <v>476</v>
      </c>
      <c r="B152" s="2">
        <v>45010</v>
      </c>
      <c r="C152" s="1" t="s">
        <v>203</v>
      </c>
      <c r="D152" s="1" t="s">
        <v>71</v>
      </c>
      <c r="E152" s="1" t="s">
        <v>27</v>
      </c>
      <c r="F152" s="1" t="s">
        <v>88</v>
      </c>
      <c r="G152" s="1" t="s">
        <v>42</v>
      </c>
      <c r="H152" s="1" t="s">
        <v>43</v>
      </c>
      <c r="I152" s="1" t="s">
        <v>144</v>
      </c>
      <c r="J152" s="1">
        <v>9</v>
      </c>
      <c r="K152" s="3">
        <v>6092.29</v>
      </c>
      <c r="L152" s="1" t="s">
        <v>110</v>
      </c>
      <c r="M152" s="1" t="s">
        <v>69</v>
      </c>
      <c r="N152" s="10" t="s">
        <v>74</v>
      </c>
    </row>
    <row r="153" spans="1:14" x14ac:dyDescent="0.25">
      <c r="A153" s="9" t="s">
        <v>477</v>
      </c>
      <c r="B153" s="2">
        <v>45443</v>
      </c>
      <c r="C153" s="1" t="s">
        <v>478</v>
      </c>
      <c r="D153" s="1" t="s">
        <v>71</v>
      </c>
      <c r="E153" s="1" t="s">
        <v>72</v>
      </c>
      <c r="F153" s="1" t="s">
        <v>82</v>
      </c>
      <c r="G153" s="1" t="s">
        <v>53</v>
      </c>
      <c r="H153" s="1" t="s">
        <v>54</v>
      </c>
      <c r="I153" s="1" t="s">
        <v>479</v>
      </c>
      <c r="J153" s="1">
        <v>4</v>
      </c>
      <c r="K153" s="3">
        <v>11797.56</v>
      </c>
      <c r="L153" s="1">
        <v>15</v>
      </c>
      <c r="M153" s="1" t="s">
        <v>93</v>
      </c>
      <c r="N153" s="10" t="s">
        <v>31</v>
      </c>
    </row>
    <row r="154" spans="1:14" x14ac:dyDescent="0.25">
      <c r="A154" s="9" t="s">
        <v>480</v>
      </c>
      <c r="B154" s="2">
        <v>45367</v>
      </c>
      <c r="C154" s="1" t="s">
        <v>481</v>
      </c>
      <c r="D154" s="1" t="s">
        <v>52</v>
      </c>
      <c r="E154" s="1" t="s">
        <v>17</v>
      </c>
      <c r="F154" s="1" t="s">
        <v>28</v>
      </c>
      <c r="G154" s="1" t="s">
        <v>42</v>
      </c>
      <c r="H154" s="1" t="s">
        <v>43</v>
      </c>
      <c r="I154" s="1" t="s">
        <v>348</v>
      </c>
      <c r="J154" s="1">
        <v>2</v>
      </c>
      <c r="K154" s="3">
        <v>2873.04</v>
      </c>
      <c r="L154" s="1">
        <v>0</v>
      </c>
      <c r="M154" s="1" t="s">
        <v>56</v>
      </c>
      <c r="N154" s="10" t="s">
        <v>45</v>
      </c>
    </row>
    <row r="155" spans="1:14" x14ac:dyDescent="0.25">
      <c r="A155" s="9" t="s">
        <v>482</v>
      </c>
      <c r="B155" s="2">
        <v>45529</v>
      </c>
      <c r="C155" s="1" t="s">
        <v>483</v>
      </c>
      <c r="D155" s="1" t="s">
        <v>52</v>
      </c>
      <c r="E155" s="1" t="s">
        <v>27</v>
      </c>
      <c r="F155" s="1" t="s">
        <v>28</v>
      </c>
      <c r="G155" s="1" t="s">
        <v>42</v>
      </c>
      <c r="H155" s="1" t="s">
        <v>61</v>
      </c>
      <c r="I155" s="1" t="s">
        <v>247</v>
      </c>
      <c r="J155" s="1">
        <v>3</v>
      </c>
      <c r="K155" s="3">
        <v>7908.66</v>
      </c>
      <c r="L155" s="1" t="s">
        <v>110</v>
      </c>
      <c r="M155" s="1" t="s">
        <v>56</v>
      </c>
      <c r="N155" s="10" t="s">
        <v>64</v>
      </c>
    </row>
    <row r="156" spans="1:14" x14ac:dyDescent="0.25">
      <c r="A156" s="9" t="s">
        <v>485</v>
      </c>
      <c r="B156" s="2">
        <v>45331</v>
      </c>
      <c r="C156" s="1" t="s">
        <v>345</v>
      </c>
      <c r="D156" s="1" t="s">
        <v>67</v>
      </c>
      <c r="E156" s="1" t="s">
        <v>27</v>
      </c>
      <c r="F156" s="1" t="s">
        <v>60</v>
      </c>
      <c r="G156" s="1" t="s">
        <v>53</v>
      </c>
      <c r="H156" s="1" t="s">
        <v>54</v>
      </c>
      <c r="I156" s="1" t="s">
        <v>207</v>
      </c>
      <c r="J156" s="1">
        <v>10</v>
      </c>
      <c r="K156" s="3">
        <v>34838.74</v>
      </c>
      <c r="L156" s="1" t="s">
        <v>110</v>
      </c>
      <c r="M156" s="1" t="s">
        <v>22</v>
      </c>
      <c r="N156" s="10" t="s">
        <v>45</v>
      </c>
    </row>
    <row r="157" spans="1:14" x14ac:dyDescent="0.25">
      <c r="A157" s="9" t="s">
        <v>486</v>
      </c>
      <c r="B157" s="2">
        <v>45023</v>
      </c>
      <c r="C157" s="1" t="s">
        <v>487</v>
      </c>
      <c r="D157" s="1" t="s">
        <v>48</v>
      </c>
      <c r="E157" s="1" t="s">
        <v>72</v>
      </c>
      <c r="F157" s="1" t="s">
        <v>60</v>
      </c>
      <c r="G157" s="1" t="s">
        <v>42</v>
      </c>
      <c r="H157" s="1" t="s">
        <v>43</v>
      </c>
      <c r="I157" s="1" t="s">
        <v>488</v>
      </c>
      <c r="J157" s="1">
        <v>6</v>
      </c>
      <c r="K157" s="3">
        <v>28651.91</v>
      </c>
      <c r="L157" s="1" t="s">
        <v>110</v>
      </c>
      <c r="M157" s="1" t="s">
        <v>93</v>
      </c>
      <c r="N157" s="10" t="s">
        <v>45</v>
      </c>
    </row>
    <row r="158" spans="1:14" x14ac:dyDescent="0.25">
      <c r="A158" s="9" t="s">
        <v>489</v>
      </c>
      <c r="B158" s="2">
        <v>45430</v>
      </c>
      <c r="C158" s="1" t="s">
        <v>490</v>
      </c>
      <c r="D158" s="1" t="s">
        <v>26</v>
      </c>
      <c r="E158" s="1" t="s">
        <v>41</v>
      </c>
      <c r="F158" s="1" t="s">
        <v>82</v>
      </c>
      <c r="G158" s="1" t="s">
        <v>83</v>
      </c>
      <c r="H158" s="1" t="s">
        <v>43</v>
      </c>
      <c r="I158" s="1" t="s">
        <v>491</v>
      </c>
      <c r="J158" s="1">
        <v>8</v>
      </c>
      <c r="K158" s="3">
        <v>24552.98</v>
      </c>
      <c r="L158" s="1">
        <v>20</v>
      </c>
      <c r="M158" s="1" t="s">
        <v>63</v>
      </c>
      <c r="N158" s="10" t="s">
        <v>74</v>
      </c>
    </row>
    <row r="159" spans="1:14" x14ac:dyDescent="0.25">
      <c r="A159" s="9" t="s">
        <v>492</v>
      </c>
      <c r="B159" s="2">
        <v>45125</v>
      </c>
      <c r="C159" s="1" t="s">
        <v>493</v>
      </c>
      <c r="D159" s="1" t="s">
        <v>16</v>
      </c>
      <c r="E159" s="1" t="s">
        <v>17</v>
      </c>
      <c r="F159" s="1" t="s">
        <v>28</v>
      </c>
      <c r="G159" s="1" t="s">
        <v>83</v>
      </c>
      <c r="H159" s="1" t="s">
        <v>43</v>
      </c>
      <c r="I159" s="1" t="s">
        <v>494</v>
      </c>
      <c r="J159" s="1">
        <v>5</v>
      </c>
      <c r="K159" s="3">
        <v>7753.77</v>
      </c>
      <c r="L159" s="1">
        <v>5</v>
      </c>
      <c r="M159" s="1" t="s">
        <v>63</v>
      </c>
      <c r="N159" s="10" t="s">
        <v>64</v>
      </c>
    </row>
    <row r="160" spans="1:14" x14ac:dyDescent="0.25">
      <c r="A160" s="9" t="s">
        <v>496</v>
      </c>
      <c r="B160" s="2">
        <v>45424</v>
      </c>
      <c r="C160" s="1" t="s">
        <v>497</v>
      </c>
      <c r="D160" s="1" t="s">
        <v>33</v>
      </c>
      <c r="E160" s="1" t="s">
        <v>59</v>
      </c>
      <c r="F160" s="1" t="s">
        <v>49</v>
      </c>
      <c r="G160" s="1" t="s">
        <v>42</v>
      </c>
      <c r="H160" s="1" t="s">
        <v>61</v>
      </c>
      <c r="I160" s="1" t="s">
        <v>317</v>
      </c>
      <c r="J160" s="1">
        <v>8</v>
      </c>
      <c r="K160" s="3">
        <v>7042.4</v>
      </c>
      <c r="L160" s="1">
        <v>10</v>
      </c>
      <c r="M160" s="1" t="s">
        <v>56</v>
      </c>
      <c r="N160" s="10" t="s">
        <v>23</v>
      </c>
    </row>
    <row r="161" spans="1:14" x14ac:dyDescent="0.25">
      <c r="A161" s="9" t="s">
        <v>498</v>
      </c>
      <c r="B161" s="2">
        <v>45577</v>
      </c>
      <c r="C161" s="1" t="s">
        <v>499</v>
      </c>
      <c r="D161" s="1" t="s">
        <v>26</v>
      </c>
      <c r="E161" s="1" t="s">
        <v>34</v>
      </c>
      <c r="F161" s="1" t="s">
        <v>49</v>
      </c>
      <c r="G161" s="1" t="s">
        <v>42</v>
      </c>
      <c r="H161" s="1" t="s">
        <v>43</v>
      </c>
      <c r="I161" s="1" t="s">
        <v>84</v>
      </c>
      <c r="J161" s="1">
        <v>4</v>
      </c>
      <c r="K161" s="3">
        <v>3430.29</v>
      </c>
      <c r="L161" s="1">
        <v>0</v>
      </c>
      <c r="M161" s="1" t="s">
        <v>56</v>
      </c>
      <c r="N161" s="10" t="s">
        <v>45</v>
      </c>
    </row>
    <row r="162" spans="1:14" x14ac:dyDescent="0.25">
      <c r="A162" s="9" t="s">
        <v>500</v>
      </c>
      <c r="B162" s="2">
        <v>45026</v>
      </c>
      <c r="C162" s="1" t="s">
        <v>501</v>
      </c>
      <c r="D162" s="1" t="s">
        <v>147</v>
      </c>
      <c r="E162" s="1" t="s">
        <v>59</v>
      </c>
      <c r="F162" s="1" t="s">
        <v>60</v>
      </c>
      <c r="G162" s="1" t="s">
        <v>83</v>
      </c>
      <c r="H162" s="1" t="s">
        <v>43</v>
      </c>
      <c r="I162" s="1" t="s">
        <v>157</v>
      </c>
      <c r="J162" s="1">
        <v>3</v>
      </c>
      <c r="K162" s="3">
        <v>13436.16</v>
      </c>
      <c r="L162" s="1">
        <v>0</v>
      </c>
      <c r="M162" s="1" t="s">
        <v>93</v>
      </c>
      <c r="N162" s="10" t="s">
        <v>64</v>
      </c>
    </row>
    <row r="163" spans="1:14" x14ac:dyDescent="0.25">
      <c r="A163" s="9" t="s">
        <v>502</v>
      </c>
      <c r="B163" s="2">
        <v>45656</v>
      </c>
      <c r="C163" s="1" t="s">
        <v>503</v>
      </c>
      <c r="D163" s="1" t="s">
        <v>67</v>
      </c>
      <c r="E163" s="1" t="s">
        <v>59</v>
      </c>
      <c r="F163" s="1" t="s">
        <v>18</v>
      </c>
      <c r="G163" s="1" t="s">
        <v>19</v>
      </c>
      <c r="H163" s="1" t="s">
        <v>20</v>
      </c>
      <c r="I163" s="1" t="s">
        <v>280</v>
      </c>
      <c r="J163" s="1">
        <v>1</v>
      </c>
      <c r="K163" s="3">
        <v>2314.56</v>
      </c>
      <c r="L163" s="1">
        <v>0</v>
      </c>
      <c r="M163" s="1" t="s">
        <v>63</v>
      </c>
      <c r="N163" s="10" t="s">
        <v>23</v>
      </c>
    </row>
    <row r="164" spans="1:14" x14ac:dyDescent="0.25">
      <c r="A164" s="9" t="s">
        <v>505</v>
      </c>
      <c r="B164" s="2">
        <v>45501</v>
      </c>
      <c r="C164" s="1" t="s">
        <v>266</v>
      </c>
      <c r="D164" s="1" t="s">
        <v>67</v>
      </c>
      <c r="E164" s="1" t="s">
        <v>17</v>
      </c>
      <c r="F164" s="1" t="s">
        <v>18</v>
      </c>
      <c r="G164" s="1" t="s">
        <v>19</v>
      </c>
      <c r="H164" s="1" t="s">
        <v>29</v>
      </c>
      <c r="I164" s="1" t="s">
        <v>472</v>
      </c>
      <c r="J164" s="1">
        <v>1</v>
      </c>
      <c r="K164" s="3">
        <v>1703.91</v>
      </c>
      <c r="L164" s="1">
        <v>0</v>
      </c>
      <c r="M164" s="1" t="s">
        <v>63</v>
      </c>
      <c r="N164" s="10" t="s">
        <v>45</v>
      </c>
    </row>
    <row r="165" spans="1:14" x14ac:dyDescent="0.25">
      <c r="A165" s="9" t="s">
        <v>506</v>
      </c>
      <c r="B165" s="2">
        <v>45019</v>
      </c>
      <c r="C165" s="1" t="s">
        <v>507</v>
      </c>
      <c r="D165" s="1" t="s">
        <v>81</v>
      </c>
      <c r="E165" s="1" t="s">
        <v>34</v>
      </c>
      <c r="F165" s="1" t="s">
        <v>49</v>
      </c>
      <c r="G165" s="1" t="s">
        <v>53</v>
      </c>
      <c r="H165" s="1" t="s">
        <v>54</v>
      </c>
      <c r="I165" s="1" t="s">
        <v>103</v>
      </c>
      <c r="J165" s="1">
        <v>9</v>
      </c>
      <c r="K165" s="3">
        <v>2425.9899999999998</v>
      </c>
      <c r="L165" s="1">
        <v>10</v>
      </c>
      <c r="M165" s="1" t="s">
        <v>56</v>
      </c>
      <c r="N165" s="10" t="s">
        <v>31</v>
      </c>
    </row>
    <row r="166" spans="1:14" x14ac:dyDescent="0.25">
      <c r="A166" s="9" t="s">
        <v>508</v>
      </c>
      <c r="B166" s="2">
        <v>44935</v>
      </c>
      <c r="C166" s="1" t="s">
        <v>509</v>
      </c>
      <c r="D166" s="1" t="s">
        <v>81</v>
      </c>
      <c r="E166" s="1" t="s">
        <v>41</v>
      </c>
      <c r="F166" s="1" t="s">
        <v>28</v>
      </c>
      <c r="G166" s="1" t="s">
        <v>83</v>
      </c>
      <c r="H166" s="1" t="s">
        <v>43</v>
      </c>
      <c r="I166" s="1" t="s">
        <v>50</v>
      </c>
      <c r="J166" s="1">
        <v>8</v>
      </c>
      <c r="K166" s="3">
        <v>18242.93</v>
      </c>
      <c r="L166" s="1">
        <v>10</v>
      </c>
      <c r="M166" s="1" t="s">
        <v>36</v>
      </c>
      <c r="N166" s="10" t="s">
        <v>45</v>
      </c>
    </row>
    <row r="167" spans="1:14" x14ac:dyDescent="0.25">
      <c r="A167" s="9" t="s">
        <v>510</v>
      </c>
      <c r="B167" s="2">
        <v>45430</v>
      </c>
      <c r="C167" s="1" t="s">
        <v>511</v>
      </c>
      <c r="D167" s="1" t="s">
        <v>147</v>
      </c>
      <c r="E167" s="1" t="s">
        <v>72</v>
      </c>
      <c r="F167" s="1" t="s">
        <v>88</v>
      </c>
      <c r="G167" s="1" t="s">
        <v>53</v>
      </c>
      <c r="H167" s="1" t="s">
        <v>54</v>
      </c>
      <c r="I167" s="1" t="s">
        <v>121</v>
      </c>
      <c r="J167" s="1">
        <v>2</v>
      </c>
      <c r="K167" s="3">
        <v>578.08000000000004</v>
      </c>
      <c r="L167" s="1">
        <v>0</v>
      </c>
      <c r="M167" s="1" t="s">
        <v>63</v>
      </c>
      <c r="N167" s="10" t="s">
        <v>23</v>
      </c>
    </row>
    <row r="168" spans="1:14" x14ac:dyDescent="0.25">
      <c r="A168" s="9" t="s">
        <v>512</v>
      </c>
      <c r="B168" s="2">
        <v>45612</v>
      </c>
      <c r="C168" s="1" t="s">
        <v>384</v>
      </c>
      <c r="D168" s="1" t="s">
        <v>169</v>
      </c>
      <c r="E168" s="1" t="s">
        <v>72</v>
      </c>
      <c r="F168" s="1" t="s">
        <v>18</v>
      </c>
      <c r="G168" s="1" t="s">
        <v>42</v>
      </c>
      <c r="H168" s="1" t="s">
        <v>61</v>
      </c>
      <c r="I168" s="1" t="s">
        <v>302</v>
      </c>
      <c r="J168" s="1">
        <v>5</v>
      </c>
      <c r="K168" s="3">
        <v>21318.959999999999</v>
      </c>
      <c r="L168" s="1">
        <v>15</v>
      </c>
      <c r="M168" s="1" t="s">
        <v>22</v>
      </c>
      <c r="N168" s="10" t="s">
        <v>74</v>
      </c>
    </row>
    <row r="169" spans="1:14" x14ac:dyDescent="0.25">
      <c r="A169" s="9" t="s">
        <v>513</v>
      </c>
      <c r="B169" s="2">
        <v>45220</v>
      </c>
      <c r="C169" s="1" t="s">
        <v>278</v>
      </c>
      <c r="D169" s="1" t="s">
        <v>26</v>
      </c>
      <c r="E169" s="1" t="s">
        <v>27</v>
      </c>
      <c r="F169" s="1" t="s">
        <v>99</v>
      </c>
      <c r="G169" s="1" t="s">
        <v>83</v>
      </c>
      <c r="H169" s="1" t="s">
        <v>43</v>
      </c>
      <c r="I169" s="1" t="s">
        <v>144</v>
      </c>
      <c r="J169" s="1">
        <v>2</v>
      </c>
      <c r="K169" s="3">
        <v>2458.81</v>
      </c>
      <c r="L169" s="1">
        <v>20</v>
      </c>
      <c r="M169" s="1" t="s">
        <v>69</v>
      </c>
      <c r="N169" s="10" t="s">
        <v>37</v>
      </c>
    </row>
    <row r="170" spans="1:14" x14ac:dyDescent="0.25">
      <c r="A170" s="9" t="s">
        <v>516</v>
      </c>
      <c r="B170" s="2">
        <v>45266</v>
      </c>
      <c r="C170" s="1" t="s">
        <v>517</v>
      </c>
      <c r="D170" s="1" t="s">
        <v>33</v>
      </c>
      <c r="E170" s="1" t="s">
        <v>72</v>
      </c>
      <c r="F170" s="1" t="s">
        <v>28</v>
      </c>
      <c r="G170" s="1" t="s">
        <v>53</v>
      </c>
      <c r="H170" s="1" t="s">
        <v>54</v>
      </c>
      <c r="I170" s="1" t="s">
        <v>518</v>
      </c>
      <c r="J170" s="1">
        <v>10</v>
      </c>
      <c r="K170" s="3">
        <v>33297.69</v>
      </c>
      <c r="L170" s="1">
        <v>20</v>
      </c>
      <c r="M170" s="1" t="s">
        <v>36</v>
      </c>
      <c r="N170" s="10" t="s">
        <v>64</v>
      </c>
    </row>
    <row r="171" spans="1:14" x14ac:dyDescent="0.25">
      <c r="A171" s="9" t="s">
        <v>519</v>
      </c>
      <c r="B171" s="2">
        <v>45542</v>
      </c>
      <c r="C171" s="1" t="s">
        <v>520</v>
      </c>
      <c r="D171" s="1" t="s">
        <v>436</v>
      </c>
      <c r="E171" s="1" t="s">
        <v>72</v>
      </c>
      <c r="F171" s="1" t="s">
        <v>18</v>
      </c>
      <c r="G171" s="1" t="s">
        <v>42</v>
      </c>
      <c r="H171" s="1" t="s">
        <v>43</v>
      </c>
      <c r="I171" s="1" t="s">
        <v>365</v>
      </c>
      <c r="J171" s="1">
        <v>9</v>
      </c>
      <c r="K171" s="3">
        <v>31928.04</v>
      </c>
      <c r="L171" s="1">
        <v>0</v>
      </c>
      <c r="M171" s="1" t="s">
        <v>63</v>
      </c>
      <c r="N171" s="10" t="s">
        <v>64</v>
      </c>
    </row>
    <row r="172" spans="1:14" x14ac:dyDescent="0.25">
      <c r="A172" s="9" t="s">
        <v>521</v>
      </c>
      <c r="B172" s="2">
        <v>45341</v>
      </c>
      <c r="C172" s="1" t="s">
        <v>522</v>
      </c>
      <c r="D172" s="1" t="s">
        <v>71</v>
      </c>
      <c r="E172" s="1" t="s">
        <v>17</v>
      </c>
      <c r="F172" s="1" t="s">
        <v>88</v>
      </c>
      <c r="G172" s="1" t="s">
        <v>42</v>
      </c>
      <c r="H172" s="1" t="s">
        <v>61</v>
      </c>
      <c r="I172" s="1" t="s">
        <v>68</v>
      </c>
      <c r="J172" s="1">
        <v>4</v>
      </c>
      <c r="K172" s="3">
        <v>2307.09</v>
      </c>
      <c r="L172" s="1">
        <v>0</v>
      </c>
      <c r="M172" s="1" t="s">
        <v>56</v>
      </c>
      <c r="N172" s="10" t="s">
        <v>37</v>
      </c>
    </row>
    <row r="173" spans="1:14" x14ac:dyDescent="0.25">
      <c r="A173" s="9" t="s">
        <v>523</v>
      </c>
      <c r="B173" s="2">
        <v>45487</v>
      </c>
      <c r="C173" s="1" t="s">
        <v>524</v>
      </c>
      <c r="D173" s="1" t="s">
        <v>67</v>
      </c>
      <c r="E173" s="1" t="s">
        <v>17</v>
      </c>
      <c r="F173" s="1" t="s">
        <v>99</v>
      </c>
      <c r="G173" s="1" t="s">
        <v>19</v>
      </c>
      <c r="H173" s="1" t="s">
        <v>20</v>
      </c>
      <c r="I173" s="1" t="s">
        <v>127</v>
      </c>
      <c r="J173" s="1">
        <v>1</v>
      </c>
      <c r="K173" s="3">
        <v>1000.91</v>
      </c>
      <c r="L173" s="1" t="s">
        <v>110</v>
      </c>
      <c r="M173" s="1" t="s">
        <v>36</v>
      </c>
      <c r="N173" s="10" t="s">
        <v>74</v>
      </c>
    </row>
    <row r="174" spans="1:14" x14ac:dyDescent="0.25">
      <c r="A174" s="9" t="s">
        <v>525</v>
      </c>
      <c r="B174" s="2">
        <v>45169</v>
      </c>
      <c r="C174" s="1" t="s">
        <v>526</v>
      </c>
      <c r="D174" s="1" t="s">
        <v>81</v>
      </c>
      <c r="E174" s="1" t="s">
        <v>17</v>
      </c>
      <c r="F174" s="1" t="s">
        <v>99</v>
      </c>
      <c r="G174" s="1" t="s">
        <v>42</v>
      </c>
      <c r="H174" s="1" t="s">
        <v>43</v>
      </c>
      <c r="I174" s="1" t="s">
        <v>84</v>
      </c>
      <c r="J174" s="1">
        <v>7</v>
      </c>
      <c r="K174" s="3">
        <v>17420.490000000002</v>
      </c>
      <c r="L174" s="1">
        <v>20</v>
      </c>
      <c r="M174" s="1" t="s">
        <v>36</v>
      </c>
      <c r="N174" s="10" t="s">
        <v>74</v>
      </c>
    </row>
    <row r="175" spans="1:14" x14ac:dyDescent="0.25">
      <c r="A175" s="9" t="s">
        <v>527</v>
      </c>
      <c r="B175" s="2">
        <v>45461</v>
      </c>
      <c r="C175" s="1" t="s">
        <v>528</v>
      </c>
      <c r="D175" s="1" t="s">
        <v>33</v>
      </c>
      <c r="E175" s="1" t="s">
        <v>34</v>
      </c>
      <c r="F175" s="1" t="s">
        <v>28</v>
      </c>
      <c r="G175" s="1" t="s">
        <v>42</v>
      </c>
      <c r="H175" s="1" t="s">
        <v>61</v>
      </c>
      <c r="I175" s="1" t="s">
        <v>529</v>
      </c>
      <c r="J175" s="1">
        <v>7</v>
      </c>
      <c r="K175" s="3">
        <v>15877.79</v>
      </c>
      <c r="L175" s="1">
        <v>5</v>
      </c>
      <c r="M175" s="1" t="s">
        <v>36</v>
      </c>
      <c r="N175" s="10" t="s">
        <v>45</v>
      </c>
    </row>
    <row r="176" spans="1:14" x14ac:dyDescent="0.25">
      <c r="A176" s="9" t="s">
        <v>530</v>
      </c>
      <c r="B176" s="2">
        <v>44949</v>
      </c>
      <c r="C176" s="1" t="s">
        <v>531</v>
      </c>
      <c r="D176" s="1" t="s">
        <v>26</v>
      </c>
      <c r="E176" s="1" t="s">
        <v>72</v>
      </c>
      <c r="F176" s="1" t="s">
        <v>18</v>
      </c>
      <c r="G176" s="1" t="s">
        <v>42</v>
      </c>
      <c r="H176" s="1" t="s">
        <v>43</v>
      </c>
      <c r="I176" s="1" t="s">
        <v>348</v>
      </c>
      <c r="J176" s="1">
        <v>2</v>
      </c>
      <c r="K176" s="3">
        <v>8989.7999999999993</v>
      </c>
      <c r="L176" s="1">
        <v>5</v>
      </c>
      <c r="M176" s="1" t="s">
        <v>22</v>
      </c>
      <c r="N176" s="10" t="s">
        <v>45</v>
      </c>
    </row>
    <row r="177" spans="1:14" x14ac:dyDescent="0.25">
      <c r="A177" s="9" t="s">
        <v>532</v>
      </c>
      <c r="B177" s="2">
        <v>45476</v>
      </c>
      <c r="C177" s="1" t="s">
        <v>533</v>
      </c>
      <c r="D177" s="1" t="s">
        <v>71</v>
      </c>
      <c r="E177" s="1" t="s">
        <v>34</v>
      </c>
      <c r="F177" s="1" t="s">
        <v>99</v>
      </c>
      <c r="G177" s="1" t="s">
        <v>42</v>
      </c>
      <c r="H177" s="1" t="s">
        <v>61</v>
      </c>
      <c r="I177" s="1" t="s">
        <v>68</v>
      </c>
      <c r="J177" s="1">
        <v>6</v>
      </c>
      <c r="K177" s="3">
        <v>8661.14</v>
      </c>
      <c r="L177" s="1" t="s">
        <v>110</v>
      </c>
      <c r="M177" s="1" t="s">
        <v>22</v>
      </c>
      <c r="N177" s="10" t="s">
        <v>74</v>
      </c>
    </row>
    <row r="178" spans="1:14" x14ac:dyDescent="0.25">
      <c r="A178" s="9" t="s">
        <v>534</v>
      </c>
      <c r="B178" s="2">
        <v>45085</v>
      </c>
      <c r="C178" s="1" t="s">
        <v>219</v>
      </c>
      <c r="D178" s="1" t="s">
        <v>33</v>
      </c>
      <c r="E178" s="1" t="s">
        <v>72</v>
      </c>
      <c r="F178" s="1" t="s">
        <v>28</v>
      </c>
      <c r="G178" s="1" t="s">
        <v>19</v>
      </c>
      <c r="H178" s="1" t="s">
        <v>20</v>
      </c>
      <c r="I178" s="1" t="s">
        <v>261</v>
      </c>
      <c r="J178" s="1">
        <v>1</v>
      </c>
      <c r="K178" s="3">
        <v>4473.3999999999996</v>
      </c>
      <c r="L178" s="1">
        <v>15</v>
      </c>
      <c r="M178" s="1" t="s">
        <v>22</v>
      </c>
      <c r="N178" s="10" t="s">
        <v>45</v>
      </c>
    </row>
    <row r="179" spans="1:14" x14ac:dyDescent="0.25">
      <c r="A179" s="9" t="s">
        <v>535</v>
      </c>
      <c r="B179" s="2">
        <v>45349</v>
      </c>
      <c r="C179" s="1" t="s">
        <v>536</v>
      </c>
      <c r="D179" s="1" t="s">
        <v>40</v>
      </c>
      <c r="E179" s="1" t="s">
        <v>41</v>
      </c>
      <c r="F179" s="1" t="s">
        <v>60</v>
      </c>
      <c r="G179" s="1" t="s">
        <v>19</v>
      </c>
      <c r="H179" s="1" t="s">
        <v>20</v>
      </c>
      <c r="I179" s="1" t="s">
        <v>193</v>
      </c>
      <c r="J179" s="1">
        <v>10</v>
      </c>
      <c r="K179" s="3">
        <v>25765.87</v>
      </c>
      <c r="L179" s="1" t="s">
        <v>110</v>
      </c>
      <c r="M179" s="1" t="s">
        <v>56</v>
      </c>
      <c r="N179" s="10" t="s">
        <v>37</v>
      </c>
    </row>
    <row r="180" spans="1:14" x14ac:dyDescent="0.25">
      <c r="A180" s="9" t="s">
        <v>537</v>
      </c>
      <c r="B180" s="2">
        <v>45109</v>
      </c>
      <c r="C180" s="1" t="s">
        <v>538</v>
      </c>
      <c r="D180" s="1" t="s">
        <v>71</v>
      </c>
      <c r="E180" s="1" t="s">
        <v>17</v>
      </c>
      <c r="F180" s="1" t="s">
        <v>60</v>
      </c>
      <c r="G180" s="1" t="s">
        <v>42</v>
      </c>
      <c r="H180" s="1" t="s">
        <v>43</v>
      </c>
      <c r="I180" s="1" t="s">
        <v>494</v>
      </c>
      <c r="J180" s="1">
        <v>8</v>
      </c>
      <c r="K180" s="3">
        <v>5306.88</v>
      </c>
      <c r="L180" s="1" t="s">
        <v>110</v>
      </c>
      <c r="M180" s="1" t="s">
        <v>69</v>
      </c>
      <c r="N180" s="10" t="s">
        <v>74</v>
      </c>
    </row>
    <row r="181" spans="1:14" x14ac:dyDescent="0.25">
      <c r="A181" s="9" t="s">
        <v>539</v>
      </c>
      <c r="B181" s="2">
        <v>45158</v>
      </c>
      <c r="C181" s="1" t="s">
        <v>540</v>
      </c>
      <c r="D181" s="1" t="s">
        <v>87</v>
      </c>
      <c r="E181" s="1" t="s">
        <v>17</v>
      </c>
      <c r="F181" s="1" t="s">
        <v>60</v>
      </c>
      <c r="G181" s="1" t="s">
        <v>42</v>
      </c>
      <c r="H181" s="1" t="s">
        <v>61</v>
      </c>
      <c r="I181" s="1" t="s">
        <v>302</v>
      </c>
      <c r="J181" s="1">
        <v>5</v>
      </c>
      <c r="K181" s="3">
        <v>8275.61</v>
      </c>
      <c r="L181" s="1">
        <v>5</v>
      </c>
      <c r="M181" s="1" t="s">
        <v>22</v>
      </c>
      <c r="N181" s="10" t="s">
        <v>74</v>
      </c>
    </row>
    <row r="182" spans="1:14" x14ac:dyDescent="0.25">
      <c r="A182" s="9" t="s">
        <v>541</v>
      </c>
      <c r="B182" s="2">
        <v>45146</v>
      </c>
      <c r="C182" s="1" t="s">
        <v>542</v>
      </c>
      <c r="D182" s="1" t="s">
        <v>87</v>
      </c>
      <c r="E182" s="1" t="s">
        <v>34</v>
      </c>
      <c r="F182" s="1" t="s">
        <v>60</v>
      </c>
      <c r="G182" s="1" t="s">
        <v>19</v>
      </c>
      <c r="H182" s="1" t="s">
        <v>29</v>
      </c>
      <c r="I182" s="1" t="s">
        <v>35</v>
      </c>
      <c r="J182" s="1">
        <v>1</v>
      </c>
      <c r="K182" s="3">
        <v>2754.6</v>
      </c>
      <c r="L182" s="1">
        <v>15</v>
      </c>
      <c r="M182" s="1" t="s">
        <v>22</v>
      </c>
      <c r="N182" s="10" t="s">
        <v>23</v>
      </c>
    </row>
    <row r="183" spans="1:14" x14ac:dyDescent="0.25">
      <c r="A183" s="9" t="s">
        <v>543</v>
      </c>
      <c r="B183" s="2">
        <v>44976</v>
      </c>
      <c r="C183" s="1" t="s">
        <v>544</v>
      </c>
      <c r="D183" s="1" t="s">
        <v>81</v>
      </c>
      <c r="E183" s="1" t="s">
        <v>59</v>
      </c>
      <c r="F183" s="1" t="s">
        <v>88</v>
      </c>
      <c r="G183" s="1" t="s">
        <v>19</v>
      </c>
      <c r="H183" s="1" t="s">
        <v>29</v>
      </c>
      <c r="I183" s="1" t="s">
        <v>515</v>
      </c>
      <c r="J183" s="1">
        <v>6</v>
      </c>
      <c r="K183" s="3">
        <v>20453.36</v>
      </c>
      <c r="L183" s="1">
        <v>5</v>
      </c>
      <c r="M183" s="1" t="s">
        <v>93</v>
      </c>
      <c r="N183" s="10" t="s">
        <v>31</v>
      </c>
    </row>
    <row r="184" spans="1:14" x14ac:dyDescent="0.25">
      <c r="A184" s="9" t="s">
        <v>545</v>
      </c>
      <c r="B184" s="2">
        <v>45107</v>
      </c>
      <c r="C184" s="1" t="s">
        <v>546</v>
      </c>
      <c r="D184" s="1" t="s">
        <v>192</v>
      </c>
      <c r="E184" s="1" t="s">
        <v>72</v>
      </c>
      <c r="F184" s="1" t="s">
        <v>28</v>
      </c>
      <c r="G184" s="1" t="s">
        <v>19</v>
      </c>
      <c r="H184" s="1" t="s">
        <v>29</v>
      </c>
      <c r="I184" s="1" t="s">
        <v>96</v>
      </c>
      <c r="J184" s="1">
        <v>10</v>
      </c>
      <c r="K184" s="3">
        <v>40078.910000000003</v>
      </c>
      <c r="L184" s="1" t="s">
        <v>110</v>
      </c>
      <c r="M184" s="1" t="s">
        <v>93</v>
      </c>
      <c r="N184" s="10" t="s">
        <v>37</v>
      </c>
    </row>
    <row r="185" spans="1:14" x14ac:dyDescent="0.25">
      <c r="A185" s="9" t="s">
        <v>547</v>
      </c>
      <c r="B185" s="2">
        <v>45490</v>
      </c>
      <c r="C185" s="1" t="s">
        <v>168</v>
      </c>
      <c r="D185" s="1" t="s">
        <v>87</v>
      </c>
      <c r="E185" s="1" t="s">
        <v>41</v>
      </c>
      <c r="F185" s="1" t="s">
        <v>99</v>
      </c>
      <c r="G185" s="1" t="s">
        <v>53</v>
      </c>
      <c r="H185" s="1" t="s">
        <v>54</v>
      </c>
      <c r="I185" s="1" t="s">
        <v>548</v>
      </c>
      <c r="J185" s="1">
        <v>9</v>
      </c>
      <c r="K185" s="3">
        <v>6225.74</v>
      </c>
      <c r="L185" s="1">
        <v>10</v>
      </c>
      <c r="M185" s="1" t="s">
        <v>69</v>
      </c>
      <c r="N185" s="10" t="s">
        <v>74</v>
      </c>
    </row>
    <row r="186" spans="1:14" x14ac:dyDescent="0.25">
      <c r="A186" s="9" t="s">
        <v>549</v>
      </c>
      <c r="B186" s="2">
        <v>45123</v>
      </c>
      <c r="C186" s="1" t="s">
        <v>550</v>
      </c>
      <c r="D186" s="1" t="s">
        <v>71</v>
      </c>
      <c r="E186" s="1" t="s">
        <v>59</v>
      </c>
      <c r="F186" s="1" t="s">
        <v>99</v>
      </c>
      <c r="G186" s="1" t="s">
        <v>83</v>
      </c>
      <c r="H186" s="1" t="s">
        <v>43</v>
      </c>
      <c r="I186" s="1" t="s">
        <v>258</v>
      </c>
      <c r="J186" s="1">
        <v>7</v>
      </c>
      <c r="K186" s="3">
        <v>30492.48</v>
      </c>
      <c r="L186" s="1">
        <v>20</v>
      </c>
      <c r="M186" s="1" t="s">
        <v>93</v>
      </c>
      <c r="N186" s="10" t="s">
        <v>31</v>
      </c>
    </row>
    <row r="187" spans="1:14" x14ac:dyDescent="0.25">
      <c r="A187" s="9" t="s">
        <v>551</v>
      </c>
      <c r="B187" s="2">
        <v>44989</v>
      </c>
      <c r="C187" s="1" t="s">
        <v>451</v>
      </c>
      <c r="D187" s="1" t="s">
        <v>378</v>
      </c>
      <c r="E187" s="1" t="s">
        <v>34</v>
      </c>
      <c r="F187" s="1" t="s">
        <v>28</v>
      </c>
      <c r="G187" s="1" t="s">
        <v>42</v>
      </c>
      <c r="H187" s="1" t="s">
        <v>61</v>
      </c>
      <c r="I187" s="1" t="s">
        <v>204</v>
      </c>
      <c r="J187" s="1">
        <v>6</v>
      </c>
      <c r="K187" s="3">
        <v>17478.29</v>
      </c>
      <c r="L187" s="1">
        <v>15</v>
      </c>
      <c r="M187" s="1" t="s">
        <v>69</v>
      </c>
      <c r="N187" s="10" t="s">
        <v>74</v>
      </c>
    </row>
    <row r="188" spans="1:14" x14ac:dyDescent="0.25">
      <c r="A188" s="9" t="s">
        <v>552</v>
      </c>
      <c r="B188" s="2">
        <v>45371</v>
      </c>
      <c r="C188" s="1" t="s">
        <v>553</v>
      </c>
      <c r="D188" s="1" t="s">
        <v>147</v>
      </c>
      <c r="E188" s="1" t="s">
        <v>72</v>
      </c>
      <c r="F188" s="1" t="s">
        <v>60</v>
      </c>
      <c r="G188" s="1" t="s">
        <v>83</v>
      </c>
      <c r="H188" s="1" t="s">
        <v>43</v>
      </c>
      <c r="I188" s="1" t="s">
        <v>258</v>
      </c>
      <c r="J188" s="1">
        <v>5</v>
      </c>
      <c r="K188" s="3">
        <v>24180.22</v>
      </c>
      <c r="L188" s="1">
        <v>0</v>
      </c>
      <c r="M188" s="1" t="s">
        <v>69</v>
      </c>
      <c r="N188" s="10" t="s">
        <v>45</v>
      </c>
    </row>
    <row r="189" spans="1:14" x14ac:dyDescent="0.25">
      <c r="A189" s="9" t="s">
        <v>555</v>
      </c>
      <c r="B189" s="2">
        <v>45008</v>
      </c>
      <c r="C189" s="1" t="s">
        <v>347</v>
      </c>
      <c r="D189" s="1" t="s">
        <v>87</v>
      </c>
      <c r="E189" s="1" t="s">
        <v>34</v>
      </c>
      <c r="F189" s="1" t="s">
        <v>99</v>
      </c>
      <c r="G189" s="1" t="s">
        <v>19</v>
      </c>
      <c r="H189" s="1" t="s">
        <v>29</v>
      </c>
      <c r="I189" s="1" t="s">
        <v>556</v>
      </c>
      <c r="J189" s="1">
        <v>1</v>
      </c>
      <c r="K189" s="3">
        <v>727.39</v>
      </c>
      <c r="L189" s="1">
        <v>0</v>
      </c>
      <c r="M189" s="1" t="s">
        <v>63</v>
      </c>
      <c r="N189" s="10" t="s">
        <v>31</v>
      </c>
    </row>
    <row r="190" spans="1:14" x14ac:dyDescent="0.25">
      <c r="A190" s="9" t="s">
        <v>559</v>
      </c>
      <c r="B190" s="2">
        <v>45493</v>
      </c>
      <c r="C190" s="1" t="s">
        <v>560</v>
      </c>
      <c r="D190" s="1" t="s">
        <v>161</v>
      </c>
      <c r="E190" s="1" t="s">
        <v>41</v>
      </c>
      <c r="F190" s="1" t="s">
        <v>49</v>
      </c>
      <c r="G190" s="1" t="s">
        <v>42</v>
      </c>
      <c r="H190" s="1" t="s">
        <v>43</v>
      </c>
      <c r="I190" s="1" t="s">
        <v>258</v>
      </c>
      <c r="J190" s="1">
        <v>7</v>
      </c>
      <c r="K190" s="3">
        <v>5150.5600000000004</v>
      </c>
      <c r="L190" s="1">
        <v>15</v>
      </c>
      <c r="M190" s="1" t="s">
        <v>22</v>
      </c>
      <c r="N190" s="10" t="s">
        <v>23</v>
      </c>
    </row>
    <row r="191" spans="1:14" x14ac:dyDescent="0.25">
      <c r="A191" s="9" t="s">
        <v>561</v>
      </c>
      <c r="B191" s="2">
        <v>45501</v>
      </c>
      <c r="C191" s="1" t="s">
        <v>282</v>
      </c>
      <c r="D191" s="1" t="s">
        <v>40</v>
      </c>
      <c r="E191" s="1" t="s">
        <v>34</v>
      </c>
      <c r="F191" s="1" t="s">
        <v>18</v>
      </c>
      <c r="G191" s="1" t="s">
        <v>19</v>
      </c>
      <c r="H191" s="1" t="s">
        <v>20</v>
      </c>
      <c r="I191" s="1" t="s">
        <v>391</v>
      </c>
      <c r="J191" s="1">
        <v>9</v>
      </c>
      <c r="K191" s="3">
        <v>10331.120000000001</v>
      </c>
      <c r="L191" s="1">
        <v>0</v>
      </c>
      <c r="M191" s="1" t="s">
        <v>56</v>
      </c>
      <c r="N191" s="10" t="s">
        <v>23</v>
      </c>
    </row>
    <row r="192" spans="1:14" x14ac:dyDescent="0.25">
      <c r="A192" s="9" t="s">
        <v>564</v>
      </c>
      <c r="B192" s="2">
        <v>45247</v>
      </c>
      <c r="C192" s="1" t="s">
        <v>565</v>
      </c>
      <c r="D192" s="1" t="s">
        <v>26</v>
      </c>
      <c r="E192" s="1" t="s">
        <v>17</v>
      </c>
      <c r="F192" s="1" t="s">
        <v>99</v>
      </c>
      <c r="G192" s="1" t="s">
        <v>42</v>
      </c>
      <c r="H192" s="1" t="s">
        <v>43</v>
      </c>
      <c r="I192" s="1" t="s">
        <v>566</v>
      </c>
      <c r="J192" s="1">
        <v>6</v>
      </c>
      <c r="K192" s="3">
        <v>24044.79</v>
      </c>
      <c r="L192" s="1">
        <v>5</v>
      </c>
      <c r="M192" s="1" t="s">
        <v>63</v>
      </c>
      <c r="N192" s="10" t="s">
        <v>74</v>
      </c>
    </row>
    <row r="193" spans="1:14" x14ac:dyDescent="0.25">
      <c r="A193" s="9" t="s">
        <v>567</v>
      </c>
      <c r="B193" s="2">
        <v>45005</v>
      </c>
      <c r="C193" s="1" t="s">
        <v>568</v>
      </c>
      <c r="D193" s="1" t="s">
        <v>67</v>
      </c>
      <c r="E193" s="1" t="s">
        <v>72</v>
      </c>
      <c r="F193" s="1" t="s">
        <v>18</v>
      </c>
      <c r="G193" s="1" t="s">
        <v>19</v>
      </c>
      <c r="H193" s="1" t="s">
        <v>20</v>
      </c>
      <c r="I193" s="1" t="s">
        <v>239</v>
      </c>
      <c r="J193" s="1">
        <v>7</v>
      </c>
      <c r="K193" s="3">
        <v>28768.39</v>
      </c>
      <c r="L193" s="1">
        <v>20</v>
      </c>
      <c r="M193" s="1" t="s">
        <v>69</v>
      </c>
      <c r="N193" s="10" t="s">
        <v>74</v>
      </c>
    </row>
    <row r="194" spans="1:14" x14ac:dyDescent="0.25">
      <c r="A194" s="9" t="s">
        <v>569</v>
      </c>
      <c r="B194" s="2">
        <v>45152</v>
      </c>
      <c r="C194" s="1" t="s">
        <v>570</v>
      </c>
      <c r="D194" s="1" t="s">
        <v>87</v>
      </c>
      <c r="E194" s="1" t="s">
        <v>59</v>
      </c>
      <c r="F194" s="1" t="s">
        <v>88</v>
      </c>
      <c r="G194" s="1" t="s">
        <v>42</v>
      </c>
      <c r="H194" s="1" t="s">
        <v>43</v>
      </c>
      <c r="I194" s="1" t="s">
        <v>89</v>
      </c>
      <c r="J194" s="1">
        <v>6</v>
      </c>
      <c r="K194" s="3">
        <v>22251.32</v>
      </c>
      <c r="L194" s="1" t="s">
        <v>110</v>
      </c>
      <c r="M194" s="1" t="s">
        <v>69</v>
      </c>
      <c r="N194" s="10" t="s">
        <v>64</v>
      </c>
    </row>
    <row r="195" spans="1:14" x14ac:dyDescent="0.25">
      <c r="A195" s="9" t="s">
        <v>571</v>
      </c>
      <c r="B195" s="2">
        <v>45393</v>
      </c>
      <c r="C195" s="1" t="s">
        <v>140</v>
      </c>
      <c r="D195" s="1" t="s">
        <v>81</v>
      </c>
      <c r="E195" s="1" t="s">
        <v>17</v>
      </c>
      <c r="F195" s="1" t="s">
        <v>18</v>
      </c>
      <c r="G195" s="1" t="s">
        <v>83</v>
      </c>
      <c r="H195" s="1" t="s">
        <v>43</v>
      </c>
      <c r="I195" s="1" t="s">
        <v>572</v>
      </c>
      <c r="J195" s="1">
        <v>7</v>
      </c>
      <c r="K195" s="3">
        <v>17881.28</v>
      </c>
      <c r="L195" s="1">
        <v>15</v>
      </c>
      <c r="M195" s="1" t="s">
        <v>69</v>
      </c>
      <c r="N195" s="10" t="s">
        <v>74</v>
      </c>
    </row>
    <row r="196" spans="1:14" x14ac:dyDescent="0.25">
      <c r="A196" s="9" t="s">
        <v>573</v>
      </c>
      <c r="B196" s="2">
        <v>45206</v>
      </c>
      <c r="C196" s="1" t="s">
        <v>574</v>
      </c>
      <c r="D196" s="1" t="s">
        <v>52</v>
      </c>
      <c r="E196" s="1" t="s">
        <v>59</v>
      </c>
      <c r="F196" s="1" t="s">
        <v>82</v>
      </c>
      <c r="G196" s="1" t="s">
        <v>53</v>
      </c>
      <c r="H196" s="1" t="s">
        <v>54</v>
      </c>
      <c r="I196" s="1" t="s">
        <v>109</v>
      </c>
      <c r="J196" s="1">
        <v>7</v>
      </c>
      <c r="K196" s="3">
        <v>8906.2999999999993</v>
      </c>
      <c r="L196" s="1" t="s">
        <v>110</v>
      </c>
      <c r="M196" s="1" t="s">
        <v>93</v>
      </c>
      <c r="N196" s="10" t="s">
        <v>31</v>
      </c>
    </row>
    <row r="197" spans="1:14" x14ac:dyDescent="0.25">
      <c r="A197" s="9" t="s">
        <v>575</v>
      </c>
      <c r="B197" s="2">
        <v>45522</v>
      </c>
      <c r="C197" s="1" t="s">
        <v>576</v>
      </c>
      <c r="D197" s="1" t="s">
        <v>16</v>
      </c>
      <c r="E197" s="1" t="s">
        <v>59</v>
      </c>
      <c r="F197" s="1" t="s">
        <v>99</v>
      </c>
      <c r="G197" s="1" t="s">
        <v>42</v>
      </c>
      <c r="H197" s="1" t="s">
        <v>43</v>
      </c>
      <c r="I197" s="1" t="s">
        <v>467</v>
      </c>
      <c r="J197" s="1">
        <v>8</v>
      </c>
      <c r="K197" s="3">
        <v>39848.06</v>
      </c>
      <c r="L197" s="1">
        <v>20</v>
      </c>
      <c r="M197" s="1" t="s">
        <v>69</v>
      </c>
      <c r="N197" s="10" t="s">
        <v>64</v>
      </c>
    </row>
    <row r="198" spans="1:14" x14ac:dyDescent="0.25">
      <c r="A198" s="9" t="s">
        <v>577</v>
      </c>
      <c r="B198" s="2">
        <v>45403</v>
      </c>
      <c r="C198" s="1" t="s">
        <v>578</v>
      </c>
      <c r="D198" s="1" t="s">
        <v>399</v>
      </c>
      <c r="E198" s="1" t="s">
        <v>34</v>
      </c>
      <c r="F198" s="1" t="s">
        <v>28</v>
      </c>
      <c r="G198" s="1" t="s">
        <v>42</v>
      </c>
      <c r="H198" s="1" t="s">
        <v>43</v>
      </c>
      <c r="I198" s="1" t="s">
        <v>144</v>
      </c>
      <c r="J198" s="1">
        <v>10</v>
      </c>
      <c r="K198" s="3">
        <v>16704.02</v>
      </c>
      <c r="L198" s="1">
        <v>10</v>
      </c>
      <c r="M198" s="1" t="s">
        <v>63</v>
      </c>
      <c r="N198" s="10" t="s">
        <v>64</v>
      </c>
    </row>
    <row r="199" spans="1:14" x14ac:dyDescent="0.25">
      <c r="A199" s="9" t="s">
        <v>579</v>
      </c>
      <c r="B199" s="2">
        <v>45575</v>
      </c>
      <c r="C199" s="1" t="s">
        <v>580</v>
      </c>
      <c r="D199" s="1" t="s">
        <v>33</v>
      </c>
      <c r="E199" s="1" t="s">
        <v>27</v>
      </c>
      <c r="F199" s="1" t="s">
        <v>82</v>
      </c>
      <c r="G199" s="1" t="s">
        <v>19</v>
      </c>
      <c r="H199" s="1" t="s">
        <v>29</v>
      </c>
      <c r="I199" s="1" t="s">
        <v>113</v>
      </c>
      <c r="J199" s="1">
        <v>4</v>
      </c>
      <c r="K199" s="3">
        <v>19088.16</v>
      </c>
      <c r="L199" s="1">
        <v>15</v>
      </c>
      <c r="M199" s="1" t="s">
        <v>36</v>
      </c>
      <c r="N199" s="10" t="s">
        <v>64</v>
      </c>
    </row>
    <row r="200" spans="1:14" x14ac:dyDescent="0.25">
      <c r="A200" s="9" t="s">
        <v>581</v>
      </c>
      <c r="B200" s="2">
        <v>45488</v>
      </c>
      <c r="C200" s="1" t="s">
        <v>582</v>
      </c>
      <c r="D200" s="1" t="s">
        <v>71</v>
      </c>
      <c r="E200" s="1" t="s">
        <v>17</v>
      </c>
      <c r="F200" s="1" t="s">
        <v>82</v>
      </c>
      <c r="G200" s="1" t="s">
        <v>19</v>
      </c>
      <c r="H200" s="1" t="s">
        <v>20</v>
      </c>
      <c r="I200" s="1" t="s">
        <v>583</v>
      </c>
      <c r="J200" s="1">
        <v>10</v>
      </c>
      <c r="K200" s="3">
        <v>43225.05</v>
      </c>
      <c r="L200" s="1">
        <v>15</v>
      </c>
      <c r="M200" s="1" t="s">
        <v>56</v>
      </c>
      <c r="N200" s="10" t="s">
        <v>64</v>
      </c>
    </row>
    <row r="201" spans="1:14" x14ac:dyDescent="0.25">
      <c r="A201" s="9" t="s">
        <v>584</v>
      </c>
      <c r="B201" s="2">
        <v>45041</v>
      </c>
      <c r="C201" s="1" t="s">
        <v>585</v>
      </c>
      <c r="D201" s="1" t="s">
        <v>87</v>
      </c>
      <c r="E201" s="1" t="s">
        <v>34</v>
      </c>
      <c r="F201" s="1" t="s">
        <v>18</v>
      </c>
      <c r="G201" s="1" t="s">
        <v>19</v>
      </c>
      <c r="H201" s="1" t="s">
        <v>20</v>
      </c>
      <c r="I201" s="1" t="s">
        <v>226</v>
      </c>
      <c r="J201" s="1">
        <v>7</v>
      </c>
      <c r="K201" s="3">
        <v>7943.15</v>
      </c>
      <c r="L201" s="1">
        <v>5</v>
      </c>
      <c r="M201" s="1" t="s">
        <v>63</v>
      </c>
      <c r="N201" s="10" t="s">
        <v>31</v>
      </c>
    </row>
    <row r="202" spans="1:14" x14ac:dyDescent="0.25">
      <c r="A202" s="9" t="s">
        <v>588</v>
      </c>
      <c r="B202" s="2">
        <v>45580</v>
      </c>
      <c r="C202" s="1" t="s">
        <v>589</v>
      </c>
      <c r="D202" s="1" t="s">
        <v>33</v>
      </c>
      <c r="E202" s="1" t="s">
        <v>34</v>
      </c>
      <c r="F202" s="1" t="s">
        <v>28</v>
      </c>
      <c r="G202" s="1" t="s">
        <v>42</v>
      </c>
      <c r="H202" s="1" t="s">
        <v>61</v>
      </c>
      <c r="I202" s="1" t="s">
        <v>305</v>
      </c>
      <c r="J202" s="1">
        <v>1</v>
      </c>
      <c r="K202" s="3">
        <v>4128.0600000000004</v>
      </c>
      <c r="L202" s="1">
        <v>0</v>
      </c>
      <c r="M202" s="1" t="s">
        <v>63</v>
      </c>
      <c r="N202" s="10" t="s">
        <v>45</v>
      </c>
    </row>
    <row r="203" spans="1:14" x14ac:dyDescent="0.25">
      <c r="A203" s="9" t="s">
        <v>590</v>
      </c>
      <c r="B203" s="2">
        <v>44937</v>
      </c>
      <c r="C203" s="1" t="s">
        <v>591</v>
      </c>
      <c r="D203" s="1" t="s">
        <v>71</v>
      </c>
      <c r="E203" s="1" t="s">
        <v>27</v>
      </c>
      <c r="F203" s="1" t="s">
        <v>99</v>
      </c>
      <c r="G203" s="1" t="s">
        <v>19</v>
      </c>
      <c r="H203" s="1" t="s">
        <v>20</v>
      </c>
      <c r="I203" s="1" t="s">
        <v>193</v>
      </c>
      <c r="J203" s="1">
        <v>4</v>
      </c>
      <c r="K203" s="3">
        <v>13991.03</v>
      </c>
      <c r="L203" s="1">
        <v>20</v>
      </c>
      <c r="M203" s="1" t="s">
        <v>22</v>
      </c>
      <c r="N203" s="10" t="s">
        <v>64</v>
      </c>
    </row>
    <row r="204" spans="1:14" x14ac:dyDescent="0.25">
      <c r="A204" s="9" t="s">
        <v>592</v>
      </c>
      <c r="B204" s="2">
        <v>45496</v>
      </c>
      <c r="C204" s="1" t="s">
        <v>593</v>
      </c>
      <c r="D204" s="1" t="s">
        <v>52</v>
      </c>
      <c r="E204" s="1" t="s">
        <v>17</v>
      </c>
      <c r="F204" s="1" t="s">
        <v>49</v>
      </c>
      <c r="G204" s="1" t="s">
        <v>83</v>
      </c>
      <c r="H204" s="1" t="s">
        <v>43</v>
      </c>
      <c r="I204" s="1" t="s">
        <v>348</v>
      </c>
      <c r="J204" s="1">
        <v>6</v>
      </c>
      <c r="K204" s="3">
        <v>21252.14</v>
      </c>
      <c r="L204" s="1">
        <v>5</v>
      </c>
      <c r="M204" s="1" t="s">
        <v>93</v>
      </c>
      <c r="N204" s="10" t="s">
        <v>45</v>
      </c>
    </row>
    <row r="205" spans="1:14" x14ac:dyDescent="0.25">
      <c r="A205" s="9" t="s">
        <v>594</v>
      </c>
      <c r="B205" s="2">
        <v>45234</v>
      </c>
      <c r="C205" s="1" t="s">
        <v>595</v>
      </c>
      <c r="D205" s="1" t="s">
        <v>192</v>
      </c>
      <c r="E205" s="1" t="s">
        <v>27</v>
      </c>
      <c r="F205" s="1" t="s">
        <v>60</v>
      </c>
      <c r="G205" s="1" t="s">
        <v>53</v>
      </c>
      <c r="H205" s="1" t="s">
        <v>54</v>
      </c>
      <c r="I205" s="1" t="s">
        <v>548</v>
      </c>
      <c r="J205" s="1">
        <v>6</v>
      </c>
      <c r="K205" s="3">
        <v>15212.25</v>
      </c>
      <c r="L205" s="1">
        <v>0</v>
      </c>
      <c r="M205" s="1" t="s">
        <v>56</v>
      </c>
      <c r="N205" s="10" t="s">
        <v>37</v>
      </c>
    </row>
    <row r="206" spans="1:14" x14ac:dyDescent="0.25">
      <c r="A206" s="9" t="s">
        <v>596</v>
      </c>
      <c r="B206" s="2">
        <v>45552</v>
      </c>
      <c r="C206" s="1" t="s">
        <v>597</v>
      </c>
      <c r="D206" s="1" t="s">
        <v>87</v>
      </c>
      <c r="E206" s="1" t="s">
        <v>41</v>
      </c>
      <c r="F206" s="1" t="s">
        <v>28</v>
      </c>
      <c r="G206" s="1" t="s">
        <v>53</v>
      </c>
      <c r="H206" s="1" t="s">
        <v>54</v>
      </c>
      <c r="I206" s="1" t="s">
        <v>548</v>
      </c>
      <c r="J206" s="1">
        <v>3</v>
      </c>
      <c r="K206" s="3">
        <v>7021.11</v>
      </c>
      <c r="L206" s="1" t="s">
        <v>110</v>
      </c>
      <c r="M206" s="1" t="s">
        <v>22</v>
      </c>
      <c r="N206" s="10" t="s">
        <v>31</v>
      </c>
    </row>
    <row r="207" spans="1:14" x14ac:dyDescent="0.25">
      <c r="A207" s="9" t="s">
        <v>598</v>
      </c>
      <c r="B207" s="2">
        <v>45616</v>
      </c>
      <c r="C207" s="1" t="s">
        <v>599</v>
      </c>
      <c r="D207" s="1" t="s">
        <v>67</v>
      </c>
      <c r="E207" s="1" t="s">
        <v>41</v>
      </c>
      <c r="F207" s="1" t="s">
        <v>88</v>
      </c>
      <c r="G207" s="1" t="s">
        <v>19</v>
      </c>
      <c r="H207" s="1" t="s">
        <v>29</v>
      </c>
      <c r="I207" s="1" t="s">
        <v>445</v>
      </c>
      <c r="J207" s="1">
        <v>6</v>
      </c>
      <c r="K207" s="3">
        <v>2068.0100000000002</v>
      </c>
      <c r="L207" s="1" t="s">
        <v>110</v>
      </c>
      <c r="M207" s="1" t="s">
        <v>93</v>
      </c>
      <c r="N207" s="10" t="s">
        <v>64</v>
      </c>
    </row>
    <row r="208" spans="1:14" x14ac:dyDescent="0.25">
      <c r="A208" s="9" t="s">
        <v>600</v>
      </c>
      <c r="B208" s="2">
        <v>45305</v>
      </c>
      <c r="C208" s="1" t="s">
        <v>601</v>
      </c>
      <c r="D208" s="1" t="s">
        <v>52</v>
      </c>
      <c r="E208" s="1" t="s">
        <v>59</v>
      </c>
      <c r="F208" s="1" t="s">
        <v>99</v>
      </c>
      <c r="G208" s="1" t="s">
        <v>42</v>
      </c>
      <c r="H208" s="1" t="s">
        <v>61</v>
      </c>
      <c r="I208" s="1" t="s">
        <v>317</v>
      </c>
      <c r="J208" s="1">
        <v>10</v>
      </c>
      <c r="K208" s="3">
        <v>21221.91</v>
      </c>
      <c r="L208" s="1">
        <v>5</v>
      </c>
      <c r="M208" s="1" t="s">
        <v>36</v>
      </c>
      <c r="N208" s="10" t="s">
        <v>64</v>
      </c>
    </row>
    <row r="209" spans="1:14" x14ac:dyDescent="0.25">
      <c r="A209" s="9" t="s">
        <v>602</v>
      </c>
      <c r="B209" s="2">
        <v>45530</v>
      </c>
      <c r="C209" s="1" t="s">
        <v>462</v>
      </c>
      <c r="D209" s="1" t="s">
        <v>67</v>
      </c>
      <c r="E209" s="1" t="s">
        <v>34</v>
      </c>
      <c r="F209" s="1" t="s">
        <v>88</v>
      </c>
      <c r="G209" s="1" t="s">
        <v>53</v>
      </c>
      <c r="H209" s="1" t="s">
        <v>54</v>
      </c>
      <c r="I209" s="1" t="s">
        <v>55</v>
      </c>
      <c r="J209" s="1">
        <v>4</v>
      </c>
      <c r="K209" s="3">
        <v>1038.82</v>
      </c>
      <c r="L209" s="1">
        <v>15</v>
      </c>
      <c r="M209" s="1" t="s">
        <v>22</v>
      </c>
      <c r="N209" s="10" t="s">
        <v>31</v>
      </c>
    </row>
    <row r="210" spans="1:14" x14ac:dyDescent="0.25">
      <c r="A210" s="9" t="s">
        <v>603</v>
      </c>
      <c r="B210" s="2">
        <v>45106</v>
      </c>
      <c r="C210" s="1" t="s">
        <v>287</v>
      </c>
      <c r="D210" s="1" t="s">
        <v>26</v>
      </c>
      <c r="E210" s="1" t="s">
        <v>34</v>
      </c>
      <c r="F210" s="1" t="s">
        <v>60</v>
      </c>
      <c r="G210" s="1" t="s">
        <v>19</v>
      </c>
      <c r="H210" s="1" t="s">
        <v>29</v>
      </c>
      <c r="I210" s="1" t="s">
        <v>515</v>
      </c>
      <c r="J210" s="1">
        <v>5</v>
      </c>
      <c r="K210" s="3">
        <v>5206.82</v>
      </c>
      <c r="L210" s="1">
        <v>10</v>
      </c>
      <c r="M210" s="1" t="s">
        <v>93</v>
      </c>
      <c r="N210" s="10" t="s">
        <v>31</v>
      </c>
    </row>
    <row r="211" spans="1:14" x14ac:dyDescent="0.25">
      <c r="A211" s="9" t="s">
        <v>604</v>
      </c>
      <c r="B211" s="2">
        <v>45407</v>
      </c>
      <c r="C211" s="1" t="s">
        <v>91</v>
      </c>
      <c r="D211" s="1" t="s">
        <v>33</v>
      </c>
      <c r="E211" s="1" t="s">
        <v>34</v>
      </c>
      <c r="F211" s="1" t="s">
        <v>88</v>
      </c>
      <c r="G211" s="1" t="s">
        <v>83</v>
      </c>
      <c r="H211" s="1" t="s">
        <v>43</v>
      </c>
      <c r="I211" s="1" t="s">
        <v>100</v>
      </c>
      <c r="J211" s="1">
        <v>6</v>
      </c>
      <c r="K211" s="3">
        <v>23071.42</v>
      </c>
      <c r="L211" s="1">
        <v>15</v>
      </c>
      <c r="M211" s="1" t="s">
        <v>63</v>
      </c>
      <c r="N211" s="10" t="s">
        <v>37</v>
      </c>
    </row>
    <row r="212" spans="1:14" x14ac:dyDescent="0.25">
      <c r="A212" s="9" t="s">
        <v>605</v>
      </c>
      <c r="B212" s="2">
        <v>45039</v>
      </c>
      <c r="C212" s="1" t="s">
        <v>273</v>
      </c>
      <c r="D212" s="1" t="s">
        <v>40</v>
      </c>
      <c r="E212" s="1" t="s">
        <v>59</v>
      </c>
      <c r="F212" s="1" t="s">
        <v>88</v>
      </c>
      <c r="G212" s="1" t="s">
        <v>42</v>
      </c>
      <c r="H212" s="1" t="s">
        <v>61</v>
      </c>
      <c r="I212" s="1" t="s">
        <v>317</v>
      </c>
      <c r="J212" s="1">
        <v>10</v>
      </c>
      <c r="K212" s="3">
        <v>3995.22</v>
      </c>
      <c r="L212" s="1">
        <v>15</v>
      </c>
      <c r="M212" s="1" t="s">
        <v>93</v>
      </c>
      <c r="N212" s="10" t="s">
        <v>23</v>
      </c>
    </row>
    <row r="213" spans="1:14" x14ac:dyDescent="0.25">
      <c r="A213" s="9" t="s">
        <v>606</v>
      </c>
      <c r="B213" s="2">
        <v>45650</v>
      </c>
      <c r="C213" s="1" t="s">
        <v>607</v>
      </c>
      <c r="D213" s="1" t="s">
        <v>26</v>
      </c>
      <c r="E213" s="1" t="s">
        <v>17</v>
      </c>
      <c r="F213" s="1" t="s">
        <v>99</v>
      </c>
      <c r="G213" s="1" t="s">
        <v>53</v>
      </c>
      <c r="H213" s="1" t="s">
        <v>54</v>
      </c>
      <c r="I213" s="1" t="s">
        <v>608</v>
      </c>
      <c r="J213" s="1">
        <v>-4</v>
      </c>
      <c r="K213" s="3">
        <v>2529.79</v>
      </c>
      <c r="L213" s="1">
        <v>0</v>
      </c>
      <c r="M213" s="1" t="s">
        <v>63</v>
      </c>
      <c r="N213" s="10" t="s">
        <v>64</v>
      </c>
    </row>
    <row r="214" spans="1:14" x14ac:dyDescent="0.25">
      <c r="A214" s="9" t="s">
        <v>610</v>
      </c>
      <c r="B214" s="2">
        <v>45549</v>
      </c>
      <c r="C214" s="1" t="s">
        <v>536</v>
      </c>
      <c r="D214" s="1" t="s">
        <v>67</v>
      </c>
      <c r="E214" s="1" t="s">
        <v>34</v>
      </c>
      <c r="F214" s="1" t="s">
        <v>99</v>
      </c>
      <c r="G214" s="1" t="s">
        <v>42</v>
      </c>
      <c r="H214" s="1" t="s">
        <v>43</v>
      </c>
      <c r="I214" s="1" t="s">
        <v>89</v>
      </c>
      <c r="J214" s="1">
        <v>9</v>
      </c>
      <c r="K214" s="3">
        <v>44976.47</v>
      </c>
      <c r="L214" s="1">
        <v>0</v>
      </c>
      <c r="M214" s="1" t="s">
        <v>36</v>
      </c>
      <c r="N214" s="10" t="s">
        <v>64</v>
      </c>
    </row>
    <row r="215" spans="1:14" x14ac:dyDescent="0.25">
      <c r="A215" s="9" t="s">
        <v>611</v>
      </c>
      <c r="B215" s="2">
        <v>45269</v>
      </c>
      <c r="C215" s="1" t="s">
        <v>612</v>
      </c>
      <c r="D215" s="1" t="s">
        <v>360</v>
      </c>
      <c r="E215" s="1" t="s">
        <v>17</v>
      </c>
      <c r="F215" s="1" t="s">
        <v>88</v>
      </c>
      <c r="G215" s="1" t="s">
        <v>83</v>
      </c>
      <c r="H215" s="1" t="s">
        <v>43</v>
      </c>
      <c r="I215" s="1" t="s">
        <v>365</v>
      </c>
      <c r="J215" s="1">
        <v>8</v>
      </c>
      <c r="K215" s="3">
        <v>26295.06</v>
      </c>
      <c r="L215" s="1">
        <v>20</v>
      </c>
      <c r="M215" s="1" t="s">
        <v>56</v>
      </c>
      <c r="N215" s="10" t="s">
        <v>64</v>
      </c>
    </row>
    <row r="216" spans="1:14" x14ac:dyDescent="0.25">
      <c r="A216" s="9" t="s">
        <v>613</v>
      </c>
      <c r="B216" s="2">
        <v>45121</v>
      </c>
      <c r="C216" s="1" t="s">
        <v>614</v>
      </c>
      <c r="D216" s="1" t="s">
        <v>40</v>
      </c>
      <c r="E216" s="1" t="s">
        <v>41</v>
      </c>
      <c r="F216" s="1" t="s">
        <v>82</v>
      </c>
      <c r="G216" s="1" t="s">
        <v>53</v>
      </c>
      <c r="H216" s="1" t="s">
        <v>54</v>
      </c>
      <c r="I216" s="1" t="s">
        <v>132</v>
      </c>
      <c r="J216" s="1">
        <v>8</v>
      </c>
      <c r="K216" s="3">
        <v>20895.09</v>
      </c>
      <c r="L216" s="1">
        <v>10</v>
      </c>
      <c r="M216" s="1" t="s">
        <v>63</v>
      </c>
      <c r="N216" s="10" t="s">
        <v>23</v>
      </c>
    </row>
    <row r="217" spans="1:14" x14ac:dyDescent="0.25">
      <c r="A217" s="9" t="s">
        <v>615</v>
      </c>
      <c r="B217" s="2">
        <v>45590</v>
      </c>
      <c r="C217" s="1" t="s">
        <v>616</v>
      </c>
      <c r="D217" s="1" t="s">
        <v>16</v>
      </c>
      <c r="E217" s="1" t="s">
        <v>59</v>
      </c>
      <c r="F217" s="1" t="s">
        <v>28</v>
      </c>
      <c r="G217" s="1" t="s">
        <v>42</v>
      </c>
      <c r="H217" s="1" t="s">
        <v>61</v>
      </c>
      <c r="I217" s="1" t="s">
        <v>234</v>
      </c>
      <c r="J217" s="1">
        <v>2</v>
      </c>
      <c r="K217" s="3">
        <v>4339.71</v>
      </c>
      <c r="L217" s="1">
        <v>20</v>
      </c>
      <c r="M217" s="1" t="s">
        <v>56</v>
      </c>
      <c r="N217" s="10" t="s">
        <v>31</v>
      </c>
    </row>
    <row r="218" spans="1:14" x14ac:dyDescent="0.25">
      <c r="A218" s="9" t="s">
        <v>617</v>
      </c>
      <c r="B218" s="2">
        <v>45515</v>
      </c>
      <c r="C218" s="1" t="s">
        <v>233</v>
      </c>
      <c r="D218" s="1" t="s">
        <v>81</v>
      </c>
      <c r="E218" s="1" t="s">
        <v>27</v>
      </c>
      <c r="F218" s="1" t="s">
        <v>49</v>
      </c>
      <c r="G218" s="1" t="s">
        <v>42</v>
      </c>
      <c r="H218" s="1" t="s">
        <v>61</v>
      </c>
      <c r="I218" s="1" t="s">
        <v>151</v>
      </c>
      <c r="J218" s="1">
        <v>8</v>
      </c>
      <c r="K218" s="3">
        <v>28450.9</v>
      </c>
      <c r="L218" s="1">
        <v>0</v>
      </c>
      <c r="M218" s="1" t="s">
        <v>22</v>
      </c>
      <c r="N218" s="10" t="s">
        <v>45</v>
      </c>
    </row>
    <row r="219" spans="1:14" x14ac:dyDescent="0.25">
      <c r="A219" s="9" t="s">
        <v>618</v>
      </c>
      <c r="B219" s="2">
        <v>45560</v>
      </c>
      <c r="C219" s="1" t="s">
        <v>619</v>
      </c>
      <c r="D219" s="1" t="s">
        <v>87</v>
      </c>
      <c r="E219" s="1" t="s">
        <v>59</v>
      </c>
      <c r="F219" s="1" t="s">
        <v>28</v>
      </c>
      <c r="G219" s="1" t="s">
        <v>19</v>
      </c>
      <c r="H219" s="1" t="s">
        <v>29</v>
      </c>
      <c r="I219" s="1" t="s">
        <v>385</v>
      </c>
      <c r="J219" s="1">
        <v>4</v>
      </c>
      <c r="K219" s="3">
        <v>7934.91</v>
      </c>
      <c r="L219" s="1">
        <v>10</v>
      </c>
      <c r="M219" s="1" t="s">
        <v>63</v>
      </c>
      <c r="N219" s="10" t="s">
        <v>31</v>
      </c>
    </row>
    <row r="220" spans="1:14" x14ac:dyDescent="0.25">
      <c r="A220" s="9" t="s">
        <v>620</v>
      </c>
      <c r="B220" s="2">
        <v>45061</v>
      </c>
      <c r="C220" s="1" t="s">
        <v>621</v>
      </c>
      <c r="D220" s="1" t="s">
        <v>52</v>
      </c>
      <c r="E220" s="1" t="s">
        <v>27</v>
      </c>
      <c r="F220" s="1" t="s">
        <v>28</v>
      </c>
      <c r="G220" s="1" t="s">
        <v>83</v>
      </c>
      <c r="H220" s="1" t="s">
        <v>43</v>
      </c>
      <c r="I220" s="1" t="s">
        <v>336</v>
      </c>
      <c r="J220" s="1">
        <v>5</v>
      </c>
      <c r="K220" s="3">
        <v>2369.1999999999998</v>
      </c>
      <c r="L220" s="1">
        <v>0</v>
      </c>
      <c r="M220" s="1" t="s">
        <v>22</v>
      </c>
      <c r="N220" s="10" t="s">
        <v>37</v>
      </c>
    </row>
    <row r="221" spans="1:14" x14ac:dyDescent="0.25">
      <c r="A221" s="9" t="s">
        <v>622</v>
      </c>
      <c r="B221" s="2">
        <v>45430</v>
      </c>
      <c r="C221" s="1" t="s">
        <v>623</v>
      </c>
      <c r="D221" s="1" t="s">
        <v>71</v>
      </c>
      <c r="E221" s="1" t="s">
        <v>72</v>
      </c>
      <c r="F221" s="1" t="s">
        <v>88</v>
      </c>
      <c r="G221" s="1" t="s">
        <v>19</v>
      </c>
      <c r="H221" s="1" t="s">
        <v>29</v>
      </c>
      <c r="I221" s="1" t="s">
        <v>556</v>
      </c>
      <c r="J221" s="1">
        <v>4</v>
      </c>
      <c r="K221" s="3">
        <v>15405.88</v>
      </c>
      <c r="L221" s="1">
        <v>10</v>
      </c>
      <c r="M221" s="1" t="s">
        <v>63</v>
      </c>
      <c r="N221" s="10" t="s">
        <v>23</v>
      </c>
    </row>
    <row r="222" spans="1:14" x14ac:dyDescent="0.25">
      <c r="A222" s="9" t="s">
        <v>624</v>
      </c>
      <c r="B222" s="2">
        <v>45148</v>
      </c>
      <c r="C222" s="1" t="s">
        <v>625</v>
      </c>
      <c r="D222" s="1" t="s">
        <v>87</v>
      </c>
      <c r="E222" s="1" t="s">
        <v>34</v>
      </c>
      <c r="F222" s="1" t="s">
        <v>88</v>
      </c>
      <c r="G222" s="1" t="s">
        <v>83</v>
      </c>
      <c r="H222" s="1" t="s">
        <v>43</v>
      </c>
      <c r="I222" s="1" t="s">
        <v>394</v>
      </c>
      <c r="J222" s="1">
        <v>2</v>
      </c>
      <c r="K222" s="3">
        <v>9645.35</v>
      </c>
      <c r="L222" s="1" t="s">
        <v>110</v>
      </c>
      <c r="M222" s="1" t="s">
        <v>22</v>
      </c>
      <c r="N222" s="10" t="s">
        <v>45</v>
      </c>
    </row>
    <row r="223" spans="1:14" x14ac:dyDescent="0.25">
      <c r="A223" s="9" t="s">
        <v>626</v>
      </c>
      <c r="B223" s="2">
        <v>45321</v>
      </c>
      <c r="C223" s="1" t="s">
        <v>627</v>
      </c>
      <c r="D223" s="1" t="s">
        <v>147</v>
      </c>
      <c r="E223" s="1" t="s">
        <v>72</v>
      </c>
      <c r="F223" s="1" t="s">
        <v>28</v>
      </c>
      <c r="G223" s="1" t="s">
        <v>19</v>
      </c>
      <c r="H223" s="1" t="s">
        <v>29</v>
      </c>
      <c r="I223" s="1" t="s">
        <v>320</v>
      </c>
      <c r="J223" s="1">
        <v>6</v>
      </c>
      <c r="K223" s="3">
        <v>5253.4</v>
      </c>
      <c r="L223" s="1">
        <v>5</v>
      </c>
      <c r="M223" s="1" t="s">
        <v>22</v>
      </c>
      <c r="N223" s="10" t="s">
        <v>23</v>
      </c>
    </row>
    <row r="224" spans="1:14" x14ac:dyDescent="0.25">
      <c r="A224" s="9" t="s">
        <v>628</v>
      </c>
      <c r="B224" s="2">
        <v>44940</v>
      </c>
      <c r="C224" s="1" t="s">
        <v>629</v>
      </c>
      <c r="D224" s="1" t="s">
        <v>33</v>
      </c>
      <c r="E224" s="1" t="s">
        <v>41</v>
      </c>
      <c r="F224" s="1" t="s">
        <v>60</v>
      </c>
      <c r="G224" s="1" t="s">
        <v>19</v>
      </c>
      <c r="H224" s="1" t="s">
        <v>29</v>
      </c>
      <c r="I224" s="1" t="s">
        <v>135</v>
      </c>
      <c r="J224" s="1">
        <v>9</v>
      </c>
      <c r="K224" s="3">
        <v>42109.23</v>
      </c>
      <c r="L224" s="1" t="s">
        <v>110</v>
      </c>
      <c r="M224" s="1" t="s">
        <v>36</v>
      </c>
      <c r="N224" s="10" t="s">
        <v>74</v>
      </c>
    </row>
    <row r="225" spans="1:14" x14ac:dyDescent="0.25">
      <c r="A225" s="9" t="s">
        <v>630</v>
      </c>
      <c r="B225" s="2">
        <v>45323</v>
      </c>
      <c r="C225" s="1" t="s">
        <v>517</v>
      </c>
      <c r="D225" s="1" t="s">
        <v>71</v>
      </c>
      <c r="E225" s="1" t="s">
        <v>34</v>
      </c>
      <c r="F225" s="1" t="s">
        <v>49</v>
      </c>
      <c r="G225" s="1" t="s">
        <v>42</v>
      </c>
      <c r="H225" s="1" t="s">
        <v>43</v>
      </c>
      <c r="I225" s="1" t="s">
        <v>89</v>
      </c>
      <c r="J225" s="1">
        <v>4</v>
      </c>
      <c r="K225" s="3">
        <v>4924.16</v>
      </c>
      <c r="L225" s="1">
        <v>20</v>
      </c>
      <c r="M225" s="1" t="s">
        <v>93</v>
      </c>
      <c r="N225" s="10" t="s">
        <v>45</v>
      </c>
    </row>
    <row r="226" spans="1:14" x14ac:dyDescent="0.25">
      <c r="A226" s="9" t="s">
        <v>631</v>
      </c>
      <c r="B226" s="2">
        <v>45584</v>
      </c>
      <c r="C226" s="1" t="s">
        <v>474</v>
      </c>
      <c r="D226" s="1" t="s">
        <v>26</v>
      </c>
      <c r="E226" s="1" t="s">
        <v>34</v>
      </c>
      <c r="F226" s="1" t="s">
        <v>49</v>
      </c>
      <c r="G226" s="1" t="s">
        <v>42</v>
      </c>
      <c r="H226" s="1" t="s">
        <v>61</v>
      </c>
      <c r="I226" s="1" t="s">
        <v>632</v>
      </c>
      <c r="J226" s="1">
        <v>7</v>
      </c>
      <c r="K226" s="3">
        <v>8692.6200000000008</v>
      </c>
      <c r="L226" s="1">
        <v>10</v>
      </c>
      <c r="M226" s="1" t="s">
        <v>36</v>
      </c>
      <c r="N226" s="10" t="s">
        <v>74</v>
      </c>
    </row>
    <row r="227" spans="1:14" x14ac:dyDescent="0.25">
      <c r="A227" s="9" t="s">
        <v>633</v>
      </c>
      <c r="B227" s="2">
        <v>45493</v>
      </c>
      <c r="C227" s="1" t="s">
        <v>634</v>
      </c>
      <c r="D227" s="1" t="s">
        <v>87</v>
      </c>
      <c r="E227" s="1" t="s">
        <v>41</v>
      </c>
      <c r="F227" s="1" t="s">
        <v>28</v>
      </c>
      <c r="G227" s="1" t="s">
        <v>19</v>
      </c>
      <c r="H227" s="1" t="s">
        <v>29</v>
      </c>
      <c r="I227" s="1" t="s">
        <v>635</v>
      </c>
      <c r="J227" s="1">
        <v>8</v>
      </c>
      <c r="K227" s="3">
        <v>24572.55</v>
      </c>
      <c r="L227" s="1" t="s">
        <v>110</v>
      </c>
      <c r="M227" s="1" t="s">
        <v>69</v>
      </c>
      <c r="N227" s="10" t="s">
        <v>23</v>
      </c>
    </row>
    <row r="228" spans="1:14" x14ac:dyDescent="0.25">
      <c r="A228" s="9" t="s">
        <v>636</v>
      </c>
      <c r="B228" s="2">
        <v>45475</v>
      </c>
      <c r="C228" s="1" t="s">
        <v>637</v>
      </c>
      <c r="D228" s="1" t="s">
        <v>118</v>
      </c>
      <c r="E228" s="1" t="s">
        <v>41</v>
      </c>
      <c r="F228" s="1" t="s">
        <v>18</v>
      </c>
      <c r="G228" s="1" t="s">
        <v>42</v>
      </c>
      <c r="H228" s="1" t="s">
        <v>61</v>
      </c>
      <c r="I228" s="1" t="s">
        <v>388</v>
      </c>
      <c r="J228" s="1">
        <v>1</v>
      </c>
      <c r="K228" s="3">
        <v>4560.84</v>
      </c>
      <c r="L228" s="1">
        <v>10</v>
      </c>
      <c r="M228" s="1" t="s">
        <v>56</v>
      </c>
      <c r="N228" s="10" t="s">
        <v>31</v>
      </c>
    </row>
    <row r="229" spans="1:14" x14ac:dyDescent="0.25">
      <c r="A229" s="9" t="s">
        <v>638</v>
      </c>
      <c r="B229" s="2">
        <v>45498</v>
      </c>
      <c r="C229" s="1" t="s">
        <v>514</v>
      </c>
      <c r="D229" s="1" t="s">
        <v>147</v>
      </c>
      <c r="E229" s="1" t="s">
        <v>34</v>
      </c>
      <c r="F229" s="1" t="s">
        <v>60</v>
      </c>
      <c r="G229" s="1" t="s">
        <v>53</v>
      </c>
      <c r="H229" s="1" t="s">
        <v>54</v>
      </c>
      <c r="I229" s="1" t="s">
        <v>639</v>
      </c>
      <c r="J229" s="1">
        <v>1</v>
      </c>
      <c r="K229" s="3">
        <v>1558.27</v>
      </c>
      <c r="L229" s="1" t="s">
        <v>110</v>
      </c>
      <c r="M229" s="1" t="s">
        <v>22</v>
      </c>
      <c r="N229" s="10" t="s">
        <v>31</v>
      </c>
    </row>
    <row r="230" spans="1:14" x14ac:dyDescent="0.25">
      <c r="A230" s="9" t="s">
        <v>641</v>
      </c>
      <c r="B230" s="2">
        <v>45333</v>
      </c>
      <c r="C230" s="1" t="s">
        <v>642</v>
      </c>
      <c r="D230" s="1" t="s">
        <v>52</v>
      </c>
      <c r="E230" s="1" t="s">
        <v>41</v>
      </c>
      <c r="F230" s="1" t="s">
        <v>82</v>
      </c>
      <c r="G230" s="1" t="s">
        <v>53</v>
      </c>
      <c r="H230" s="1" t="s">
        <v>54</v>
      </c>
      <c r="I230" s="1" t="s">
        <v>548</v>
      </c>
      <c r="J230" s="1">
        <v>1</v>
      </c>
      <c r="K230" s="3">
        <v>874.55</v>
      </c>
      <c r="L230" s="1">
        <v>15</v>
      </c>
      <c r="M230" s="1" t="s">
        <v>69</v>
      </c>
      <c r="N230" s="10" t="s">
        <v>64</v>
      </c>
    </row>
    <row r="231" spans="1:14" x14ac:dyDescent="0.25">
      <c r="A231" s="9" t="s">
        <v>643</v>
      </c>
      <c r="B231" s="2">
        <v>45342</v>
      </c>
      <c r="C231" s="1" t="s">
        <v>292</v>
      </c>
      <c r="D231" s="1" t="s">
        <v>33</v>
      </c>
      <c r="E231" s="1" t="s">
        <v>72</v>
      </c>
      <c r="F231" s="1" t="s">
        <v>18</v>
      </c>
      <c r="G231" s="1" t="s">
        <v>19</v>
      </c>
      <c r="H231" s="1" t="s">
        <v>29</v>
      </c>
      <c r="I231" s="1" t="s">
        <v>148</v>
      </c>
      <c r="J231" s="1">
        <v>2</v>
      </c>
      <c r="K231" s="3">
        <v>710.94</v>
      </c>
      <c r="L231" s="1" t="s">
        <v>110</v>
      </c>
      <c r="M231" s="1" t="s">
        <v>69</v>
      </c>
      <c r="N231" s="10" t="s">
        <v>45</v>
      </c>
    </row>
    <row r="232" spans="1:14" x14ac:dyDescent="0.25">
      <c r="A232" s="9" t="s">
        <v>644</v>
      </c>
      <c r="B232" s="2">
        <v>45456</v>
      </c>
      <c r="C232" s="1" t="s">
        <v>645</v>
      </c>
      <c r="D232" s="1" t="s">
        <v>40</v>
      </c>
      <c r="E232" s="1" t="s">
        <v>72</v>
      </c>
      <c r="F232" s="1" t="s">
        <v>18</v>
      </c>
      <c r="G232" s="1" t="s">
        <v>19</v>
      </c>
      <c r="H232" s="1" t="s">
        <v>29</v>
      </c>
      <c r="I232" s="1" t="s">
        <v>646</v>
      </c>
      <c r="J232" s="1">
        <v>6</v>
      </c>
      <c r="K232" s="3">
        <v>16274.71</v>
      </c>
      <c r="L232" s="1">
        <v>5</v>
      </c>
      <c r="M232" s="1" t="s">
        <v>56</v>
      </c>
      <c r="N232" s="10" t="s">
        <v>64</v>
      </c>
    </row>
    <row r="233" spans="1:14" x14ac:dyDescent="0.25">
      <c r="A233" s="9" t="s">
        <v>648</v>
      </c>
      <c r="B233" s="2">
        <v>45402</v>
      </c>
      <c r="C233" s="1" t="s">
        <v>649</v>
      </c>
      <c r="D233" s="1" t="s">
        <v>52</v>
      </c>
      <c r="E233" s="1" t="s">
        <v>34</v>
      </c>
      <c r="F233" s="1" t="s">
        <v>28</v>
      </c>
      <c r="G233" s="1" t="s">
        <v>83</v>
      </c>
      <c r="H233" s="1" t="s">
        <v>43</v>
      </c>
      <c r="I233" s="1" t="s">
        <v>365</v>
      </c>
      <c r="J233" s="1">
        <v>4</v>
      </c>
      <c r="K233" s="3">
        <v>15109.4</v>
      </c>
      <c r="L233" s="1">
        <v>10</v>
      </c>
      <c r="M233" s="1" t="s">
        <v>56</v>
      </c>
      <c r="N233" s="10" t="s">
        <v>74</v>
      </c>
    </row>
    <row r="234" spans="1:14" x14ac:dyDescent="0.25">
      <c r="A234" s="9" t="s">
        <v>650</v>
      </c>
      <c r="B234" s="2">
        <v>45572</v>
      </c>
      <c r="C234" s="1" t="s">
        <v>651</v>
      </c>
      <c r="D234" s="1" t="s">
        <v>16</v>
      </c>
      <c r="E234" s="1" t="s">
        <v>27</v>
      </c>
      <c r="F234" s="1" t="s">
        <v>49</v>
      </c>
      <c r="G234" s="1" t="s">
        <v>42</v>
      </c>
      <c r="H234" s="1" t="s">
        <v>43</v>
      </c>
      <c r="I234" s="1" t="s">
        <v>652</v>
      </c>
      <c r="J234" s="1">
        <v>10</v>
      </c>
      <c r="K234" s="3">
        <v>33857.279999999999</v>
      </c>
      <c r="L234" s="1">
        <v>0</v>
      </c>
      <c r="M234" s="1" t="s">
        <v>22</v>
      </c>
      <c r="N234" s="10" t="s">
        <v>74</v>
      </c>
    </row>
    <row r="235" spans="1:14" x14ac:dyDescent="0.25">
      <c r="A235" s="9" t="s">
        <v>653</v>
      </c>
      <c r="B235" s="2">
        <v>45535</v>
      </c>
      <c r="C235" s="1" t="s">
        <v>15</v>
      </c>
      <c r="D235" s="1" t="s">
        <v>52</v>
      </c>
      <c r="E235" s="1" t="s">
        <v>41</v>
      </c>
      <c r="F235" s="1" t="s">
        <v>82</v>
      </c>
      <c r="G235" s="1" t="s">
        <v>42</v>
      </c>
      <c r="H235" s="1" t="s">
        <v>43</v>
      </c>
      <c r="I235" s="1" t="s">
        <v>144</v>
      </c>
      <c r="J235" s="1">
        <v>5</v>
      </c>
      <c r="K235" s="3">
        <v>23573.9</v>
      </c>
      <c r="L235" s="1">
        <v>0</v>
      </c>
      <c r="M235" s="1" t="s">
        <v>22</v>
      </c>
      <c r="N235" s="10" t="s">
        <v>31</v>
      </c>
    </row>
    <row r="236" spans="1:14" x14ac:dyDescent="0.25">
      <c r="A236" s="9" t="s">
        <v>655</v>
      </c>
      <c r="B236" s="2">
        <v>45394</v>
      </c>
      <c r="C236" s="1" t="s">
        <v>172</v>
      </c>
      <c r="D236" s="1" t="s">
        <v>71</v>
      </c>
      <c r="E236" s="1" t="s">
        <v>27</v>
      </c>
      <c r="F236" s="1" t="s">
        <v>28</v>
      </c>
      <c r="G236" s="1" t="s">
        <v>42</v>
      </c>
      <c r="H236" s="1" t="s">
        <v>43</v>
      </c>
      <c r="I236" s="1" t="s">
        <v>394</v>
      </c>
      <c r="J236" s="1">
        <v>5</v>
      </c>
      <c r="K236" s="3">
        <v>24082.87</v>
      </c>
      <c r="L236" s="1">
        <v>0</v>
      </c>
      <c r="M236" s="1" t="s">
        <v>63</v>
      </c>
      <c r="N236" s="10" t="s">
        <v>74</v>
      </c>
    </row>
    <row r="237" spans="1:14" x14ac:dyDescent="0.25">
      <c r="A237" s="9" t="s">
        <v>657</v>
      </c>
      <c r="B237" s="2">
        <v>45185</v>
      </c>
      <c r="C237" s="1" t="s">
        <v>658</v>
      </c>
      <c r="D237" s="1" t="s">
        <v>67</v>
      </c>
      <c r="E237" s="1" t="s">
        <v>34</v>
      </c>
      <c r="F237" s="1" t="s">
        <v>99</v>
      </c>
      <c r="G237" s="1" t="s">
        <v>42</v>
      </c>
      <c r="H237" s="1" t="s">
        <v>43</v>
      </c>
      <c r="I237" s="1" t="s">
        <v>258</v>
      </c>
      <c r="J237" s="1">
        <v>4</v>
      </c>
      <c r="K237" s="3">
        <v>12092.2</v>
      </c>
      <c r="L237" s="1">
        <v>5</v>
      </c>
      <c r="M237" s="1" t="s">
        <v>69</v>
      </c>
      <c r="N237" s="10" t="s">
        <v>45</v>
      </c>
    </row>
    <row r="238" spans="1:14" x14ac:dyDescent="0.25">
      <c r="A238" s="9" t="s">
        <v>660</v>
      </c>
      <c r="B238" s="2">
        <v>45480</v>
      </c>
      <c r="C238" s="1" t="s">
        <v>661</v>
      </c>
      <c r="D238" s="1" t="s">
        <v>52</v>
      </c>
      <c r="E238" s="1" t="s">
        <v>27</v>
      </c>
      <c r="F238" s="1" t="s">
        <v>88</v>
      </c>
      <c r="G238" s="1" t="s">
        <v>19</v>
      </c>
      <c r="H238" s="1" t="s">
        <v>29</v>
      </c>
      <c r="I238" s="1" t="s">
        <v>472</v>
      </c>
      <c r="J238" s="1">
        <v>4</v>
      </c>
      <c r="K238" s="3">
        <v>3203.34</v>
      </c>
      <c r="L238" s="1">
        <v>5</v>
      </c>
      <c r="M238" s="1" t="s">
        <v>22</v>
      </c>
      <c r="N238" s="10" t="s">
        <v>31</v>
      </c>
    </row>
    <row r="239" spans="1:14" x14ac:dyDescent="0.25">
      <c r="A239" s="9" t="s">
        <v>662</v>
      </c>
      <c r="B239" s="2">
        <v>45180</v>
      </c>
      <c r="C239" s="1" t="s">
        <v>663</v>
      </c>
      <c r="D239" s="1" t="s">
        <v>87</v>
      </c>
      <c r="E239" s="1" t="s">
        <v>17</v>
      </c>
      <c r="F239" s="1" t="s">
        <v>82</v>
      </c>
      <c r="G239" s="1" t="s">
        <v>42</v>
      </c>
      <c r="H239" s="1" t="s">
        <v>61</v>
      </c>
      <c r="I239" s="1" t="s">
        <v>632</v>
      </c>
      <c r="J239" s="1">
        <v>7</v>
      </c>
      <c r="K239" s="3">
        <v>10029.48</v>
      </c>
      <c r="L239" s="1">
        <v>5</v>
      </c>
      <c r="M239" s="1" t="s">
        <v>93</v>
      </c>
      <c r="N239" s="10" t="s">
        <v>23</v>
      </c>
    </row>
    <row r="240" spans="1:14" x14ac:dyDescent="0.25">
      <c r="A240" s="9" t="s">
        <v>664</v>
      </c>
      <c r="B240" s="2">
        <v>45538</v>
      </c>
      <c r="C240" s="1" t="s">
        <v>514</v>
      </c>
      <c r="D240" s="1" t="s">
        <v>26</v>
      </c>
      <c r="E240" s="1" t="s">
        <v>34</v>
      </c>
      <c r="F240" s="1" t="s">
        <v>28</v>
      </c>
      <c r="G240" s="1" t="s">
        <v>19</v>
      </c>
      <c r="H240" s="1" t="s">
        <v>20</v>
      </c>
      <c r="I240" s="1" t="s">
        <v>226</v>
      </c>
      <c r="J240" s="1">
        <v>10</v>
      </c>
      <c r="K240" s="3">
        <v>11347.48</v>
      </c>
      <c r="L240" s="1">
        <v>5</v>
      </c>
      <c r="M240" s="1" t="s">
        <v>56</v>
      </c>
      <c r="N240" s="10" t="s">
        <v>31</v>
      </c>
    </row>
    <row r="241" spans="1:14" x14ac:dyDescent="0.25">
      <c r="A241" s="9" t="s">
        <v>665</v>
      </c>
      <c r="B241" s="2">
        <v>45572</v>
      </c>
      <c r="C241" s="1" t="s">
        <v>666</v>
      </c>
      <c r="D241" s="1" t="s">
        <v>52</v>
      </c>
      <c r="E241" s="1" t="s">
        <v>34</v>
      </c>
      <c r="F241" s="1" t="s">
        <v>49</v>
      </c>
      <c r="G241" s="1" t="s">
        <v>42</v>
      </c>
      <c r="H241" s="1" t="s">
        <v>61</v>
      </c>
      <c r="I241" s="1" t="s">
        <v>667</v>
      </c>
      <c r="J241" s="1">
        <v>4</v>
      </c>
      <c r="K241" s="3">
        <v>19561.72</v>
      </c>
      <c r="L241" s="1" t="s">
        <v>110</v>
      </c>
      <c r="M241" s="1" t="s">
        <v>69</v>
      </c>
      <c r="N241" s="10" t="s">
        <v>23</v>
      </c>
    </row>
    <row r="242" spans="1:14" x14ac:dyDescent="0.25">
      <c r="A242" s="9" t="s">
        <v>668</v>
      </c>
      <c r="B242" s="2">
        <v>45062</v>
      </c>
      <c r="C242" s="1" t="s">
        <v>669</v>
      </c>
      <c r="D242" s="1" t="s">
        <v>87</v>
      </c>
      <c r="E242" s="1" t="s">
        <v>72</v>
      </c>
      <c r="F242" s="1" t="s">
        <v>82</v>
      </c>
      <c r="G242" s="1" t="s">
        <v>19</v>
      </c>
      <c r="H242" s="1" t="s">
        <v>29</v>
      </c>
      <c r="I242" s="1" t="s">
        <v>162</v>
      </c>
      <c r="J242" s="1">
        <v>5</v>
      </c>
      <c r="K242" s="3">
        <v>21912.84</v>
      </c>
      <c r="L242" s="1">
        <v>5</v>
      </c>
      <c r="M242" s="1" t="s">
        <v>22</v>
      </c>
      <c r="N242" s="10" t="s">
        <v>64</v>
      </c>
    </row>
    <row r="243" spans="1:14" x14ac:dyDescent="0.25">
      <c r="A243" s="9" t="s">
        <v>670</v>
      </c>
      <c r="B243" s="2">
        <v>45092</v>
      </c>
      <c r="C243" s="1" t="s">
        <v>191</v>
      </c>
      <c r="D243" s="1" t="s">
        <v>16</v>
      </c>
      <c r="E243" s="1" t="s">
        <v>34</v>
      </c>
      <c r="F243" s="1" t="s">
        <v>99</v>
      </c>
      <c r="G243" s="1" t="s">
        <v>42</v>
      </c>
      <c r="H243" s="1" t="s">
        <v>61</v>
      </c>
      <c r="I243" s="1" t="s">
        <v>667</v>
      </c>
      <c r="J243" s="1">
        <v>4</v>
      </c>
      <c r="K243" s="3">
        <v>5491.14</v>
      </c>
      <c r="L243" s="1">
        <v>15</v>
      </c>
      <c r="M243" s="1" t="s">
        <v>93</v>
      </c>
      <c r="N243" s="10" t="s">
        <v>31</v>
      </c>
    </row>
    <row r="244" spans="1:14" x14ac:dyDescent="0.25">
      <c r="A244" s="9" t="s">
        <v>671</v>
      </c>
      <c r="B244" s="2">
        <v>45137</v>
      </c>
      <c r="C244" s="1" t="s">
        <v>181</v>
      </c>
      <c r="D244" s="1" t="s">
        <v>81</v>
      </c>
      <c r="E244" s="1" t="s">
        <v>17</v>
      </c>
      <c r="F244" s="1" t="s">
        <v>18</v>
      </c>
      <c r="G244" s="1" t="s">
        <v>19</v>
      </c>
      <c r="H244" s="1" t="s">
        <v>20</v>
      </c>
      <c r="I244" s="1" t="s">
        <v>583</v>
      </c>
      <c r="J244" s="1">
        <v>7</v>
      </c>
      <c r="K244" s="3">
        <v>21779.83</v>
      </c>
      <c r="L244" s="1">
        <v>10</v>
      </c>
      <c r="M244" s="1" t="s">
        <v>63</v>
      </c>
      <c r="N244" s="10" t="s">
        <v>74</v>
      </c>
    </row>
    <row r="245" spans="1:14" x14ac:dyDescent="0.25">
      <c r="A245" s="9" t="s">
        <v>672</v>
      </c>
      <c r="B245" s="2">
        <v>44987</v>
      </c>
      <c r="C245" s="1" t="s">
        <v>673</v>
      </c>
      <c r="D245" s="1" t="s">
        <v>26</v>
      </c>
      <c r="E245" s="1" t="s">
        <v>41</v>
      </c>
      <c r="F245" s="1" t="s">
        <v>99</v>
      </c>
      <c r="G245" s="1" t="s">
        <v>42</v>
      </c>
      <c r="H245" s="1" t="s">
        <v>43</v>
      </c>
      <c r="I245" s="1" t="s">
        <v>288</v>
      </c>
      <c r="J245" s="1">
        <v>8</v>
      </c>
      <c r="K245" s="3">
        <v>8204.02</v>
      </c>
      <c r="L245" s="1">
        <v>5</v>
      </c>
      <c r="M245" s="1" t="s">
        <v>36</v>
      </c>
      <c r="N245" s="10" t="s">
        <v>37</v>
      </c>
    </row>
    <row r="246" spans="1:14" x14ac:dyDescent="0.25">
      <c r="A246" s="9" t="s">
        <v>674</v>
      </c>
      <c r="B246" s="2">
        <v>45301</v>
      </c>
      <c r="C246" s="1" t="s">
        <v>675</v>
      </c>
      <c r="D246" s="1" t="s">
        <v>161</v>
      </c>
      <c r="E246" s="1" t="s">
        <v>72</v>
      </c>
      <c r="F246" s="1" t="s">
        <v>88</v>
      </c>
      <c r="G246" s="1" t="s">
        <v>42</v>
      </c>
      <c r="H246" s="1" t="s">
        <v>43</v>
      </c>
      <c r="I246" s="1" t="s">
        <v>157</v>
      </c>
      <c r="J246" s="1">
        <v>8</v>
      </c>
      <c r="K246" s="3">
        <v>39353.97</v>
      </c>
      <c r="L246" s="1">
        <v>15</v>
      </c>
      <c r="M246" s="1" t="s">
        <v>63</v>
      </c>
      <c r="N246" s="10" t="s">
        <v>64</v>
      </c>
    </row>
    <row r="247" spans="1:14" x14ac:dyDescent="0.25">
      <c r="A247" s="9" t="s">
        <v>676</v>
      </c>
      <c r="B247" s="2">
        <v>45473</v>
      </c>
      <c r="C247" s="1" t="s">
        <v>677</v>
      </c>
      <c r="D247" s="1" t="s">
        <v>147</v>
      </c>
      <c r="E247" s="1" t="s">
        <v>27</v>
      </c>
      <c r="F247" s="1" t="s">
        <v>82</v>
      </c>
      <c r="G247" s="1" t="s">
        <v>42</v>
      </c>
      <c r="H247" s="1" t="s">
        <v>61</v>
      </c>
      <c r="I247" s="1" t="s">
        <v>587</v>
      </c>
      <c r="J247" s="1">
        <v>7</v>
      </c>
      <c r="K247" s="3">
        <v>16173.52</v>
      </c>
      <c r="L247" s="1">
        <v>5</v>
      </c>
      <c r="M247" s="1" t="s">
        <v>56</v>
      </c>
      <c r="N247" s="10" t="s">
        <v>37</v>
      </c>
    </row>
    <row r="248" spans="1:14" x14ac:dyDescent="0.25">
      <c r="A248" s="9" t="s">
        <v>678</v>
      </c>
      <c r="B248" s="2">
        <v>45261</v>
      </c>
      <c r="C248" s="1" t="s">
        <v>679</v>
      </c>
      <c r="D248" s="1" t="s">
        <v>81</v>
      </c>
      <c r="E248" s="1" t="s">
        <v>72</v>
      </c>
      <c r="F248" s="1" t="s">
        <v>18</v>
      </c>
      <c r="G248" s="1" t="s">
        <v>42</v>
      </c>
      <c r="H248" s="1" t="s">
        <v>43</v>
      </c>
      <c r="I248" s="1" t="s">
        <v>336</v>
      </c>
      <c r="J248" s="1">
        <v>2</v>
      </c>
      <c r="K248" s="3">
        <v>6835.18</v>
      </c>
      <c r="L248" s="1" t="s">
        <v>110</v>
      </c>
      <c r="M248" s="1" t="s">
        <v>36</v>
      </c>
      <c r="N248" s="10" t="s">
        <v>31</v>
      </c>
    </row>
    <row r="249" spans="1:14" x14ac:dyDescent="0.25">
      <c r="A249" s="9" t="s">
        <v>680</v>
      </c>
      <c r="B249" s="2">
        <v>45523</v>
      </c>
      <c r="C249" s="1" t="s">
        <v>681</v>
      </c>
      <c r="D249" s="1" t="s">
        <v>40</v>
      </c>
      <c r="E249" s="1" t="s">
        <v>17</v>
      </c>
      <c r="F249" s="1" t="s">
        <v>28</v>
      </c>
      <c r="G249" s="1" t="s">
        <v>19</v>
      </c>
      <c r="H249" s="1" t="s">
        <v>29</v>
      </c>
      <c r="I249" s="1" t="s">
        <v>35</v>
      </c>
      <c r="J249" s="1">
        <v>8</v>
      </c>
      <c r="K249" s="3">
        <v>5968.34</v>
      </c>
      <c r="L249" s="1">
        <v>10</v>
      </c>
      <c r="M249" s="1" t="s">
        <v>56</v>
      </c>
      <c r="N249" s="10" t="s">
        <v>45</v>
      </c>
    </row>
    <row r="250" spans="1:14" x14ac:dyDescent="0.25">
      <c r="A250" s="9" t="s">
        <v>133</v>
      </c>
      <c r="B250" s="2">
        <v>45449</v>
      </c>
      <c r="C250" s="1" t="s">
        <v>683</v>
      </c>
      <c r="D250" s="1" t="s">
        <v>16</v>
      </c>
      <c r="E250" s="1" t="s">
        <v>34</v>
      </c>
      <c r="F250" s="1" t="s">
        <v>99</v>
      </c>
      <c r="G250" s="1" t="s">
        <v>53</v>
      </c>
      <c r="H250" s="1" t="s">
        <v>54</v>
      </c>
      <c r="I250" s="1" t="s">
        <v>308</v>
      </c>
      <c r="J250" s="1">
        <v>10</v>
      </c>
      <c r="K250" s="3">
        <v>24052.55</v>
      </c>
      <c r="L250" s="1">
        <v>10</v>
      </c>
      <c r="M250" s="1" t="s">
        <v>36</v>
      </c>
      <c r="N250" s="10" t="s">
        <v>31</v>
      </c>
    </row>
    <row r="251" spans="1:14" x14ac:dyDescent="0.25">
      <c r="A251" s="9" t="s">
        <v>684</v>
      </c>
      <c r="B251" s="2">
        <v>45427</v>
      </c>
      <c r="C251" s="1" t="s">
        <v>449</v>
      </c>
      <c r="D251" s="1" t="s">
        <v>161</v>
      </c>
      <c r="E251" s="1" t="s">
        <v>17</v>
      </c>
      <c r="F251" s="1" t="s">
        <v>18</v>
      </c>
      <c r="G251" s="1" t="s">
        <v>19</v>
      </c>
      <c r="H251" s="1" t="s">
        <v>29</v>
      </c>
      <c r="I251" s="1" t="s">
        <v>135</v>
      </c>
      <c r="J251" s="1">
        <v>3</v>
      </c>
      <c r="K251" s="3">
        <v>13643.14</v>
      </c>
      <c r="L251" s="1">
        <v>15</v>
      </c>
      <c r="M251" s="1" t="s">
        <v>22</v>
      </c>
      <c r="N251" s="10" t="s">
        <v>74</v>
      </c>
    </row>
    <row r="252" spans="1:14" x14ac:dyDescent="0.25">
      <c r="A252" s="9" t="s">
        <v>686</v>
      </c>
      <c r="B252" s="2">
        <v>45047</v>
      </c>
      <c r="C252" s="1" t="s">
        <v>533</v>
      </c>
      <c r="D252" s="1" t="s">
        <v>87</v>
      </c>
      <c r="E252" s="1" t="s">
        <v>27</v>
      </c>
      <c r="F252" s="1" t="s">
        <v>82</v>
      </c>
      <c r="G252" s="1" t="s">
        <v>53</v>
      </c>
      <c r="H252" s="1" t="s">
        <v>54</v>
      </c>
      <c r="I252" s="1" t="s">
        <v>558</v>
      </c>
      <c r="J252" s="1">
        <v>2</v>
      </c>
      <c r="K252" s="3">
        <v>8302.66</v>
      </c>
      <c r="L252" s="1" t="s">
        <v>110</v>
      </c>
      <c r="M252" s="1" t="s">
        <v>56</v>
      </c>
      <c r="N252" s="10" t="s">
        <v>64</v>
      </c>
    </row>
    <row r="253" spans="1:14" x14ac:dyDescent="0.25">
      <c r="A253" s="9" t="s">
        <v>687</v>
      </c>
      <c r="B253" s="2">
        <v>45064</v>
      </c>
      <c r="C253" s="1" t="s">
        <v>688</v>
      </c>
      <c r="D253" s="1" t="s">
        <v>147</v>
      </c>
      <c r="E253" s="1" t="s">
        <v>27</v>
      </c>
      <c r="F253" s="1" t="s">
        <v>99</v>
      </c>
      <c r="G253" s="1" t="s">
        <v>53</v>
      </c>
      <c r="H253" s="1" t="s">
        <v>54</v>
      </c>
      <c r="I253" s="1" t="s">
        <v>121</v>
      </c>
      <c r="J253" s="1">
        <v>2</v>
      </c>
      <c r="K253" s="3">
        <v>6977.92</v>
      </c>
      <c r="L253" s="1">
        <v>20</v>
      </c>
      <c r="M253" s="1" t="s">
        <v>63</v>
      </c>
      <c r="N253" s="10" t="s">
        <v>64</v>
      </c>
    </row>
    <row r="254" spans="1:14" x14ac:dyDescent="0.25">
      <c r="A254" s="9" t="s">
        <v>689</v>
      </c>
      <c r="B254" s="2">
        <v>45609</v>
      </c>
      <c r="C254" s="1" t="s">
        <v>690</v>
      </c>
      <c r="D254" s="1" t="s">
        <v>16</v>
      </c>
      <c r="E254" s="1" t="s">
        <v>34</v>
      </c>
      <c r="F254" s="1" t="s">
        <v>99</v>
      </c>
      <c r="G254" s="1" t="s">
        <v>19</v>
      </c>
      <c r="H254" s="1" t="s">
        <v>20</v>
      </c>
      <c r="I254" s="1" t="s">
        <v>21</v>
      </c>
      <c r="J254" s="1">
        <v>3</v>
      </c>
      <c r="K254" s="3">
        <v>4794.8</v>
      </c>
      <c r="L254" s="1">
        <v>5</v>
      </c>
      <c r="M254" s="1" t="s">
        <v>56</v>
      </c>
      <c r="N254" s="10" t="s">
        <v>37</v>
      </c>
    </row>
    <row r="255" spans="1:14" x14ac:dyDescent="0.25">
      <c r="A255" s="9" t="s">
        <v>691</v>
      </c>
      <c r="B255" s="2">
        <v>45622</v>
      </c>
      <c r="C255" s="1" t="s">
        <v>692</v>
      </c>
      <c r="D255" s="1" t="s">
        <v>147</v>
      </c>
      <c r="E255" s="1" t="s">
        <v>41</v>
      </c>
      <c r="F255" s="1" t="s">
        <v>49</v>
      </c>
      <c r="G255" s="1" t="s">
        <v>19</v>
      </c>
      <c r="H255" s="1" t="s">
        <v>29</v>
      </c>
      <c r="I255" s="1" t="s">
        <v>693</v>
      </c>
      <c r="J255" s="1">
        <v>3</v>
      </c>
      <c r="K255" s="3">
        <v>2318.7399999999998</v>
      </c>
      <c r="L255" s="1">
        <v>5</v>
      </c>
      <c r="M255" s="1" t="s">
        <v>63</v>
      </c>
      <c r="N255" s="10" t="s">
        <v>45</v>
      </c>
    </row>
    <row r="256" spans="1:14" x14ac:dyDescent="0.25">
      <c r="A256" s="9" t="s">
        <v>695</v>
      </c>
      <c r="B256" s="2">
        <v>45192</v>
      </c>
      <c r="C256" s="1" t="s">
        <v>696</v>
      </c>
      <c r="D256" s="1" t="s">
        <v>26</v>
      </c>
      <c r="E256" s="1" t="s">
        <v>34</v>
      </c>
      <c r="F256" s="1" t="s">
        <v>82</v>
      </c>
      <c r="G256" s="1" t="s">
        <v>42</v>
      </c>
      <c r="H256" s="1" t="s">
        <v>61</v>
      </c>
      <c r="I256" s="1" t="s">
        <v>106</v>
      </c>
      <c r="J256" s="1">
        <v>2</v>
      </c>
      <c r="K256" s="3">
        <v>3129.35</v>
      </c>
      <c r="L256" s="1">
        <v>5</v>
      </c>
      <c r="M256" s="1" t="s">
        <v>22</v>
      </c>
      <c r="N256" s="10" t="s">
        <v>31</v>
      </c>
    </row>
    <row r="257" spans="1:14" x14ac:dyDescent="0.25">
      <c r="A257" s="9" t="s">
        <v>697</v>
      </c>
      <c r="B257" s="2">
        <v>45584</v>
      </c>
      <c r="C257" s="1" t="s">
        <v>420</v>
      </c>
      <c r="D257" s="1" t="s">
        <v>71</v>
      </c>
      <c r="E257" s="1" t="s">
        <v>34</v>
      </c>
      <c r="F257" s="1" t="s">
        <v>49</v>
      </c>
      <c r="G257" s="1" t="s">
        <v>83</v>
      </c>
      <c r="H257" s="1" t="s">
        <v>43</v>
      </c>
      <c r="I257" s="1" t="s">
        <v>339</v>
      </c>
      <c r="J257" s="1">
        <v>7</v>
      </c>
      <c r="K257" s="3">
        <v>7384.93</v>
      </c>
      <c r="L257" s="1">
        <v>10</v>
      </c>
      <c r="M257" s="1" t="s">
        <v>56</v>
      </c>
      <c r="N257" s="10" t="s">
        <v>23</v>
      </c>
    </row>
    <row r="258" spans="1:14" x14ac:dyDescent="0.25">
      <c r="A258" s="9" t="s">
        <v>698</v>
      </c>
      <c r="B258" s="2">
        <v>45391</v>
      </c>
      <c r="C258" s="1" t="s">
        <v>699</v>
      </c>
      <c r="D258" s="1" t="s">
        <v>147</v>
      </c>
      <c r="E258" s="1" t="s">
        <v>72</v>
      </c>
      <c r="F258" s="1" t="s">
        <v>49</v>
      </c>
      <c r="G258" s="1" t="s">
        <v>19</v>
      </c>
      <c r="H258" s="1" t="s">
        <v>20</v>
      </c>
      <c r="I258" s="1" t="s">
        <v>78</v>
      </c>
      <c r="J258" s="1">
        <v>8</v>
      </c>
      <c r="K258" s="3">
        <v>14192.28</v>
      </c>
      <c r="L258" s="1">
        <v>0</v>
      </c>
      <c r="M258" s="1" t="s">
        <v>36</v>
      </c>
      <c r="N258" s="10" t="s">
        <v>31</v>
      </c>
    </row>
    <row r="259" spans="1:14" x14ac:dyDescent="0.25">
      <c r="A259" s="9" t="s">
        <v>700</v>
      </c>
      <c r="B259" s="2">
        <v>45201</v>
      </c>
      <c r="C259" s="1" t="s">
        <v>701</v>
      </c>
      <c r="D259" s="1" t="s">
        <v>26</v>
      </c>
      <c r="E259" s="1" t="s">
        <v>72</v>
      </c>
      <c r="F259" s="1" t="s">
        <v>18</v>
      </c>
      <c r="G259" s="1" t="s">
        <v>42</v>
      </c>
      <c r="H259" s="1" t="s">
        <v>61</v>
      </c>
      <c r="I259" s="1" t="s">
        <v>667</v>
      </c>
      <c r="J259" s="1">
        <v>5</v>
      </c>
      <c r="K259" s="3">
        <v>14262.02</v>
      </c>
      <c r="L259" s="1">
        <v>15</v>
      </c>
      <c r="M259" s="1" t="s">
        <v>36</v>
      </c>
      <c r="N259" s="10" t="s">
        <v>37</v>
      </c>
    </row>
    <row r="260" spans="1:14" x14ac:dyDescent="0.25">
      <c r="A260" s="9" t="s">
        <v>702</v>
      </c>
      <c r="B260" s="2">
        <v>45052</v>
      </c>
      <c r="C260" s="1" t="s">
        <v>703</v>
      </c>
      <c r="D260" s="1" t="s">
        <v>71</v>
      </c>
      <c r="E260" s="1" t="s">
        <v>27</v>
      </c>
      <c r="F260" s="1" t="s">
        <v>82</v>
      </c>
      <c r="G260" s="1" t="s">
        <v>83</v>
      </c>
      <c r="H260" s="1" t="s">
        <v>43</v>
      </c>
      <c r="I260" s="1" t="s">
        <v>704</v>
      </c>
      <c r="J260" s="1">
        <v>3</v>
      </c>
      <c r="K260" s="3">
        <v>7353.11</v>
      </c>
      <c r="L260" s="1">
        <v>20</v>
      </c>
      <c r="M260" s="1" t="s">
        <v>93</v>
      </c>
      <c r="N260" s="10" t="s">
        <v>74</v>
      </c>
    </row>
    <row r="261" spans="1:14" x14ac:dyDescent="0.25">
      <c r="A261" s="9" t="s">
        <v>705</v>
      </c>
      <c r="B261" s="2">
        <v>45363</v>
      </c>
      <c r="C261" s="1" t="s">
        <v>706</v>
      </c>
      <c r="D261" s="1" t="s">
        <v>71</v>
      </c>
      <c r="E261" s="1" t="s">
        <v>17</v>
      </c>
      <c r="F261" s="1" t="s">
        <v>82</v>
      </c>
      <c r="G261" s="1" t="s">
        <v>83</v>
      </c>
      <c r="H261" s="1" t="s">
        <v>43</v>
      </c>
      <c r="I261" s="1" t="s">
        <v>339</v>
      </c>
      <c r="J261" s="1">
        <v>10</v>
      </c>
      <c r="K261" s="3">
        <v>44578.42</v>
      </c>
      <c r="L261" s="1">
        <v>15</v>
      </c>
      <c r="M261" s="1" t="s">
        <v>63</v>
      </c>
      <c r="N261" s="10" t="s">
        <v>37</v>
      </c>
    </row>
    <row r="262" spans="1:14" x14ac:dyDescent="0.25">
      <c r="A262" s="9" t="s">
        <v>707</v>
      </c>
      <c r="B262" s="2">
        <v>45357</v>
      </c>
      <c r="C262" s="1" t="s">
        <v>184</v>
      </c>
      <c r="D262" s="1" t="s">
        <v>16</v>
      </c>
      <c r="E262" s="1" t="s">
        <v>27</v>
      </c>
      <c r="F262" s="1" t="s">
        <v>18</v>
      </c>
      <c r="G262" s="1" t="s">
        <v>53</v>
      </c>
      <c r="H262" s="1" t="s">
        <v>54</v>
      </c>
      <c r="I262" s="1" t="s">
        <v>427</v>
      </c>
      <c r="J262" s="1">
        <v>9</v>
      </c>
      <c r="K262" s="3">
        <v>28185.43</v>
      </c>
      <c r="L262" s="1">
        <v>0</v>
      </c>
      <c r="M262" s="1" t="s">
        <v>69</v>
      </c>
      <c r="N262" s="10" t="s">
        <v>74</v>
      </c>
    </row>
    <row r="263" spans="1:14" x14ac:dyDescent="0.25">
      <c r="A263" s="9" t="s">
        <v>708</v>
      </c>
      <c r="B263" s="2">
        <v>45270</v>
      </c>
      <c r="C263" s="1" t="s">
        <v>709</v>
      </c>
      <c r="D263" s="1" t="s">
        <v>87</v>
      </c>
      <c r="E263" s="1" t="s">
        <v>34</v>
      </c>
      <c r="F263" s="1" t="s">
        <v>28</v>
      </c>
      <c r="G263" s="1" t="s">
        <v>83</v>
      </c>
      <c r="H263" s="1" t="s">
        <v>43</v>
      </c>
      <c r="I263" s="1" t="s">
        <v>285</v>
      </c>
      <c r="J263" s="1">
        <v>7</v>
      </c>
      <c r="K263" s="3">
        <v>26620.31</v>
      </c>
      <c r="L263" s="1">
        <v>20</v>
      </c>
      <c r="M263" s="1" t="s">
        <v>56</v>
      </c>
      <c r="N263" s="10" t="s">
        <v>23</v>
      </c>
    </row>
    <row r="264" spans="1:14" x14ac:dyDescent="0.25">
      <c r="A264" s="9" t="s">
        <v>710</v>
      </c>
      <c r="B264" s="2">
        <v>45429</v>
      </c>
      <c r="C264" s="1" t="s">
        <v>711</v>
      </c>
      <c r="D264" s="1" t="s">
        <v>16</v>
      </c>
      <c r="E264" s="1" t="s">
        <v>17</v>
      </c>
      <c r="F264" s="1" t="s">
        <v>82</v>
      </c>
      <c r="G264" s="1" t="s">
        <v>19</v>
      </c>
      <c r="H264" s="1" t="s">
        <v>29</v>
      </c>
      <c r="I264" s="1" t="s">
        <v>30</v>
      </c>
      <c r="J264" s="1">
        <v>3</v>
      </c>
      <c r="K264" s="3">
        <v>2453.09</v>
      </c>
      <c r="L264" s="1">
        <v>0</v>
      </c>
      <c r="M264" s="1" t="s">
        <v>69</v>
      </c>
      <c r="N264" s="10" t="s">
        <v>31</v>
      </c>
    </row>
    <row r="265" spans="1:14" x14ac:dyDescent="0.25">
      <c r="A265" s="9" t="s">
        <v>712</v>
      </c>
      <c r="B265" s="2">
        <v>45327</v>
      </c>
      <c r="C265" s="1" t="s">
        <v>713</v>
      </c>
      <c r="D265" s="1" t="s">
        <v>40</v>
      </c>
      <c r="E265" s="1" t="s">
        <v>34</v>
      </c>
      <c r="F265" s="1" t="s">
        <v>88</v>
      </c>
      <c r="G265" s="1" t="s">
        <v>42</v>
      </c>
      <c r="H265" s="1" t="s">
        <v>43</v>
      </c>
      <c r="I265" s="1" t="s">
        <v>704</v>
      </c>
      <c r="J265" s="1">
        <v>2</v>
      </c>
      <c r="K265" s="3">
        <v>3273.22</v>
      </c>
      <c r="L265" s="1">
        <v>20</v>
      </c>
      <c r="M265" s="1" t="s">
        <v>93</v>
      </c>
      <c r="N265" s="10" t="s">
        <v>45</v>
      </c>
    </row>
    <row r="266" spans="1:14" x14ac:dyDescent="0.25">
      <c r="A266" s="9" t="s">
        <v>714</v>
      </c>
      <c r="B266" s="2">
        <v>44935</v>
      </c>
      <c r="C266" s="1" t="s">
        <v>372</v>
      </c>
      <c r="D266" s="1" t="s">
        <v>40</v>
      </c>
      <c r="E266" s="1" t="s">
        <v>17</v>
      </c>
      <c r="F266" s="1" t="s">
        <v>18</v>
      </c>
      <c r="G266" s="1" t="s">
        <v>83</v>
      </c>
      <c r="H266" s="1" t="s">
        <v>43</v>
      </c>
      <c r="I266" s="1" t="s">
        <v>154</v>
      </c>
      <c r="J266" s="1">
        <v>6</v>
      </c>
      <c r="K266" s="3">
        <v>19249.400000000001</v>
      </c>
      <c r="L266" s="1">
        <v>10</v>
      </c>
      <c r="M266" s="1" t="s">
        <v>93</v>
      </c>
      <c r="N266" s="10" t="s">
        <v>23</v>
      </c>
    </row>
    <row r="267" spans="1:14" x14ac:dyDescent="0.25">
      <c r="A267" s="9" t="s">
        <v>715</v>
      </c>
      <c r="B267" s="2">
        <v>45071</v>
      </c>
      <c r="C267" s="1" t="s">
        <v>716</v>
      </c>
      <c r="D267" s="1" t="s">
        <v>161</v>
      </c>
      <c r="E267" s="1" t="s">
        <v>27</v>
      </c>
      <c r="F267" s="1" t="s">
        <v>60</v>
      </c>
      <c r="G267" s="1" t="s">
        <v>19</v>
      </c>
      <c r="H267" s="1" t="s">
        <v>29</v>
      </c>
      <c r="I267" s="1" t="s">
        <v>646</v>
      </c>
      <c r="J267" s="1">
        <v>8</v>
      </c>
      <c r="K267" s="3">
        <v>39439.449999999997</v>
      </c>
      <c r="L267" s="1">
        <v>5</v>
      </c>
      <c r="M267" s="1" t="s">
        <v>22</v>
      </c>
      <c r="N267" s="10" t="s">
        <v>74</v>
      </c>
    </row>
    <row r="268" spans="1:14" x14ac:dyDescent="0.25">
      <c r="A268" s="9" t="s">
        <v>717</v>
      </c>
      <c r="B268" s="2">
        <v>45184</v>
      </c>
      <c r="C268" s="1" t="s">
        <v>718</v>
      </c>
      <c r="D268" s="1" t="s">
        <v>26</v>
      </c>
      <c r="E268" s="1" t="s">
        <v>41</v>
      </c>
      <c r="F268" s="1" t="s">
        <v>28</v>
      </c>
      <c r="G268" s="1" t="s">
        <v>19</v>
      </c>
      <c r="H268" s="1" t="s">
        <v>20</v>
      </c>
      <c r="I268" s="1" t="s">
        <v>230</v>
      </c>
      <c r="J268" s="1">
        <v>5</v>
      </c>
      <c r="K268" s="3">
        <v>5572.46</v>
      </c>
      <c r="L268" s="1">
        <v>20</v>
      </c>
      <c r="M268" s="1" t="s">
        <v>36</v>
      </c>
      <c r="N268" s="10" t="s">
        <v>23</v>
      </c>
    </row>
    <row r="269" spans="1:14" x14ac:dyDescent="0.25">
      <c r="A269" s="9" t="s">
        <v>719</v>
      </c>
      <c r="B269" s="2">
        <v>45408</v>
      </c>
      <c r="C269" s="1" t="s">
        <v>720</v>
      </c>
      <c r="D269" s="1" t="s">
        <v>147</v>
      </c>
      <c r="E269" s="1" t="s">
        <v>72</v>
      </c>
      <c r="F269" s="1" t="s">
        <v>28</v>
      </c>
      <c r="G269" s="1" t="s">
        <v>42</v>
      </c>
      <c r="H269" s="1" t="s">
        <v>61</v>
      </c>
      <c r="I269" s="1" t="s">
        <v>196</v>
      </c>
      <c r="J269" s="1">
        <v>6</v>
      </c>
      <c r="K269" s="3">
        <v>14249.12</v>
      </c>
      <c r="L269" s="1" t="s">
        <v>110</v>
      </c>
      <c r="M269" s="1" t="s">
        <v>93</v>
      </c>
      <c r="N269" s="10" t="s">
        <v>37</v>
      </c>
    </row>
    <row r="270" spans="1:14" x14ac:dyDescent="0.25">
      <c r="A270" s="9" t="s">
        <v>721</v>
      </c>
      <c r="B270" s="2">
        <v>45209</v>
      </c>
      <c r="C270" s="1" t="s">
        <v>722</v>
      </c>
      <c r="D270" s="1" t="s">
        <v>16</v>
      </c>
      <c r="E270" s="1" t="s">
        <v>34</v>
      </c>
      <c r="F270" s="1" t="s">
        <v>18</v>
      </c>
      <c r="G270" s="1" t="s">
        <v>42</v>
      </c>
      <c r="H270" s="1" t="s">
        <v>43</v>
      </c>
      <c r="I270" s="1" t="s">
        <v>365</v>
      </c>
      <c r="J270" s="1">
        <v>9</v>
      </c>
      <c r="K270" s="3">
        <v>20009.990000000002</v>
      </c>
      <c r="L270" s="1">
        <v>10</v>
      </c>
      <c r="M270" s="1" t="s">
        <v>36</v>
      </c>
      <c r="N270" s="10" t="s">
        <v>31</v>
      </c>
    </row>
    <row r="271" spans="1:14" x14ac:dyDescent="0.25">
      <c r="A271" s="9" t="s">
        <v>723</v>
      </c>
      <c r="B271" s="2">
        <v>45374</v>
      </c>
      <c r="C271" s="1" t="s">
        <v>724</v>
      </c>
      <c r="D271" s="1" t="s">
        <v>33</v>
      </c>
      <c r="E271" s="1" t="s">
        <v>59</v>
      </c>
      <c r="F271" s="1" t="s">
        <v>60</v>
      </c>
      <c r="G271" s="1" t="s">
        <v>42</v>
      </c>
      <c r="H271" s="1" t="s">
        <v>61</v>
      </c>
      <c r="I271" s="1" t="s">
        <v>725</v>
      </c>
      <c r="J271" s="1">
        <v>5</v>
      </c>
      <c r="K271" s="3">
        <v>24379.74</v>
      </c>
      <c r="L271" s="1" t="s">
        <v>110</v>
      </c>
      <c r="M271" s="1" t="s">
        <v>93</v>
      </c>
      <c r="N271" s="10" t="s">
        <v>37</v>
      </c>
    </row>
    <row r="272" spans="1:14" x14ac:dyDescent="0.25">
      <c r="A272" s="9" t="s">
        <v>726</v>
      </c>
      <c r="B272" s="2">
        <v>45639</v>
      </c>
      <c r="C272" s="1" t="s">
        <v>727</v>
      </c>
      <c r="D272" s="1" t="s">
        <v>87</v>
      </c>
      <c r="E272" s="1" t="s">
        <v>34</v>
      </c>
      <c r="F272" s="1" t="s">
        <v>28</v>
      </c>
      <c r="G272" s="1" t="s">
        <v>19</v>
      </c>
      <c r="H272" s="1" t="s">
        <v>20</v>
      </c>
      <c r="I272" s="1" t="s">
        <v>78</v>
      </c>
      <c r="J272" s="1">
        <v>2</v>
      </c>
      <c r="K272" s="3">
        <v>2189.14</v>
      </c>
      <c r="L272" s="1">
        <v>0</v>
      </c>
      <c r="M272" s="1" t="s">
        <v>56</v>
      </c>
      <c r="N272" s="10" t="s">
        <v>74</v>
      </c>
    </row>
    <row r="273" spans="1:14" x14ac:dyDescent="0.25">
      <c r="A273" s="9" t="s">
        <v>728</v>
      </c>
      <c r="B273" s="2">
        <v>45280</v>
      </c>
      <c r="C273" s="1" t="s">
        <v>729</v>
      </c>
      <c r="D273" s="1" t="s">
        <v>67</v>
      </c>
      <c r="E273" s="1" t="s">
        <v>59</v>
      </c>
      <c r="F273" s="1" t="s">
        <v>88</v>
      </c>
      <c r="G273" s="1" t="s">
        <v>42</v>
      </c>
      <c r="H273" s="1" t="s">
        <v>43</v>
      </c>
      <c r="I273" s="1" t="s">
        <v>100</v>
      </c>
      <c r="J273" s="1">
        <v>4</v>
      </c>
      <c r="K273" s="3">
        <v>11573.98</v>
      </c>
      <c r="L273" s="1">
        <v>10</v>
      </c>
      <c r="M273" s="1" t="s">
        <v>36</v>
      </c>
      <c r="N273" s="10" t="s">
        <v>64</v>
      </c>
    </row>
    <row r="274" spans="1:14" x14ac:dyDescent="0.25">
      <c r="A274" s="9" t="s">
        <v>730</v>
      </c>
      <c r="B274" s="2">
        <v>45509</v>
      </c>
      <c r="C274" s="1" t="s">
        <v>619</v>
      </c>
      <c r="D274" s="1" t="s">
        <v>16</v>
      </c>
      <c r="E274" s="1" t="s">
        <v>41</v>
      </c>
      <c r="F274" s="1" t="s">
        <v>60</v>
      </c>
      <c r="G274" s="1" t="s">
        <v>19</v>
      </c>
      <c r="H274" s="1" t="s">
        <v>20</v>
      </c>
      <c r="I274" s="1" t="s">
        <v>731</v>
      </c>
      <c r="J274" s="1">
        <v>9</v>
      </c>
      <c r="K274" s="3">
        <v>25453.87</v>
      </c>
      <c r="L274" s="1">
        <v>15</v>
      </c>
      <c r="M274" s="1" t="s">
        <v>93</v>
      </c>
      <c r="N274" s="10" t="s">
        <v>31</v>
      </c>
    </row>
    <row r="275" spans="1:14" x14ac:dyDescent="0.25">
      <c r="A275" s="9" t="s">
        <v>732</v>
      </c>
      <c r="B275" s="2">
        <v>45040</v>
      </c>
      <c r="C275" s="1" t="s">
        <v>733</v>
      </c>
      <c r="D275" s="1" t="s">
        <v>52</v>
      </c>
      <c r="E275" s="1" t="s">
        <v>72</v>
      </c>
      <c r="F275" s="1" t="s">
        <v>49</v>
      </c>
      <c r="G275" s="1" t="s">
        <v>42</v>
      </c>
      <c r="H275" s="1" t="s">
        <v>61</v>
      </c>
      <c r="I275" s="1" t="s">
        <v>151</v>
      </c>
      <c r="J275" s="1">
        <v>3</v>
      </c>
      <c r="K275" s="3">
        <v>2078.54</v>
      </c>
      <c r="L275" s="1">
        <v>0</v>
      </c>
      <c r="M275" s="1" t="s">
        <v>56</v>
      </c>
      <c r="N275" s="10" t="s">
        <v>23</v>
      </c>
    </row>
    <row r="276" spans="1:14" x14ac:dyDescent="0.25">
      <c r="A276" s="9" t="s">
        <v>734</v>
      </c>
      <c r="B276" s="2">
        <v>45332</v>
      </c>
      <c r="C276" s="1" t="s">
        <v>735</v>
      </c>
      <c r="D276" s="1" t="s">
        <v>40</v>
      </c>
      <c r="E276" s="1" t="s">
        <v>72</v>
      </c>
      <c r="F276" s="1" t="s">
        <v>18</v>
      </c>
      <c r="G276" s="1" t="s">
        <v>19</v>
      </c>
      <c r="H276" s="1" t="s">
        <v>29</v>
      </c>
      <c r="I276" s="1" t="s">
        <v>320</v>
      </c>
      <c r="J276" s="1">
        <v>1</v>
      </c>
      <c r="K276" s="3">
        <v>1283.25</v>
      </c>
      <c r="L276" s="1">
        <v>0</v>
      </c>
      <c r="M276" s="1" t="s">
        <v>56</v>
      </c>
      <c r="N276" s="10" t="s">
        <v>45</v>
      </c>
    </row>
    <row r="277" spans="1:14" x14ac:dyDescent="0.25">
      <c r="A277" s="9" t="s">
        <v>736</v>
      </c>
      <c r="B277" s="2">
        <v>45178</v>
      </c>
      <c r="C277" s="1" t="s">
        <v>737</v>
      </c>
      <c r="D277" s="1" t="s">
        <v>40</v>
      </c>
      <c r="E277" s="1" t="s">
        <v>17</v>
      </c>
      <c r="F277" s="1" t="s">
        <v>18</v>
      </c>
      <c r="G277" s="1" t="s">
        <v>42</v>
      </c>
      <c r="H277" s="1" t="s">
        <v>61</v>
      </c>
      <c r="I277" s="1" t="s">
        <v>302</v>
      </c>
      <c r="J277" s="1">
        <v>2</v>
      </c>
      <c r="K277" s="3">
        <v>7978.3</v>
      </c>
      <c r="L277" s="1">
        <v>10</v>
      </c>
      <c r="M277" s="1" t="s">
        <v>56</v>
      </c>
      <c r="N277" s="10" t="s">
        <v>74</v>
      </c>
    </row>
    <row r="278" spans="1:14" x14ac:dyDescent="0.25">
      <c r="A278" s="9" t="s">
        <v>738</v>
      </c>
      <c r="B278" s="2">
        <v>45357</v>
      </c>
      <c r="C278" s="1" t="s">
        <v>739</v>
      </c>
      <c r="D278" s="1" t="s">
        <v>81</v>
      </c>
      <c r="E278" s="1" t="s">
        <v>17</v>
      </c>
      <c r="F278" s="1" t="s">
        <v>99</v>
      </c>
      <c r="G278" s="1" t="s">
        <v>19</v>
      </c>
      <c r="H278" s="1" t="s">
        <v>20</v>
      </c>
      <c r="I278" s="1" t="s">
        <v>583</v>
      </c>
      <c r="J278" s="1">
        <v>3</v>
      </c>
      <c r="K278" s="3">
        <v>1733.37</v>
      </c>
      <c r="L278" s="1">
        <v>20</v>
      </c>
      <c r="M278" s="1" t="s">
        <v>63</v>
      </c>
      <c r="N278" s="10" t="s">
        <v>45</v>
      </c>
    </row>
    <row r="279" spans="1:14" x14ac:dyDescent="0.25">
      <c r="A279" s="9" t="s">
        <v>740</v>
      </c>
      <c r="B279" s="2">
        <v>45146</v>
      </c>
      <c r="C279" s="1" t="s">
        <v>741</v>
      </c>
      <c r="D279" s="1" t="s">
        <v>26</v>
      </c>
      <c r="E279" s="1" t="s">
        <v>59</v>
      </c>
      <c r="F279" s="1" t="s">
        <v>18</v>
      </c>
      <c r="G279" s="1" t="s">
        <v>53</v>
      </c>
      <c r="H279" s="1" t="s">
        <v>54</v>
      </c>
      <c r="I279" s="1" t="s">
        <v>272</v>
      </c>
      <c r="J279" s="1">
        <v>7</v>
      </c>
      <c r="K279" s="3">
        <v>13635.81</v>
      </c>
      <c r="L279" s="1">
        <v>15</v>
      </c>
      <c r="M279" s="1" t="s">
        <v>93</v>
      </c>
      <c r="N279" s="10" t="s">
        <v>74</v>
      </c>
    </row>
    <row r="280" spans="1:14" x14ac:dyDescent="0.25">
      <c r="A280" s="9" t="s">
        <v>742</v>
      </c>
      <c r="B280" s="2">
        <v>45160</v>
      </c>
      <c r="C280" s="1" t="s">
        <v>743</v>
      </c>
      <c r="D280" s="1" t="s">
        <v>147</v>
      </c>
      <c r="E280" s="1" t="s">
        <v>27</v>
      </c>
      <c r="F280" s="1" t="s">
        <v>60</v>
      </c>
      <c r="G280" s="1" t="s">
        <v>53</v>
      </c>
      <c r="H280" s="1" t="s">
        <v>54</v>
      </c>
      <c r="I280" s="1" t="s">
        <v>132</v>
      </c>
      <c r="J280" s="1">
        <v>7</v>
      </c>
      <c r="K280" s="3">
        <v>18746.25</v>
      </c>
      <c r="L280" s="1">
        <v>5</v>
      </c>
      <c r="M280" s="1" t="s">
        <v>36</v>
      </c>
      <c r="N280" s="10" t="s">
        <v>64</v>
      </c>
    </row>
    <row r="281" spans="1:14" x14ac:dyDescent="0.25">
      <c r="A281" s="9" t="s">
        <v>744</v>
      </c>
      <c r="B281" s="2">
        <v>45024</v>
      </c>
      <c r="C281" s="1" t="s">
        <v>745</v>
      </c>
      <c r="D281" s="1" t="s">
        <v>87</v>
      </c>
      <c r="E281" s="1" t="s">
        <v>34</v>
      </c>
      <c r="F281" s="1" t="s">
        <v>28</v>
      </c>
      <c r="G281" s="1" t="s">
        <v>19</v>
      </c>
      <c r="H281" s="1" t="s">
        <v>29</v>
      </c>
      <c r="I281" s="1" t="s">
        <v>35</v>
      </c>
      <c r="J281" s="1">
        <v>6</v>
      </c>
      <c r="K281" s="3">
        <v>15505.2</v>
      </c>
      <c r="L281" s="1">
        <v>0</v>
      </c>
      <c r="M281" s="1" t="s">
        <v>69</v>
      </c>
      <c r="N281" s="10" t="s">
        <v>31</v>
      </c>
    </row>
    <row r="282" spans="1:14" x14ac:dyDescent="0.25">
      <c r="A282" s="9" t="s">
        <v>746</v>
      </c>
      <c r="B282" s="2">
        <v>45630</v>
      </c>
      <c r="C282" s="1" t="s">
        <v>747</v>
      </c>
      <c r="D282" s="1" t="s">
        <v>118</v>
      </c>
      <c r="E282" s="1" t="s">
        <v>17</v>
      </c>
      <c r="F282" s="1" t="s">
        <v>82</v>
      </c>
      <c r="G282" s="1" t="s">
        <v>83</v>
      </c>
      <c r="H282" s="1" t="s">
        <v>43</v>
      </c>
      <c r="I282" s="1" t="s">
        <v>285</v>
      </c>
      <c r="J282" s="1">
        <v>9</v>
      </c>
      <c r="K282" s="3">
        <v>22694.25</v>
      </c>
      <c r="L282" s="1">
        <v>5</v>
      </c>
      <c r="M282" s="1" t="s">
        <v>56</v>
      </c>
      <c r="N282" s="10" t="s">
        <v>74</v>
      </c>
    </row>
    <row r="283" spans="1:14" x14ac:dyDescent="0.25">
      <c r="A283" s="9" t="s">
        <v>748</v>
      </c>
      <c r="B283" s="2">
        <v>45042</v>
      </c>
      <c r="C283" s="1" t="s">
        <v>749</v>
      </c>
      <c r="D283" s="1" t="s">
        <v>81</v>
      </c>
      <c r="E283" s="1" t="s">
        <v>59</v>
      </c>
      <c r="F283" s="1" t="s">
        <v>82</v>
      </c>
      <c r="G283" s="1" t="s">
        <v>42</v>
      </c>
      <c r="H283" s="1" t="s">
        <v>61</v>
      </c>
      <c r="I283" s="1" t="s">
        <v>402</v>
      </c>
      <c r="J283" s="1">
        <v>1</v>
      </c>
      <c r="K283" s="3">
        <v>3974.57</v>
      </c>
      <c r="L283" s="1">
        <v>15</v>
      </c>
      <c r="M283" s="1" t="s">
        <v>22</v>
      </c>
      <c r="N283" s="10" t="s">
        <v>31</v>
      </c>
    </row>
    <row r="284" spans="1:14" x14ac:dyDescent="0.25">
      <c r="A284" s="9" t="s">
        <v>750</v>
      </c>
      <c r="B284" s="2">
        <v>44977</v>
      </c>
      <c r="C284" s="1" t="s">
        <v>751</v>
      </c>
      <c r="D284" s="1" t="s">
        <v>71</v>
      </c>
      <c r="E284" s="1" t="s">
        <v>27</v>
      </c>
      <c r="F284" s="1" t="s">
        <v>49</v>
      </c>
      <c r="G284" s="1" t="s">
        <v>42</v>
      </c>
      <c r="H284" s="1" t="s">
        <v>61</v>
      </c>
      <c r="I284" s="1" t="s">
        <v>68</v>
      </c>
      <c r="J284" s="1">
        <v>2</v>
      </c>
      <c r="K284" s="3">
        <v>4301.58</v>
      </c>
      <c r="L284" s="1">
        <v>5</v>
      </c>
      <c r="M284" s="1" t="s">
        <v>56</v>
      </c>
      <c r="N284" s="10" t="s">
        <v>74</v>
      </c>
    </row>
    <row r="285" spans="1:14" x14ac:dyDescent="0.25">
      <c r="A285" s="9" t="s">
        <v>752</v>
      </c>
      <c r="B285" s="2">
        <v>45458</v>
      </c>
      <c r="C285" s="1" t="s">
        <v>753</v>
      </c>
      <c r="D285" s="1" t="s">
        <v>71</v>
      </c>
      <c r="E285" s="1" t="s">
        <v>72</v>
      </c>
      <c r="F285" s="1" t="s">
        <v>82</v>
      </c>
      <c r="G285" s="1" t="s">
        <v>42</v>
      </c>
      <c r="H285" s="1" t="s">
        <v>61</v>
      </c>
      <c r="I285" s="1" t="s">
        <v>357</v>
      </c>
      <c r="J285" s="1">
        <v>6</v>
      </c>
      <c r="K285" s="3">
        <v>6046.86</v>
      </c>
      <c r="L285" s="1">
        <v>10</v>
      </c>
      <c r="M285" s="1" t="s">
        <v>36</v>
      </c>
      <c r="N285" s="10" t="s">
        <v>23</v>
      </c>
    </row>
    <row r="286" spans="1:14" x14ac:dyDescent="0.25">
      <c r="A286" s="9" t="s">
        <v>754</v>
      </c>
      <c r="B286" s="2">
        <v>45211</v>
      </c>
      <c r="C286" s="1" t="s">
        <v>755</v>
      </c>
      <c r="D286" s="1" t="s">
        <v>87</v>
      </c>
      <c r="E286" s="1" t="s">
        <v>41</v>
      </c>
      <c r="F286" s="1" t="s">
        <v>60</v>
      </c>
      <c r="G286" s="1" t="s">
        <v>42</v>
      </c>
      <c r="H286" s="1" t="s">
        <v>61</v>
      </c>
      <c r="I286" s="1" t="s">
        <v>294</v>
      </c>
      <c r="J286" s="1">
        <v>7</v>
      </c>
      <c r="K286" s="3">
        <v>20044.14</v>
      </c>
      <c r="L286" s="1" t="s">
        <v>110</v>
      </c>
      <c r="M286" s="1" t="s">
        <v>93</v>
      </c>
      <c r="N286" s="10" t="s">
        <v>64</v>
      </c>
    </row>
    <row r="287" spans="1:14" x14ac:dyDescent="0.25">
      <c r="A287" s="9" t="s">
        <v>756</v>
      </c>
      <c r="B287" s="2">
        <v>45241</v>
      </c>
      <c r="C287" s="1" t="s">
        <v>757</v>
      </c>
      <c r="D287" s="1" t="s">
        <v>33</v>
      </c>
      <c r="E287" s="1" t="s">
        <v>59</v>
      </c>
      <c r="F287" s="1" t="s">
        <v>82</v>
      </c>
      <c r="G287" s="1" t="s">
        <v>42</v>
      </c>
      <c r="H287" s="1" t="s">
        <v>61</v>
      </c>
      <c r="I287" s="1" t="s">
        <v>587</v>
      </c>
      <c r="J287" s="1">
        <v>7</v>
      </c>
      <c r="K287" s="3">
        <v>8925.7999999999993</v>
      </c>
      <c r="L287" s="1">
        <v>15</v>
      </c>
      <c r="M287" s="1" t="s">
        <v>56</v>
      </c>
      <c r="N287" s="10" t="s">
        <v>74</v>
      </c>
    </row>
    <row r="288" spans="1:14" x14ac:dyDescent="0.25">
      <c r="A288" s="9" t="s">
        <v>758</v>
      </c>
      <c r="B288" s="2">
        <v>45187</v>
      </c>
      <c r="C288" s="1" t="s">
        <v>759</v>
      </c>
      <c r="D288" s="1" t="s">
        <v>26</v>
      </c>
      <c r="E288" s="1" t="s">
        <v>41</v>
      </c>
      <c r="F288" s="1" t="s">
        <v>18</v>
      </c>
      <c r="G288" s="1" t="s">
        <v>19</v>
      </c>
      <c r="H288" s="1" t="s">
        <v>29</v>
      </c>
      <c r="I288" s="1" t="s">
        <v>35</v>
      </c>
      <c r="J288" s="1">
        <v>9</v>
      </c>
      <c r="K288" s="3">
        <v>23028.28</v>
      </c>
      <c r="L288" s="1">
        <v>10</v>
      </c>
      <c r="M288" s="1" t="s">
        <v>93</v>
      </c>
      <c r="N288" s="10" t="s">
        <v>37</v>
      </c>
    </row>
    <row r="289" spans="1:14" x14ac:dyDescent="0.25">
      <c r="A289" s="9" t="s">
        <v>760</v>
      </c>
      <c r="B289" s="2">
        <v>45273</v>
      </c>
      <c r="C289" s="1" t="s">
        <v>208</v>
      </c>
      <c r="D289" s="1" t="s">
        <v>71</v>
      </c>
      <c r="E289" s="1" t="s">
        <v>41</v>
      </c>
      <c r="F289" s="1" t="s">
        <v>60</v>
      </c>
      <c r="G289" s="1" t="s">
        <v>42</v>
      </c>
      <c r="H289" s="1" t="s">
        <v>43</v>
      </c>
      <c r="I289" s="1" t="s">
        <v>488</v>
      </c>
      <c r="J289" s="1">
        <v>8</v>
      </c>
      <c r="K289" s="3">
        <v>4015.78</v>
      </c>
      <c r="L289" s="1">
        <v>15</v>
      </c>
      <c r="M289" s="1" t="s">
        <v>63</v>
      </c>
      <c r="N289" s="10" t="s">
        <v>37</v>
      </c>
    </row>
    <row r="290" spans="1:14" x14ac:dyDescent="0.25">
      <c r="A290" s="9" t="s">
        <v>761</v>
      </c>
      <c r="B290" s="2">
        <v>44986</v>
      </c>
      <c r="C290" s="1" t="s">
        <v>591</v>
      </c>
      <c r="D290" s="1" t="s">
        <v>40</v>
      </c>
      <c r="E290" s="1" t="s">
        <v>72</v>
      </c>
      <c r="F290" s="1" t="s">
        <v>82</v>
      </c>
      <c r="G290" s="1" t="s">
        <v>83</v>
      </c>
      <c r="H290" s="1" t="s">
        <v>43</v>
      </c>
      <c r="I290" s="1" t="s">
        <v>258</v>
      </c>
      <c r="J290" s="1">
        <v>2</v>
      </c>
      <c r="K290" s="3">
        <v>9836.76</v>
      </c>
      <c r="L290" s="1">
        <v>5</v>
      </c>
      <c r="M290" s="1" t="s">
        <v>69</v>
      </c>
      <c r="N290" s="10" t="s">
        <v>64</v>
      </c>
    </row>
    <row r="291" spans="1:14" x14ac:dyDescent="0.25">
      <c r="A291" s="9" t="s">
        <v>762</v>
      </c>
      <c r="B291" s="2">
        <v>45603</v>
      </c>
      <c r="C291" s="1" t="s">
        <v>685</v>
      </c>
      <c r="D291" s="1" t="s">
        <v>40</v>
      </c>
      <c r="E291" s="1" t="s">
        <v>34</v>
      </c>
      <c r="F291" s="1" t="s">
        <v>49</v>
      </c>
      <c r="G291" s="1" t="s">
        <v>42</v>
      </c>
      <c r="H291" s="1" t="s">
        <v>43</v>
      </c>
      <c r="I291" s="1" t="s">
        <v>144</v>
      </c>
      <c r="J291" s="1">
        <v>7</v>
      </c>
      <c r="K291" s="3">
        <v>18544.23</v>
      </c>
      <c r="L291" s="1">
        <v>15</v>
      </c>
      <c r="M291" s="1" t="s">
        <v>93</v>
      </c>
      <c r="N291" s="10" t="s">
        <v>31</v>
      </c>
    </row>
    <row r="292" spans="1:14" x14ac:dyDescent="0.25">
      <c r="A292" s="9" t="s">
        <v>763</v>
      </c>
      <c r="B292" s="2">
        <v>45333</v>
      </c>
      <c r="C292" s="1" t="s">
        <v>764</v>
      </c>
      <c r="D292" s="1" t="s">
        <v>52</v>
      </c>
      <c r="E292" s="1" t="s">
        <v>17</v>
      </c>
      <c r="F292" s="1" t="s">
        <v>60</v>
      </c>
      <c r="G292" s="1" t="s">
        <v>83</v>
      </c>
      <c r="H292" s="1" t="s">
        <v>43</v>
      </c>
      <c r="I292" s="1" t="s">
        <v>100</v>
      </c>
      <c r="J292" s="1">
        <v>5</v>
      </c>
      <c r="K292" s="3">
        <v>18465.68</v>
      </c>
      <c r="L292" s="1">
        <v>15</v>
      </c>
      <c r="M292" s="1" t="s">
        <v>93</v>
      </c>
      <c r="N292" s="10" t="s">
        <v>74</v>
      </c>
    </row>
    <row r="293" spans="1:14" x14ac:dyDescent="0.25">
      <c r="A293" s="9" t="s">
        <v>766</v>
      </c>
      <c r="B293" s="2">
        <v>45114</v>
      </c>
      <c r="C293" s="1" t="s">
        <v>767</v>
      </c>
      <c r="D293" s="1" t="s">
        <v>81</v>
      </c>
      <c r="E293" s="1" t="s">
        <v>34</v>
      </c>
      <c r="F293" s="1" t="s">
        <v>49</v>
      </c>
      <c r="G293" s="1" t="s">
        <v>19</v>
      </c>
      <c r="H293" s="1" t="s">
        <v>20</v>
      </c>
      <c r="I293" s="1" t="s">
        <v>164</v>
      </c>
      <c r="J293" s="1">
        <v>8</v>
      </c>
      <c r="K293" s="3">
        <v>13026.05</v>
      </c>
      <c r="L293" s="1">
        <v>0</v>
      </c>
      <c r="M293" s="1" t="s">
        <v>63</v>
      </c>
      <c r="N293" s="10" t="s">
        <v>31</v>
      </c>
    </row>
    <row r="294" spans="1:14" x14ac:dyDescent="0.25">
      <c r="A294" s="9" t="s">
        <v>768</v>
      </c>
      <c r="B294" s="2">
        <v>45332</v>
      </c>
      <c r="C294" s="1" t="s">
        <v>546</v>
      </c>
      <c r="D294" s="1" t="s">
        <v>33</v>
      </c>
      <c r="E294" s="1" t="s">
        <v>17</v>
      </c>
      <c r="F294" s="1" t="s">
        <v>60</v>
      </c>
      <c r="G294" s="1" t="s">
        <v>53</v>
      </c>
      <c r="H294" s="1" t="s">
        <v>54</v>
      </c>
      <c r="I294" s="1" t="s">
        <v>121</v>
      </c>
      <c r="J294" s="1">
        <v>8</v>
      </c>
      <c r="K294" s="3">
        <v>4320.2299999999996</v>
      </c>
      <c r="L294" s="1" t="s">
        <v>110</v>
      </c>
      <c r="M294" s="1" t="s">
        <v>93</v>
      </c>
      <c r="N294" s="10" t="s">
        <v>45</v>
      </c>
    </row>
    <row r="295" spans="1:14" x14ac:dyDescent="0.25">
      <c r="A295" s="9" t="s">
        <v>769</v>
      </c>
      <c r="B295" s="2">
        <v>45249</v>
      </c>
      <c r="C295" s="1" t="s">
        <v>770</v>
      </c>
      <c r="D295" s="1" t="s">
        <v>81</v>
      </c>
      <c r="E295" s="1" t="s">
        <v>41</v>
      </c>
      <c r="F295" s="1" t="s">
        <v>18</v>
      </c>
      <c r="G295" s="1" t="s">
        <v>53</v>
      </c>
      <c r="H295" s="1" t="s">
        <v>54</v>
      </c>
      <c r="I295" s="1" t="s">
        <v>518</v>
      </c>
      <c r="J295" s="1">
        <v>6</v>
      </c>
      <c r="K295" s="3">
        <v>27358.560000000001</v>
      </c>
      <c r="L295" s="1">
        <v>15</v>
      </c>
      <c r="M295" s="1" t="s">
        <v>63</v>
      </c>
      <c r="N295" s="10" t="s">
        <v>23</v>
      </c>
    </row>
    <row r="296" spans="1:14" x14ac:dyDescent="0.25">
      <c r="A296" s="9" t="s">
        <v>771</v>
      </c>
      <c r="B296" s="2">
        <v>45369</v>
      </c>
      <c r="C296" s="1" t="s">
        <v>772</v>
      </c>
      <c r="D296" s="1" t="s">
        <v>147</v>
      </c>
      <c r="E296" s="1" t="s">
        <v>59</v>
      </c>
      <c r="F296" s="1" t="s">
        <v>18</v>
      </c>
      <c r="G296" s="1" t="s">
        <v>42</v>
      </c>
      <c r="H296" s="1" t="s">
        <v>61</v>
      </c>
      <c r="I296" s="1" t="s">
        <v>725</v>
      </c>
      <c r="J296" s="1">
        <v>7</v>
      </c>
      <c r="K296" s="3">
        <v>26834.91</v>
      </c>
      <c r="L296" s="1">
        <v>10</v>
      </c>
      <c r="M296" s="1" t="s">
        <v>36</v>
      </c>
      <c r="N296" s="10" t="s">
        <v>64</v>
      </c>
    </row>
    <row r="297" spans="1:14" x14ac:dyDescent="0.25">
      <c r="A297" s="9" t="s">
        <v>773</v>
      </c>
      <c r="B297" s="2">
        <v>45195</v>
      </c>
      <c r="C297" s="1" t="s">
        <v>774</v>
      </c>
      <c r="D297" s="1" t="s">
        <v>87</v>
      </c>
      <c r="E297" s="1" t="s">
        <v>59</v>
      </c>
      <c r="F297" s="1" t="s">
        <v>60</v>
      </c>
      <c r="G297" s="1" t="s">
        <v>42</v>
      </c>
      <c r="H297" s="1" t="s">
        <v>43</v>
      </c>
      <c r="I297" s="1" t="s">
        <v>329</v>
      </c>
      <c r="J297" s="1">
        <v>7</v>
      </c>
      <c r="K297" s="3">
        <v>21597.03</v>
      </c>
      <c r="L297" s="1">
        <v>20</v>
      </c>
      <c r="M297" s="1" t="s">
        <v>36</v>
      </c>
      <c r="N297" s="10" t="s">
        <v>74</v>
      </c>
    </row>
    <row r="298" spans="1:14" x14ac:dyDescent="0.25">
      <c r="A298" s="9" t="s">
        <v>775</v>
      </c>
      <c r="B298" s="2">
        <v>45294</v>
      </c>
      <c r="C298" s="1" t="s">
        <v>776</v>
      </c>
      <c r="D298" s="1" t="s">
        <v>40</v>
      </c>
      <c r="E298" s="1" t="s">
        <v>72</v>
      </c>
      <c r="F298" s="1" t="s">
        <v>82</v>
      </c>
      <c r="G298" s="1" t="s">
        <v>42</v>
      </c>
      <c r="H298" s="1" t="s">
        <v>61</v>
      </c>
      <c r="I298" s="1" t="s">
        <v>632</v>
      </c>
      <c r="J298" s="1">
        <v>10</v>
      </c>
      <c r="K298" s="3">
        <v>48786.46</v>
      </c>
      <c r="L298" s="1">
        <v>10</v>
      </c>
      <c r="M298" s="1" t="s">
        <v>22</v>
      </c>
      <c r="N298" s="10" t="s">
        <v>64</v>
      </c>
    </row>
    <row r="299" spans="1:14" x14ac:dyDescent="0.25">
      <c r="A299" s="9" t="s">
        <v>777</v>
      </c>
      <c r="B299" s="2">
        <v>44993</v>
      </c>
      <c r="C299" s="1" t="s">
        <v>778</v>
      </c>
      <c r="D299" s="1" t="s">
        <v>378</v>
      </c>
      <c r="E299" s="1" t="s">
        <v>59</v>
      </c>
      <c r="F299" s="1" t="s">
        <v>82</v>
      </c>
      <c r="G299" s="1" t="s">
        <v>19</v>
      </c>
      <c r="H299" s="1" t="s">
        <v>29</v>
      </c>
      <c r="I299" s="1" t="s">
        <v>445</v>
      </c>
      <c r="J299" s="1">
        <v>9</v>
      </c>
      <c r="K299" s="3">
        <v>30860.76</v>
      </c>
      <c r="L299" s="1">
        <v>0</v>
      </c>
      <c r="M299" s="1" t="s">
        <v>56</v>
      </c>
      <c r="N299" s="10" t="s">
        <v>45</v>
      </c>
    </row>
    <row r="300" spans="1:14" x14ac:dyDescent="0.25">
      <c r="A300" s="9" t="s">
        <v>780</v>
      </c>
      <c r="B300" s="2">
        <v>45579</v>
      </c>
      <c r="C300" s="1" t="s">
        <v>781</v>
      </c>
      <c r="D300" s="1" t="s">
        <v>26</v>
      </c>
      <c r="E300" s="1" t="s">
        <v>27</v>
      </c>
      <c r="F300" s="1" t="s">
        <v>18</v>
      </c>
      <c r="G300" s="1" t="s">
        <v>19</v>
      </c>
      <c r="H300" s="1" t="s">
        <v>20</v>
      </c>
      <c r="I300" s="1" t="s">
        <v>421</v>
      </c>
      <c r="J300" s="1">
        <v>1</v>
      </c>
      <c r="K300" s="3">
        <v>3131.28</v>
      </c>
      <c r="L300" s="1">
        <v>0</v>
      </c>
      <c r="M300" s="1" t="s">
        <v>69</v>
      </c>
      <c r="N300" s="10" t="s">
        <v>45</v>
      </c>
    </row>
    <row r="301" spans="1:14" x14ac:dyDescent="0.25">
      <c r="A301" s="9" t="s">
        <v>782</v>
      </c>
      <c r="B301" s="2">
        <v>45339</v>
      </c>
      <c r="C301" s="1" t="s">
        <v>783</v>
      </c>
      <c r="D301" s="1" t="s">
        <v>67</v>
      </c>
      <c r="E301" s="1" t="s">
        <v>17</v>
      </c>
      <c r="F301" s="1" t="s">
        <v>49</v>
      </c>
      <c r="G301" s="1" t="s">
        <v>19</v>
      </c>
      <c r="H301" s="1" t="s">
        <v>29</v>
      </c>
      <c r="I301" s="1" t="s">
        <v>424</v>
      </c>
      <c r="J301" s="1">
        <v>3</v>
      </c>
      <c r="K301" s="3">
        <v>5568.58</v>
      </c>
      <c r="L301" s="1">
        <v>10</v>
      </c>
      <c r="M301" s="1" t="s">
        <v>63</v>
      </c>
      <c r="N301" s="10" t="s">
        <v>64</v>
      </c>
    </row>
    <row r="302" spans="1:14" x14ac:dyDescent="0.25">
      <c r="A302" s="9" t="s">
        <v>784</v>
      </c>
      <c r="B302" s="2">
        <v>45095</v>
      </c>
      <c r="C302" s="1" t="s">
        <v>785</v>
      </c>
      <c r="D302" s="1" t="s">
        <v>81</v>
      </c>
      <c r="E302" s="1" t="s">
        <v>27</v>
      </c>
      <c r="F302" s="1" t="s">
        <v>99</v>
      </c>
      <c r="G302" s="1" t="s">
        <v>42</v>
      </c>
      <c r="H302" s="1" t="s">
        <v>43</v>
      </c>
      <c r="I302" s="1" t="s">
        <v>274</v>
      </c>
      <c r="J302" s="1">
        <v>2</v>
      </c>
      <c r="K302" s="3">
        <v>1401.36</v>
      </c>
      <c r="L302" s="1" t="s">
        <v>110</v>
      </c>
      <c r="M302" s="1" t="s">
        <v>93</v>
      </c>
      <c r="N302" s="10" t="s">
        <v>45</v>
      </c>
    </row>
    <row r="303" spans="1:14" x14ac:dyDescent="0.25">
      <c r="A303" s="9" t="s">
        <v>786</v>
      </c>
      <c r="B303" s="2">
        <v>44938</v>
      </c>
      <c r="C303" s="1" t="s">
        <v>787</v>
      </c>
      <c r="D303" s="1" t="s">
        <v>26</v>
      </c>
      <c r="E303" s="1" t="s">
        <v>17</v>
      </c>
      <c r="F303" s="1" t="s">
        <v>82</v>
      </c>
      <c r="G303" s="1" t="s">
        <v>19</v>
      </c>
      <c r="H303" s="1" t="s">
        <v>20</v>
      </c>
      <c r="I303" s="1" t="s">
        <v>788</v>
      </c>
      <c r="J303" s="1">
        <v>6</v>
      </c>
      <c r="K303" s="3">
        <v>5568.6</v>
      </c>
      <c r="L303" s="1">
        <v>15</v>
      </c>
      <c r="M303" s="1" t="s">
        <v>56</v>
      </c>
      <c r="N303" s="10" t="s">
        <v>74</v>
      </c>
    </row>
    <row r="304" spans="1:14" x14ac:dyDescent="0.25">
      <c r="A304" s="9" t="s">
        <v>789</v>
      </c>
      <c r="B304" s="2">
        <v>45314</v>
      </c>
      <c r="C304" s="1" t="s">
        <v>790</v>
      </c>
      <c r="D304" s="1" t="s">
        <v>67</v>
      </c>
      <c r="E304" s="1" t="s">
        <v>34</v>
      </c>
      <c r="F304" s="1" t="s">
        <v>88</v>
      </c>
      <c r="G304" s="1" t="s">
        <v>53</v>
      </c>
      <c r="H304" s="1" t="s">
        <v>54</v>
      </c>
      <c r="I304" s="1" t="s">
        <v>554</v>
      </c>
      <c r="J304" s="1">
        <v>9</v>
      </c>
      <c r="K304" s="3">
        <v>9199.43</v>
      </c>
      <c r="L304" s="1">
        <v>5</v>
      </c>
      <c r="M304" s="1" t="s">
        <v>69</v>
      </c>
      <c r="N304" s="10" t="s">
        <v>31</v>
      </c>
    </row>
    <row r="305" spans="1:14" x14ac:dyDescent="0.25">
      <c r="A305" s="9" t="s">
        <v>791</v>
      </c>
      <c r="B305" s="2">
        <v>45639</v>
      </c>
      <c r="C305" s="1" t="s">
        <v>384</v>
      </c>
      <c r="D305" s="1" t="s">
        <v>81</v>
      </c>
      <c r="E305" s="1" t="s">
        <v>27</v>
      </c>
      <c r="F305" s="1" t="s">
        <v>82</v>
      </c>
      <c r="G305" s="1" t="s">
        <v>53</v>
      </c>
      <c r="H305" s="1" t="s">
        <v>54</v>
      </c>
      <c r="I305" s="1" t="s">
        <v>554</v>
      </c>
      <c r="J305" s="1">
        <v>1</v>
      </c>
      <c r="K305" s="3">
        <v>2117.36</v>
      </c>
      <c r="L305" s="1">
        <v>10</v>
      </c>
      <c r="M305" s="1" t="s">
        <v>93</v>
      </c>
      <c r="N305" s="10" t="s">
        <v>23</v>
      </c>
    </row>
    <row r="306" spans="1:14" x14ac:dyDescent="0.25">
      <c r="A306" s="9" t="s">
        <v>792</v>
      </c>
      <c r="B306" s="2">
        <v>45339</v>
      </c>
      <c r="C306" s="1" t="s">
        <v>793</v>
      </c>
      <c r="D306" s="1" t="s">
        <v>16</v>
      </c>
      <c r="E306" s="1" t="s">
        <v>17</v>
      </c>
      <c r="F306" s="1" t="s">
        <v>88</v>
      </c>
      <c r="G306" s="1" t="s">
        <v>19</v>
      </c>
      <c r="H306" s="1" t="s">
        <v>20</v>
      </c>
      <c r="I306" s="1" t="s">
        <v>312</v>
      </c>
      <c r="J306" s="1">
        <v>6</v>
      </c>
      <c r="K306" s="3">
        <v>18445.560000000001</v>
      </c>
      <c r="L306" s="1">
        <v>20</v>
      </c>
      <c r="M306" s="1" t="s">
        <v>36</v>
      </c>
      <c r="N306" s="10" t="s">
        <v>74</v>
      </c>
    </row>
    <row r="307" spans="1:14" x14ac:dyDescent="0.25">
      <c r="A307" s="9" t="s">
        <v>794</v>
      </c>
      <c r="B307" s="2">
        <v>45122</v>
      </c>
      <c r="C307" s="1" t="s">
        <v>795</v>
      </c>
      <c r="D307" s="1" t="s">
        <v>52</v>
      </c>
      <c r="E307" s="1" t="s">
        <v>27</v>
      </c>
      <c r="F307" s="1" t="s">
        <v>99</v>
      </c>
      <c r="G307" s="1" t="s">
        <v>19</v>
      </c>
      <c r="H307" s="1" t="s">
        <v>20</v>
      </c>
      <c r="I307" s="1" t="s">
        <v>213</v>
      </c>
      <c r="J307" s="1">
        <v>5</v>
      </c>
      <c r="K307" s="3">
        <v>23097.55</v>
      </c>
      <c r="L307" s="1">
        <v>10</v>
      </c>
      <c r="M307" s="1" t="s">
        <v>22</v>
      </c>
      <c r="N307" s="10" t="s">
        <v>45</v>
      </c>
    </row>
    <row r="308" spans="1:14" x14ac:dyDescent="0.25">
      <c r="A308" s="9" t="s">
        <v>796</v>
      </c>
      <c r="B308" s="2">
        <v>45425</v>
      </c>
      <c r="C308" s="1" t="s">
        <v>797</v>
      </c>
      <c r="D308" s="1" t="s">
        <v>147</v>
      </c>
      <c r="E308" s="1" t="s">
        <v>34</v>
      </c>
      <c r="F308" s="1" t="s">
        <v>82</v>
      </c>
      <c r="G308" s="1" t="s">
        <v>19</v>
      </c>
      <c r="H308" s="1" t="s">
        <v>20</v>
      </c>
      <c r="I308" s="1" t="s">
        <v>563</v>
      </c>
      <c r="J308" s="1">
        <v>3</v>
      </c>
      <c r="K308" s="3">
        <v>9688.93</v>
      </c>
      <c r="L308" s="1">
        <v>20</v>
      </c>
      <c r="M308" s="1" t="s">
        <v>36</v>
      </c>
      <c r="N308" s="10" t="s">
        <v>31</v>
      </c>
    </row>
    <row r="309" spans="1:14" x14ac:dyDescent="0.25">
      <c r="A309" s="9" t="s">
        <v>798</v>
      </c>
      <c r="B309" s="2">
        <v>45556</v>
      </c>
      <c r="C309" s="1" t="s">
        <v>466</v>
      </c>
      <c r="D309" s="1" t="s">
        <v>81</v>
      </c>
      <c r="E309" s="1" t="s">
        <v>17</v>
      </c>
      <c r="F309" s="1" t="s">
        <v>60</v>
      </c>
      <c r="G309" s="1" t="s">
        <v>83</v>
      </c>
      <c r="H309" s="1" t="s">
        <v>43</v>
      </c>
      <c r="I309" s="1" t="s">
        <v>365</v>
      </c>
      <c r="J309" s="1">
        <v>8</v>
      </c>
      <c r="K309" s="3">
        <v>9190.69</v>
      </c>
      <c r="L309" s="1">
        <v>20</v>
      </c>
      <c r="M309" s="1" t="s">
        <v>93</v>
      </c>
      <c r="N309" s="10" t="s">
        <v>64</v>
      </c>
    </row>
    <row r="310" spans="1:14" x14ac:dyDescent="0.25">
      <c r="A310" s="9" t="s">
        <v>799</v>
      </c>
      <c r="B310" s="2">
        <v>45425</v>
      </c>
      <c r="C310" s="1" t="s">
        <v>800</v>
      </c>
      <c r="D310" s="1" t="s">
        <v>26</v>
      </c>
      <c r="E310" s="1" t="s">
        <v>41</v>
      </c>
      <c r="F310" s="1" t="s">
        <v>49</v>
      </c>
      <c r="G310" s="1" t="s">
        <v>19</v>
      </c>
      <c r="H310" s="1" t="s">
        <v>20</v>
      </c>
      <c r="I310" s="1" t="s">
        <v>801</v>
      </c>
      <c r="J310" s="1">
        <v>3</v>
      </c>
      <c r="K310" s="3">
        <v>3909.19</v>
      </c>
      <c r="L310" s="1" t="s">
        <v>110</v>
      </c>
      <c r="M310" s="1" t="s">
        <v>63</v>
      </c>
      <c r="N310" s="10" t="s">
        <v>45</v>
      </c>
    </row>
    <row r="311" spans="1:14" x14ac:dyDescent="0.25">
      <c r="A311" s="9" t="s">
        <v>802</v>
      </c>
      <c r="B311" s="2">
        <v>45161</v>
      </c>
      <c r="C311" s="1" t="s">
        <v>803</v>
      </c>
      <c r="D311" s="1" t="s">
        <v>77</v>
      </c>
      <c r="E311" s="1" t="s">
        <v>27</v>
      </c>
      <c r="F311" s="1" t="s">
        <v>99</v>
      </c>
      <c r="G311" s="1" t="s">
        <v>53</v>
      </c>
      <c r="H311" s="1" t="s">
        <v>54</v>
      </c>
      <c r="I311" s="1" t="s">
        <v>427</v>
      </c>
      <c r="J311" s="1">
        <v>5</v>
      </c>
      <c r="K311" s="3">
        <v>22333.29</v>
      </c>
      <c r="L311" s="1">
        <v>10</v>
      </c>
      <c r="M311" s="1" t="s">
        <v>93</v>
      </c>
      <c r="N311" s="10" t="s">
        <v>64</v>
      </c>
    </row>
    <row r="312" spans="1:14" x14ac:dyDescent="0.25">
      <c r="A312" s="9" t="s">
        <v>804</v>
      </c>
      <c r="B312" s="2">
        <v>45486</v>
      </c>
      <c r="C312" s="1" t="s">
        <v>785</v>
      </c>
      <c r="D312" s="1" t="s">
        <v>26</v>
      </c>
      <c r="E312" s="1" t="s">
        <v>17</v>
      </c>
      <c r="F312" s="1" t="s">
        <v>88</v>
      </c>
      <c r="G312" s="1" t="s">
        <v>83</v>
      </c>
      <c r="H312" s="1" t="s">
        <v>43</v>
      </c>
      <c r="I312" s="1" t="s">
        <v>89</v>
      </c>
      <c r="J312" s="1">
        <v>9</v>
      </c>
      <c r="K312" s="3">
        <v>44671.73</v>
      </c>
      <c r="L312" s="1">
        <v>20</v>
      </c>
      <c r="M312" s="1" t="s">
        <v>69</v>
      </c>
      <c r="N312" s="10" t="s">
        <v>74</v>
      </c>
    </row>
    <row r="313" spans="1:14" x14ac:dyDescent="0.25">
      <c r="A313" s="9" t="s">
        <v>805</v>
      </c>
      <c r="B313" s="2">
        <v>45086</v>
      </c>
      <c r="C313" s="1" t="s">
        <v>806</v>
      </c>
      <c r="D313" s="1" t="s">
        <v>378</v>
      </c>
      <c r="E313" s="1" t="s">
        <v>59</v>
      </c>
      <c r="F313" s="1" t="s">
        <v>99</v>
      </c>
      <c r="G313" s="1" t="s">
        <v>19</v>
      </c>
      <c r="H313" s="1" t="s">
        <v>29</v>
      </c>
      <c r="I313" s="1" t="s">
        <v>135</v>
      </c>
      <c r="J313" s="1">
        <v>6</v>
      </c>
      <c r="K313" s="3">
        <v>23592.13</v>
      </c>
      <c r="L313" s="1">
        <v>5</v>
      </c>
      <c r="M313" s="1" t="s">
        <v>63</v>
      </c>
      <c r="N313" s="10" t="s">
        <v>23</v>
      </c>
    </row>
    <row r="314" spans="1:14" x14ac:dyDescent="0.25">
      <c r="A314" s="9" t="s">
        <v>807</v>
      </c>
      <c r="B314" s="2">
        <v>45544</v>
      </c>
      <c r="C314" s="1" t="s">
        <v>808</v>
      </c>
      <c r="D314" s="1" t="s">
        <v>16</v>
      </c>
      <c r="E314" s="1" t="s">
        <v>59</v>
      </c>
      <c r="F314" s="1" t="s">
        <v>60</v>
      </c>
      <c r="G314" s="1" t="s">
        <v>19</v>
      </c>
      <c r="H314" s="1" t="s">
        <v>20</v>
      </c>
      <c r="I314" s="1" t="s">
        <v>254</v>
      </c>
      <c r="J314" s="1">
        <v>8</v>
      </c>
      <c r="K314" s="3">
        <v>10669.7</v>
      </c>
      <c r="L314" s="1">
        <v>20</v>
      </c>
      <c r="M314" s="1" t="s">
        <v>63</v>
      </c>
      <c r="N314" s="10" t="s">
        <v>74</v>
      </c>
    </row>
    <row r="315" spans="1:14" x14ac:dyDescent="0.25">
      <c r="A315" s="9" t="s">
        <v>810</v>
      </c>
      <c r="B315" s="2">
        <v>45074</v>
      </c>
      <c r="C315" s="1" t="s">
        <v>811</v>
      </c>
      <c r="D315" s="1" t="s">
        <v>147</v>
      </c>
      <c r="E315" s="1" t="s">
        <v>34</v>
      </c>
      <c r="F315" s="1" t="s">
        <v>28</v>
      </c>
      <c r="G315" s="1" t="s">
        <v>42</v>
      </c>
      <c r="H315" s="1" t="s">
        <v>61</v>
      </c>
      <c r="I315" s="1" t="s">
        <v>302</v>
      </c>
      <c r="J315" s="1">
        <v>9</v>
      </c>
      <c r="K315" s="3">
        <v>24351.08</v>
      </c>
      <c r="L315" s="1">
        <v>10</v>
      </c>
      <c r="M315" s="1" t="s">
        <v>36</v>
      </c>
      <c r="N315" s="10" t="s">
        <v>23</v>
      </c>
    </row>
    <row r="316" spans="1:14" x14ac:dyDescent="0.25">
      <c r="A316" s="9" t="s">
        <v>812</v>
      </c>
      <c r="B316" s="2">
        <v>45153</v>
      </c>
      <c r="C316" s="1" t="s">
        <v>813</v>
      </c>
      <c r="D316" s="1" t="s">
        <v>67</v>
      </c>
      <c r="E316" s="1" t="s">
        <v>59</v>
      </c>
      <c r="F316" s="1" t="s">
        <v>18</v>
      </c>
      <c r="G316" s="1" t="s">
        <v>42</v>
      </c>
      <c r="H316" s="1" t="s">
        <v>61</v>
      </c>
      <c r="I316" s="1" t="s">
        <v>217</v>
      </c>
      <c r="J316" s="1">
        <v>5</v>
      </c>
      <c r="K316" s="3">
        <v>16574.11</v>
      </c>
      <c r="L316" s="1">
        <v>10</v>
      </c>
      <c r="M316" s="1" t="s">
        <v>22</v>
      </c>
      <c r="N316" s="10" t="s">
        <v>45</v>
      </c>
    </row>
    <row r="317" spans="1:14" x14ac:dyDescent="0.25">
      <c r="A317" s="9" t="s">
        <v>814</v>
      </c>
      <c r="B317" s="2">
        <v>45469</v>
      </c>
      <c r="C317" s="1" t="s">
        <v>815</v>
      </c>
      <c r="D317" s="1" t="s">
        <v>26</v>
      </c>
      <c r="E317" s="1" t="s">
        <v>41</v>
      </c>
      <c r="F317" s="1" t="s">
        <v>60</v>
      </c>
      <c r="G317" s="1" t="s">
        <v>42</v>
      </c>
      <c r="H317" s="1" t="s">
        <v>43</v>
      </c>
      <c r="I317" s="1" t="s">
        <v>491</v>
      </c>
      <c r="J317" s="1">
        <v>9</v>
      </c>
      <c r="K317" s="3">
        <v>44454.09</v>
      </c>
      <c r="L317" s="1">
        <v>5</v>
      </c>
      <c r="M317" s="1" t="s">
        <v>93</v>
      </c>
      <c r="N317" s="10" t="s">
        <v>23</v>
      </c>
    </row>
    <row r="318" spans="1:14" x14ac:dyDescent="0.25">
      <c r="A318" s="9" t="s">
        <v>816</v>
      </c>
      <c r="B318" s="2">
        <v>45356</v>
      </c>
      <c r="C318" s="1" t="s">
        <v>817</v>
      </c>
      <c r="D318" s="1" t="s">
        <v>147</v>
      </c>
      <c r="E318" s="1" t="s">
        <v>72</v>
      </c>
      <c r="F318" s="1" t="s">
        <v>99</v>
      </c>
      <c r="G318" s="1" t="s">
        <v>83</v>
      </c>
      <c r="H318" s="1" t="s">
        <v>43</v>
      </c>
      <c r="I318" s="1" t="s">
        <v>488</v>
      </c>
      <c r="J318" s="1">
        <v>8</v>
      </c>
      <c r="K318" s="3">
        <v>2849.04</v>
      </c>
      <c r="L318" s="1">
        <v>5</v>
      </c>
      <c r="M318" s="1" t="s">
        <v>36</v>
      </c>
      <c r="N318" s="10" t="s">
        <v>37</v>
      </c>
    </row>
    <row r="319" spans="1:14" x14ac:dyDescent="0.25">
      <c r="A319" s="9" t="s">
        <v>818</v>
      </c>
      <c r="B319" s="2">
        <v>45075</v>
      </c>
      <c r="C319" s="1" t="s">
        <v>819</v>
      </c>
      <c r="D319" s="1" t="s">
        <v>87</v>
      </c>
      <c r="E319" s="1" t="s">
        <v>17</v>
      </c>
      <c r="F319" s="1" t="s">
        <v>18</v>
      </c>
      <c r="G319" s="1" t="s">
        <v>83</v>
      </c>
      <c r="H319" s="1" t="s">
        <v>43</v>
      </c>
      <c r="I319" s="1" t="s">
        <v>154</v>
      </c>
      <c r="J319" s="1">
        <v>6</v>
      </c>
      <c r="K319" s="3">
        <v>4048.54</v>
      </c>
      <c r="L319" s="1">
        <v>20</v>
      </c>
      <c r="M319" s="1" t="s">
        <v>22</v>
      </c>
      <c r="N319" s="10" t="s">
        <v>31</v>
      </c>
    </row>
    <row r="320" spans="1:14" x14ac:dyDescent="0.25">
      <c r="A320" s="9" t="s">
        <v>820</v>
      </c>
      <c r="B320" s="2">
        <v>44954</v>
      </c>
      <c r="C320" s="1" t="s">
        <v>821</v>
      </c>
      <c r="D320" s="1" t="s">
        <v>52</v>
      </c>
      <c r="E320" s="1" t="s">
        <v>72</v>
      </c>
      <c r="F320" s="1" t="s">
        <v>18</v>
      </c>
      <c r="G320" s="1" t="s">
        <v>83</v>
      </c>
      <c r="H320" s="1" t="s">
        <v>43</v>
      </c>
      <c r="I320" s="1" t="s">
        <v>488</v>
      </c>
      <c r="J320" s="1">
        <v>6</v>
      </c>
      <c r="K320" s="3">
        <v>4107.12</v>
      </c>
      <c r="L320" s="1">
        <v>10</v>
      </c>
      <c r="M320" s="1" t="s">
        <v>63</v>
      </c>
      <c r="N320" s="10" t="s">
        <v>45</v>
      </c>
    </row>
    <row r="321" spans="1:14" x14ac:dyDescent="0.25">
      <c r="A321" s="9" t="s">
        <v>822</v>
      </c>
      <c r="B321" s="2">
        <v>45374</v>
      </c>
      <c r="C321" s="1" t="s">
        <v>823</v>
      </c>
      <c r="D321" s="1" t="s">
        <v>52</v>
      </c>
      <c r="E321" s="1" t="s">
        <v>34</v>
      </c>
      <c r="F321" s="1" t="s">
        <v>99</v>
      </c>
      <c r="G321" s="1" t="s">
        <v>83</v>
      </c>
      <c r="H321" s="1" t="s">
        <v>43</v>
      </c>
      <c r="I321" s="1" t="s">
        <v>491</v>
      </c>
      <c r="J321" s="1">
        <v>9</v>
      </c>
      <c r="K321" s="3">
        <v>15643.8</v>
      </c>
      <c r="L321" s="1">
        <v>10</v>
      </c>
      <c r="M321" s="1" t="s">
        <v>63</v>
      </c>
      <c r="N321" s="10" t="s">
        <v>37</v>
      </c>
    </row>
    <row r="322" spans="1:14" x14ac:dyDescent="0.25">
      <c r="A322" s="9" t="s">
        <v>824</v>
      </c>
      <c r="B322" s="2">
        <v>45016</v>
      </c>
      <c r="C322" s="1" t="s">
        <v>825</v>
      </c>
      <c r="D322" s="1" t="s">
        <v>40</v>
      </c>
      <c r="E322" s="1" t="s">
        <v>27</v>
      </c>
      <c r="F322" s="1" t="s">
        <v>99</v>
      </c>
      <c r="G322" s="1" t="s">
        <v>42</v>
      </c>
      <c r="H322" s="1" t="s">
        <v>43</v>
      </c>
      <c r="I322" s="1" t="s">
        <v>566</v>
      </c>
      <c r="J322" s="1">
        <v>6</v>
      </c>
      <c r="K322" s="3">
        <v>9855.73</v>
      </c>
      <c r="L322" s="1" t="s">
        <v>110</v>
      </c>
      <c r="M322" s="1" t="s">
        <v>69</v>
      </c>
      <c r="N322" s="10" t="s">
        <v>31</v>
      </c>
    </row>
    <row r="323" spans="1:14" x14ac:dyDescent="0.25">
      <c r="A323" s="9" t="s">
        <v>826</v>
      </c>
      <c r="B323" s="2">
        <v>45371</v>
      </c>
      <c r="C323" s="1" t="s">
        <v>827</v>
      </c>
      <c r="D323" s="1" t="s">
        <v>67</v>
      </c>
      <c r="E323" s="1" t="s">
        <v>41</v>
      </c>
      <c r="F323" s="1" t="s">
        <v>18</v>
      </c>
      <c r="G323" s="1" t="s">
        <v>83</v>
      </c>
      <c r="H323" s="1" t="s">
        <v>43</v>
      </c>
      <c r="I323" s="1" t="s">
        <v>365</v>
      </c>
      <c r="J323" s="1">
        <v>2</v>
      </c>
      <c r="K323" s="3">
        <v>8649.31</v>
      </c>
      <c r="L323" s="1">
        <v>10</v>
      </c>
      <c r="M323" s="1" t="s">
        <v>69</v>
      </c>
      <c r="N323" s="10" t="s">
        <v>23</v>
      </c>
    </row>
    <row r="324" spans="1:14" x14ac:dyDescent="0.25">
      <c r="A324" s="9" t="s">
        <v>828</v>
      </c>
      <c r="B324" s="2">
        <v>45572</v>
      </c>
      <c r="C324" s="1" t="s">
        <v>829</v>
      </c>
      <c r="D324" s="1" t="s">
        <v>87</v>
      </c>
      <c r="E324" s="1" t="s">
        <v>41</v>
      </c>
      <c r="F324" s="1" t="s">
        <v>99</v>
      </c>
      <c r="G324" s="1" t="s">
        <v>19</v>
      </c>
      <c r="H324" s="1" t="s">
        <v>29</v>
      </c>
      <c r="I324" s="1" t="s">
        <v>830</v>
      </c>
      <c r="J324" s="1">
        <v>2</v>
      </c>
      <c r="K324" s="3">
        <v>3383.33</v>
      </c>
      <c r="L324" s="1">
        <v>0</v>
      </c>
      <c r="M324" s="1" t="s">
        <v>56</v>
      </c>
      <c r="N324" s="10" t="s">
        <v>45</v>
      </c>
    </row>
    <row r="325" spans="1:14" x14ac:dyDescent="0.25">
      <c r="A325" s="9" t="s">
        <v>832</v>
      </c>
      <c r="B325" s="2">
        <v>45063</v>
      </c>
      <c r="C325" s="1" t="s">
        <v>190</v>
      </c>
      <c r="D325" s="1" t="s">
        <v>378</v>
      </c>
      <c r="E325" s="1" t="s">
        <v>17</v>
      </c>
      <c r="F325" s="1" t="s">
        <v>60</v>
      </c>
      <c r="G325" s="1" t="s">
        <v>42</v>
      </c>
      <c r="H325" s="1" t="s">
        <v>61</v>
      </c>
      <c r="I325" s="1" t="s">
        <v>833</v>
      </c>
      <c r="J325" s="1">
        <v>10</v>
      </c>
      <c r="K325" s="3">
        <v>41424.120000000003</v>
      </c>
      <c r="L325" s="1">
        <v>15</v>
      </c>
      <c r="M325" s="1" t="s">
        <v>56</v>
      </c>
      <c r="N325" s="10" t="s">
        <v>37</v>
      </c>
    </row>
    <row r="326" spans="1:14" x14ac:dyDescent="0.25">
      <c r="A326" s="9" t="s">
        <v>834</v>
      </c>
      <c r="B326" s="2">
        <v>45340</v>
      </c>
      <c r="C326" s="1" t="s">
        <v>835</v>
      </c>
      <c r="D326" s="1" t="s">
        <v>81</v>
      </c>
      <c r="E326" s="1" t="s">
        <v>34</v>
      </c>
      <c r="F326" s="1" t="s">
        <v>49</v>
      </c>
      <c r="G326" s="1" t="s">
        <v>42</v>
      </c>
      <c r="H326" s="1" t="s">
        <v>43</v>
      </c>
      <c r="I326" s="1" t="s">
        <v>494</v>
      </c>
      <c r="J326" s="1">
        <v>1</v>
      </c>
      <c r="K326" s="3">
        <v>4300.79</v>
      </c>
      <c r="L326" s="1">
        <v>5</v>
      </c>
      <c r="M326" s="1" t="s">
        <v>36</v>
      </c>
      <c r="N326" s="10" t="s">
        <v>74</v>
      </c>
    </row>
    <row r="327" spans="1:14" x14ac:dyDescent="0.25">
      <c r="A327" s="9" t="s">
        <v>836</v>
      </c>
      <c r="B327" s="2">
        <v>45469</v>
      </c>
      <c r="C327" s="1" t="s">
        <v>837</v>
      </c>
      <c r="D327" s="1" t="s">
        <v>67</v>
      </c>
      <c r="E327" s="1" t="s">
        <v>72</v>
      </c>
      <c r="F327" s="1" t="s">
        <v>60</v>
      </c>
      <c r="G327" s="1" t="s">
        <v>42</v>
      </c>
      <c r="H327" s="1" t="s">
        <v>61</v>
      </c>
      <c r="I327" s="1" t="s">
        <v>440</v>
      </c>
      <c r="J327" s="1">
        <v>3</v>
      </c>
      <c r="K327" s="3">
        <v>13752.29</v>
      </c>
      <c r="L327" s="1">
        <v>0</v>
      </c>
      <c r="M327" s="1" t="s">
        <v>22</v>
      </c>
      <c r="N327" s="10" t="s">
        <v>31</v>
      </c>
    </row>
    <row r="328" spans="1:14" x14ac:dyDescent="0.25">
      <c r="A328" s="9" t="s">
        <v>838</v>
      </c>
      <c r="B328" s="2">
        <v>45521</v>
      </c>
      <c r="C328" s="1" t="s">
        <v>839</v>
      </c>
      <c r="D328" s="1" t="s">
        <v>147</v>
      </c>
      <c r="E328" s="1" t="s">
        <v>41</v>
      </c>
      <c r="F328" s="1" t="s">
        <v>88</v>
      </c>
      <c r="G328" s="1" t="s">
        <v>19</v>
      </c>
      <c r="H328" s="1" t="s">
        <v>20</v>
      </c>
      <c r="I328" s="1" t="s">
        <v>127</v>
      </c>
      <c r="J328" s="1">
        <v>7</v>
      </c>
      <c r="K328" s="3">
        <v>34050.339999999997</v>
      </c>
      <c r="L328" s="1">
        <v>0</v>
      </c>
      <c r="M328" s="1" t="s">
        <v>69</v>
      </c>
      <c r="N328" s="10" t="s">
        <v>37</v>
      </c>
    </row>
    <row r="329" spans="1:14" x14ac:dyDescent="0.25">
      <c r="A329" s="9" t="s">
        <v>840</v>
      </c>
      <c r="B329" s="2">
        <v>45367</v>
      </c>
      <c r="C329" s="1" t="s">
        <v>841</v>
      </c>
      <c r="D329" s="1" t="s">
        <v>52</v>
      </c>
      <c r="E329" s="1" t="s">
        <v>17</v>
      </c>
      <c r="F329" s="1" t="s">
        <v>49</v>
      </c>
      <c r="G329" s="1" t="s">
        <v>83</v>
      </c>
      <c r="H329" s="1" t="s">
        <v>43</v>
      </c>
      <c r="I329" s="1" t="s">
        <v>339</v>
      </c>
      <c r="J329" s="1">
        <v>9</v>
      </c>
      <c r="K329" s="3">
        <v>25526.26</v>
      </c>
      <c r="L329" s="1">
        <v>20</v>
      </c>
      <c r="M329" s="1" t="s">
        <v>93</v>
      </c>
      <c r="N329" s="10" t="s">
        <v>31</v>
      </c>
    </row>
    <row r="330" spans="1:14" x14ac:dyDescent="0.25">
      <c r="A330" s="9" t="s">
        <v>842</v>
      </c>
      <c r="B330" s="2">
        <v>45399</v>
      </c>
      <c r="C330" s="1" t="s">
        <v>843</v>
      </c>
      <c r="D330" s="1" t="s">
        <v>67</v>
      </c>
      <c r="E330" s="1" t="s">
        <v>34</v>
      </c>
      <c r="F330" s="1" t="s">
        <v>88</v>
      </c>
      <c r="G330" s="1" t="s">
        <v>42</v>
      </c>
      <c r="H330" s="1" t="s">
        <v>43</v>
      </c>
      <c r="I330" s="1" t="s">
        <v>491</v>
      </c>
      <c r="J330" s="1">
        <v>3</v>
      </c>
      <c r="K330" s="3">
        <v>10346.459999999999</v>
      </c>
      <c r="L330" s="1">
        <v>0</v>
      </c>
      <c r="M330" s="1" t="s">
        <v>63</v>
      </c>
      <c r="N330" s="10" t="s">
        <v>31</v>
      </c>
    </row>
    <row r="331" spans="1:14" x14ac:dyDescent="0.25">
      <c r="A331" s="9" t="s">
        <v>844</v>
      </c>
      <c r="B331" s="2">
        <v>45180</v>
      </c>
      <c r="C331" s="1" t="s">
        <v>845</v>
      </c>
      <c r="D331" s="1" t="s">
        <v>87</v>
      </c>
      <c r="E331" s="1" t="s">
        <v>59</v>
      </c>
      <c r="F331" s="1" t="s">
        <v>82</v>
      </c>
      <c r="G331" s="1" t="s">
        <v>19</v>
      </c>
      <c r="H331" s="1" t="s">
        <v>29</v>
      </c>
      <c r="I331" s="1" t="s">
        <v>385</v>
      </c>
      <c r="J331" s="1">
        <v>2</v>
      </c>
      <c r="K331" s="3">
        <v>2886.34</v>
      </c>
      <c r="L331" s="1">
        <v>0</v>
      </c>
      <c r="M331" s="1" t="s">
        <v>22</v>
      </c>
      <c r="N331" s="10" t="s">
        <v>37</v>
      </c>
    </row>
    <row r="332" spans="1:14" x14ac:dyDescent="0.25">
      <c r="A332" s="9" t="s">
        <v>846</v>
      </c>
      <c r="B332" s="2">
        <v>45632</v>
      </c>
      <c r="C332" s="1" t="s">
        <v>774</v>
      </c>
      <c r="D332" s="1" t="s">
        <v>87</v>
      </c>
      <c r="E332" s="1" t="s">
        <v>27</v>
      </c>
      <c r="F332" s="1" t="s">
        <v>18</v>
      </c>
      <c r="G332" s="1" t="s">
        <v>53</v>
      </c>
      <c r="H332" s="1" t="s">
        <v>54</v>
      </c>
      <c r="I332" s="1" t="s">
        <v>413</v>
      </c>
      <c r="J332" s="1">
        <v>4</v>
      </c>
      <c r="K332" s="3">
        <v>10521.48</v>
      </c>
      <c r="L332" s="1">
        <v>5</v>
      </c>
      <c r="M332" s="1" t="s">
        <v>93</v>
      </c>
      <c r="N332" s="10" t="s">
        <v>31</v>
      </c>
    </row>
    <row r="333" spans="1:14" x14ac:dyDescent="0.25">
      <c r="A333" s="9" t="s">
        <v>847</v>
      </c>
      <c r="B333" s="2">
        <v>45514</v>
      </c>
      <c r="C333" s="1" t="s">
        <v>433</v>
      </c>
      <c r="D333" s="1" t="s">
        <v>26</v>
      </c>
      <c r="E333" s="1" t="s">
        <v>34</v>
      </c>
      <c r="F333" s="1" t="s">
        <v>49</v>
      </c>
      <c r="G333" s="1" t="s">
        <v>42</v>
      </c>
      <c r="H333" s="1" t="s">
        <v>61</v>
      </c>
      <c r="I333" s="1" t="s">
        <v>196</v>
      </c>
      <c r="J333" s="1">
        <v>8</v>
      </c>
      <c r="K333" s="3">
        <v>1052.3800000000001</v>
      </c>
      <c r="L333" s="1">
        <v>5</v>
      </c>
      <c r="M333" s="1" t="s">
        <v>63</v>
      </c>
      <c r="N333" s="10" t="s">
        <v>45</v>
      </c>
    </row>
    <row r="334" spans="1:14" x14ac:dyDescent="0.25">
      <c r="A334" s="9" t="s">
        <v>848</v>
      </c>
      <c r="B334" s="2">
        <v>45331</v>
      </c>
      <c r="C334" s="1" t="s">
        <v>849</v>
      </c>
      <c r="D334" s="1" t="s">
        <v>40</v>
      </c>
      <c r="E334" s="1" t="s">
        <v>41</v>
      </c>
      <c r="F334" s="1" t="s">
        <v>88</v>
      </c>
      <c r="G334" s="1" t="s">
        <v>42</v>
      </c>
      <c r="H334" s="1" t="s">
        <v>61</v>
      </c>
      <c r="I334" s="1" t="s">
        <v>725</v>
      </c>
      <c r="J334" s="1">
        <v>8</v>
      </c>
      <c r="K334" s="3">
        <v>1976.67</v>
      </c>
      <c r="L334" s="1">
        <v>15</v>
      </c>
      <c r="M334" s="1" t="s">
        <v>36</v>
      </c>
      <c r="N334" s="10" t="s">
        <v>74</v>
      </c>
    </row>
    <row r="335" spans="1:14" x14ac:dyDescent="0.25">
      <c r="A335" s="9" t="s">
        <v>850</v>
      </c>
      <c r="B335" s="2">
        <v>45536</v>
      </c>
      <c r="C335" s="1" t="s">
        <v>787</v>
      </c>
      <c r="D335" s="1" t="s">
        <v>147</v>
      </c>
      <c r="E335" s="1" t="s">
        <v>41</v>
      </c>
      <c r="F335" s="1" t="s">
        <v>99</v>
      </c>
      <c r="G335" s="1" t="s">
        <v>83</v>
      </c>
      <c r="H335" s="1" t="s">
        <v>43</v>
      </c>
      <c r="I335" s="1" t="s">
        <v>258</v>
      </c>
      <c r="J335" s="1">
        <v>10</v>
      </c>
      <c r="K335" s="3">
        <v>38458.31</v>
      </c>
      <c r="L335" s="1" t="s">
        <v>110</v>
      </c>
      <c r="M335" s="1" t="s">
        <v>56</v>
      </c>
      <c r="N335" s="10" t="s">
        <v>45</v>
      </c>
    </row>
    <row r="336" spans="1:14" x14ac:dyDescent="0.25">
      <c r="A336" s="9" t="s">
        <v>851</v>
      </c>
      <c r="B336" s="2">
        <v>45450</v>
      </c>
      <c r="C336" s="1" t="s">
        <v>852</v>
      </c>
      <c r="D336" s="1" t="s">
        <v>52</v>
      </c>
      <c r="E336" s="1" t="s">
        <v>72</v>
      </c>
      <c r="F336" s="1" t="s">
        <v>49</v>
      </c>
      <c r="G336" s="1" t="s">
        <v>53</v>
      </c>
      <c r="H336" s="1" t="s">
        <v>54</v>
      </c>
      <c r="I336" s="1" t="s">
        <v>518</v>
      </c>
      <c r="J336" s="1">
        <v>4</v>
      </c>
      <c r="K336" s="3">
        <v>7041.78</v>
      </c>
      <c r="L336" s="1" t="s">
        <v>110</v>
      </c>
      <c r="M336" s="1" t="s">
        <v>56</v>
      </c>
      <c r="N336" s="10" t="s">
        <v>74</v>
      </c>
    </row>
    <row r="337" spans="1:14" x14ac:dyDescent="0.25">
      <c r="A337" s="9" t="s">
        <v>853</v>
      </c>
      <c r="B337" s="2">
        <v>45363</v>
      </c>
      <c r="C337" s="1" t="s">
        <v>854</v>
      </c>
      <c r="D337" s="1" t="s">
        <v>87</v>
      </c>
      <c r="E337" s="1" t="s">
        <v>17</v>
      </c>
      <c r="F337" s="1" t="s">
        <v>49</v>
      </c>
      <c r="G337" s="1" t="s">
        <v>42</v>
      </c>
      <c r="H337" s="1" t="s">
        <v>43</v>
      </c>
      <c r="I337" s="1" t="s">
        <v>329</v>
      </c>
      <c r="J337" s="1">
        <v>4</v>
      </c>
      <c r="K337" s="3">
        <v>12517.42</v>
      </c>
      <c r="L337" s="1" t="s">
        <v>110</v>
      </c>
      <c r="M337" s="1" t="s">
        <v>69</v>
      </c>
      <c r="N337" s="10" t="s">
        <v>31</v>
      </c>
    </row>
    <row r="338" spans="1:14" x14ac:dyDescent="0.25">
      <c r="A338" s="9" t="s">
        <v>855</v>
      </c>
      <c r="B338" s="2">
        <v>45156</v>
      </c>
      <c r="C338" s="1" t="s">
        <v>856</v>
      </c>
      <c r="D338" s="1" t="s">
        <v>71</v>
      </c>
      <c r="E338" s="1" t="s">
        <v>27</v>
      </c>
      <c r="F338" s="1" t="s">
        <v>60</v>
      </c>
      <c r="G338" s="1" t="s">
        <v>19</v>
      </c>
      <c r="H338" s="1" t="s">
        <v>29</v>
      </c>
      <c r="I338" s="1" t="s">
        <v>646</v>
      </c>
      <c r="J338" s="1">
        <v>7</v>
      </c>
      <c r="K338" s="3">
        <v>24780.67</v>
      </c>
      <c r="L338" s="1" t="s">
        <v>110</v>
      </c>
      <c r="M338" s="1" t="s">
        <v>63</v>
      </c>
      <c r="N338" s="10" t="s">
        <v>37</v>
      </c>
    </row>
    <row r="339" spans="1:14" x14ac:dyDescent="0.25">
      <c r="A339" s="9" t="s">
        <v>857</v>
      </c>
      <c r="B339" s="2">
        <v>45520</v>
      </c>
      <c r="C339" s="1" t="s">
        <v>858</v>
      </c>
      <c r="D339" s="1" t="s">
        <v>71</v>
      </c>
      <c r="E339" s="1" t="s">
        <v>17</v>
      </c>
      <c r="F339" s="1" t="s">
        <v>82</v>
      </c>
      <c r="G339" s="1" t="s">
        <v>42</v>
      </c>
      <c r="H339" s="1" t="s">
        <v>43</v>
      </c>
      <c r="I339" s="1" t="s">
        <v>182</v>
      </c>
      <c r="J339" s="1">
        <v>2</v>
      </c>
      <c r="K339" s="3">
        <v>5979.39</v>
      </c>
      <c r="L339" s="1">
        <v>20</v>
      </c>
      <c r="M339" s="1" t="s">
        <v>93</v>
      </c>
      <c r="N339" s="10" t="s">
        <v>45</v>
      </c>
    </row>
    <row r="340" spans="1:14" x14ac:dyDescent="0.25">
      <c r="A340" s="9" t="s">
        <v>859</v>
      </c>
      <c r="B340" s="2">
        <v>45194</v>
      </c>
      <c r="C340" s="1" t="s">
        <v>860</v>
      </c>
      <c r="D340" s="1" t="s">
        <v>81</v>
      </c>
      <c r="E340" s="1" t="s">
        <v>27</v>
      </c>
      <c r="F340" s="1" t="s">
        <v>88</v>
      </c>
      <c r="G340" s="1" t="s">
        <v>42</v>
      </c>
      <c r="H340" s="1" t="s">
        <v>43</v>
      </c>
      <c r="I340" s="1" t="s">
        <v>258</v>
      </c>
      <c r="J340" s="1">
        <v>6</v>
      </c>
      <c r="K340" s="3">
        <v>27001.48</v>
      </c>
      <c r="L340" s="1" t="s">
        <v>110</v>
      </c>
      <c r="M340" s="1" t="s">
        <v>22</v>
      </c>
      <c r="N340" s="10" t="s">
        <v>64</v>
      </c>
    </row>
    <row r="341" spans="1:14" x14ac:dyDescent="0.25">
      <c r="A341" s="9" t="s">
        <v>861</v>
      </c>
      <c r="B341" s="2">
        <v>45335</v>
      </c>
      <c r="C341" s="1" t="s">
        <v>269</v>
      </c>
      <c r="D341" s="1" t="s">
        <v>71</v>
      </c>
      <c r="E341" s="1" t="s">
        <v>41</v>
      </c>
      <c r="F341" s="1" t="s">
        <v>60</v>
      </c>
      <c r="G341" s="1" t="s">
        <v>19</v>
      </c>
      <c r="H341" s="1" t="s">
        <v>29</v>
      </c>
      <c r="I341" s="1" t="s">
        <v>452</v>
      </c>
      <c r="J341" s="1">
        <v>2</v>
      </c>
      <c r="K341" s="3">
        <v>4906.9799999999996</v>
      </c>
      <c r="L341" s="1">
        <v>20</v>
      </c>
      <c r="M341" s="1" t="s">
        <v>69</v>
      </c>
      <c r="N341" s="10" t="s">
        <v>37</v>
      </c>
    </row>
    <row r="342" spans="1:14" x14ac:dyDescent="0.25">
      <c r="A342" s="9" t="s">
        <v>862</v>
      </c>
      <c r="B342" s="2">
        <v>45278</v>
      </c>
      <c r="C342" s="1" t="s">
        <v>821</v>
      </c>
      <c r="D342" s="1" t="s">
        <v>16</v>
      </c>
      <c r="E342" s="1" t="s">
        <v>27</v>
      </c>
      <c r="F342" s="1" t="s">
        <v>99</v>
      </c>
      <c r="G342" s="1" t="s">
        <v>42</v>
      </c>
      <c r="H342" s="1" t="s">
        <v>61</v>
      </c>
      <c r="I342" s="1" t="s">
        <v>863</v>
      </c>
      <c r="J342" s="1">
        <v>8</v>
      </c>
      <c r="K342" s="3">
        <v>25063.99</v>
      </c>
      <c r="L342" s="1">
        <v>0</v>
      </c>
      <c r="M342" s="1" t="s">
        <v>69</v>
      </c>
      <c r="N342" s="10" t="s">
        <v>37</v>
      </c>
    </row>
    <row r="343" spans="1:14" x14ac:dyDescent="0.25">
      <c r="A343" s="9" t="s">
        <v>864</v>
      </c>
      <c r="B343" s="2">
        <v>45191</v>
      </c>
      <c r="C343" s="1" t="s">
        <v>481</v>
      </c>
      <c r="D343" s="1" t="s">
        <v>71</v>
      </c>
      <c r="E343" s="1" t="s">
        <v>27</v>
      </c>
      <c r="F343" s="1" t="s">
        <v>82</v>
      </c>
      <c r="G343" s="1" t="s">
        <v>19</v>
      </c>
      <c r="H343" s="1" t="s">
        <v>29</v>
      </c>
      <c r="I343" s="1" t="s">
        <v>515</v>
      </c>
      <c r="J343" s="1">
        <v>2</v>
      </c>
      <c r="K343" s="3">
        <v>350.46</v>
      </c>
      <c r="L343" s="1">
        <v>20</v>
      </c>
      <c r="M343" s="1" t="s">
        <v>93</v>
      </c>
      <c r="N343" s="10" t="s">
        <v>31</v>
      </c>
    </row>
    <row r="344" spans="1:14" x14ac:dyDescent="0.25">
      <c r="A344" s="9" t="s">
        <v>865</v>
      </c>
      <c r="B344" s="2">
        <v>45272</v>
      </c>
      <c r="C344" s="1" t="s">
        <v>345</v>
      </c>
      <c r="D344" s="1" t="s">
        <v>87</v>
      </c>
      <c r="E344" s="1" t="s">
        <v>27</v>
      </c>
      <c r="F344" s="1" t="s">
        <v>49</v>
      </c>
      <c r="G344" s="1" t="s">
        <v>19</v>
      </c>
      <c r="H344" s="1" t="s">
        <v>20</v>
      </c>
      <c r="I344" s="1" t="s">
        <v>214</v>
      </c>
      <c r="J344" s="1">
        <v>7</v>
      </c>
      <c r="K344" s="3">
        <v>27752.84</v>
      </c>
      <c r="L344" s="1" t="s">
        <v>110</v>
      </c>
      <c r="M344" s="1" t="s">
        <v>63</v>
      </c>
      <c r="N344" s="10" t="s">
        <v>23</v>
      </c>
    </row>
    <row r="345" spans="1:14" x14ac:dyDescent="0.25">
      <c r="A345" s="9" t="s">
        <v>866</v>
      </c>
      <c r="B345" s="2">
        <v>44998</v>
      </c>
      <c r="C345" s="1" t="s">
        <v>867</v>
      </c>
      <c r="D345" s="1" t="s">
        <v>16</v>
      </c>
      <c r="E345" s="1" t="s">
        <v>59</v>
      </c>
      <c r="F345" s="1" t="s">
        <v>60</v>
      </c>
      <c r="G345" s="1" t="s">
        <v>42</v>
      </c>
      <c r="H345" s="1" t="s">
        <v>61</v>
      </c>
      <c r="I345" s="1" t="s">
        <v>247</v>
      </c>
      <c r="J345" s="1">
        <v>5</v>
      </c>
      <c r="K345" s="3">
        <v>17628.66</v>
      </c>
      <c r="L345" s="1">
        <v>10</v>
      </c>
      <c r="M345" s="1" t="s">
        <v>56</v>
      </c>
      <c r="N345" s="10" t="s">
        <v>23</v>
      </c>
    </row>
    <row r="346" spans="1:14" x14ac:dyDescent="0.25">
      <c r="A346" s="9" t="s">
        <v>868</v>
      </c>
      <c r="B346" s="2">
        <v>44986</v>
      </c>
      <c r="C346" s="1" t="s">
        <v>282</v>
      </c>
      <c r="D346" s="1" t="s">
        <v>33</v>
      </c>
      <c r="E346" s="1" t="s">
        <v>72</v>
      </c>
      <c r="F346" s="1" t="s">
        <v>18</v>
      </c>
      <c r="G346" s="1" t="s">
        <v>42</v>
      </c>
      <c r="H346" s="1" t="s">
        <v>43</v>
      </c>
      <c r="I346" s="1" t="s">
        <v>488</v>
      </c>
      <c r="J346" s="1">
        <v>2</v>
      </c>
      <c r="K346" s="3">
        <v>7682.89</v>
      </c>
      <c r="L346" s="1">
        <v>10</v>
      </c>
      <c r="M346" s="1" t="s">
        <v>63</v>
      </c>
      <c r="N346" s="10" t="s">
        <v>45</v>
      </c>
    </row>
    <row r="347" spans="1:14" x14ac:dyDescent="0.25">
      <c r="A347" s="9" t="s">
        <v>869</v>
      </c>
      <c r="B347" s="2">
        <v>45093</v>
      </c>
      <c r="C347" s="1" t="s">
        <v>870</v>
      </c>
      <c r="D347" s="1" t="s">
        <v>33</v>
      </c>
      <c r="E347" s="1" t="s">
        <v>27</v>
      </c>
      <c r="F347" s="1" t="s">
        <v>82</v>
      </c>
      <c r="G347" s="1" t="s">
        <v>53</v>
      </c>
      <c r="H347" s="1" t="s">
        <v>54</v>
      </c>
      <c r="I347" s="1" t="s">
        <v>103</v>
      </c>
      <c r="J347" s="1">
        <v>8</v>
      </c>
      <c r="K347" s="3">
        <v>13245.71</v>
      </c>
      <c r="L347" s="1">
        <v>20</v>
      </c>
      <c r="M347" s="1" t="s">
        <v>56</v>
      </c>
      <c r="N347" s="10" t="s">
        <v>37</v>
      </c>
    </row>
    <row r="348" spans="1:14" x14ac:dyDescent="0.25">
      <c r="A348" s="9" t="s">
        <v>871</v>
      </c>
      <c r="B348" s="2">
        <v>45197</v>
      </c>
      <c r="C348" s="1" t="s">
        <v>872</v>
      </c>
      <c r="D348" s="1" t="s">
        <v>147</v>
      </c>
      <c r="E348" s="1" t="s">
        <v>17</v>
      </c>
      <c r="F348" s="1" t="s">
        <v>49</v>
      </c>
      <c r="G348" s="1" t="s">
        <v>83</v>
      </c>
      <c r="H348" s="1" t="s">
        <v>43</v>
      </c>
      <c r="I348" s="1" t="s">
        <v>329</v>
      </c>
      <c r="J348" s="1">
        <v>3</v>
      </c>
      <c r="K348" s="3">
        <v>1791.74</v>
      </c>
      <c r="L348" s="1">
        <v>20</v>
      </c>
      <c r="M348" s="1" t="s">
        <v>69</v>
      </c>
      <c r="N348" s="10" t="s">
        <v>74</v>
      </c>
    </row>
    <row r="349" spans="1:14" x14ac:dyDescent="0.25">
      <c r="A349" s="9" t="s">
        <v>874</v>
      </c>
      <c r="B349" s="2">
        <v>45552</v>
      </c>
      <c r="C349" s="1" t="s">
        <v>779</v>
      </c>
      <c r="D349" s="1" t="s">
        <v>67</v>
      </c>
      <c r="E349" s="1" t="s">
        <v>34</v>
      </c>
      <c r="F349" s="1" t="s">
        <v>18</v>
      </c>
      <c r="G349" s="1" t="s">
        <v>42</v>
      </c>
      <c r="H349" s="1" t="s">
        <v>43</v>
      </c>
      <c r="I349" s="1" t="s">
        <v>467</v>
      </c>
      <c r="J349" s="1">
        <v>8</v>
      </c>
      <c r="K349" s="3">
        <v>20963.66</v>
      </c>
      <c r="L349" s="1">
        <v>5</v>
      </c>
      <c r="M349" s="1" t="s">
        <v>69</v>
      </c>
      <c r="N349" s="10" t="s">
        <v>45</v>
      </c>
    </row>
    <row r="350" spans="1:14" x14ac:dyDescent="0.25">
      <c r="A350" s="9" t="s">
        <v>875</v>
      </c>
      <c r="B350" s="2">
        <v>45359</v>
      </c>
      <c r="C350" s="1" t="s">
        <v>876</v>
      </c>
      <c r="D350" s="1" t="s">
        <v>67</v>
      </c>
      <c r="E350" s="1" t="s">
        <v>41</v>
      </c>
      <c r="F350" s="1" t="s">
        <v>82</v>
      </c>
      <c r="G350" s="1" t="s">
        <v>42</v>
      </c>
      <c r="H350" s="1" t="s">
        <v>61</v>
      </c>
      <c r="I350" s="1" t="s">
        <v>440</v>
      </c>
      <c r="J350" s="1">
        <v>10</v>
      </c>
      <c r="K350" s="3">
        <v>7160.07</v>
      </c>
      <c r="L350" s="1">
        <v>5</v>
      </c>
      <c r="M350" s="1" t="s">
        <v>22</v>
      </c>
      <c r="N350" s="10" t="s">
        <v>37</v>
      </c>
    </row>
    <row r="351" spans="1:14" x14ac:dyDescent="0.25">
      <c r="A351" s="9" t="s">
        <v>877</v>
      </c>
      <c r="B351" s="2">
        <v>45133</v>
      </c>
      <c r="C351" s="1" t="s">
        <v>878</v>
      </c>
      <c r="D351" s="1" t="s">
        <v>71</v>
      </c>
      <c r="E351" s="1" t="s">
        <v>27</v>
      </c>
      <c r="F351" s="1" t="s">
        <v>49</v>
      </c>
      <c r="G351" s="1" t="s">
        <v>42</v>
      </c>
      <c r="H351" s="1" t="s">
        <v>43</v>
      </c>
      <c r="I351" s="1" t="s">
        <v>488</v>
      </c>
      <c r="J351" s="1">
        <v>3</v>
      </c>
      <c r="K351" s="3">
        <v>672.05</v>
      </c>
      <c r="L351" s="1">
        <v>10</v>
      </c>
      <c r="M351" s="1" t="s">
        <v>63</v>
      </c>
      <c r="N351" s="10" t="s">
        <v>37</v>
      </c>
    </row>
    <row r="352" spans="1:14" x14ac:dyDescent="0.25">
      <c r="A352" s="9" t="s">
        <v>880</v>
      </c>
      <c r="B352" s="2">
        <v>45419</v>
      </c>
      <c r="C352" s="1" t="s">
        <v>879</v>
      </c>
      <c r="D352" s="1" t="s">
        <v>26</v>
      </c>
      <c r="E352" s="1" t="s">
        <v>17</v>
      </c>
      <c r="F352" s="1" t="s">
        <v>28</v>
      </c>
      <c r="G352" s="1" t="s">
        <v>42</v>
      </c>
      <c r="H352" s="1" t="s">
        <v>61</v>
      </c>
      <c r="I352" s="1" t="s">
        <v>115</v>
      </c>
      <c r="J352" s="1">
        <v>4</v>
      </c>
      <c r="K352" s="3">
        <v>6342.34</v>
      </c>
      <c r="L352" s="1">
        <v>5</v>
      </c>
      <c r="M352" s="1" t="s">
        <v>93</v>
      </c>
      <c r="N352" s="10" t="s">
        <v>23</v>
      </c>
    </row>
    <row r="353" spans="1:14" x14ac:dyDescent="0.25">
      <c r="A353" s="9" t="s">
        <v>881</v>
      </c>
      <c r="B353" s="2">
        <v>45045</v>
      </c>
      <c r="C353" s="1" t="s">
        <v>882</v>
      </c>
      <c r="D353" s="1" t="s">
        <v>161</v>
      </c>
      <c r="E353" s="1" t="s">
        <v>27</v>
      </c>
      <c r="F353" s="1" t="s">
        <v>49</v>
      </c>
      <c r="G353" s="1" t="s">
        <v>53</v>
      </c>
      <c r="H353" s="1" t="s">
        <v>54</v>
      </c>
      <c r="I353" s="1" t="s">
        <v>437</v>
      </c>
      <c r="J353" s="1">
        <v>1</v>
      </c>
      <c r="K353" s="3">
        <v>3200.8</v>
      </c>
      <c r="L353" s="1">
        <v>20</v>
      </c>
      <c r="M353" s="1" t="s">
        <v>63</v>
      </c>
      <c r="N353" s="10" t="s">
        <v>23</v>
      </c>
    </row>
    <row r="354" spans="1:14" x14ac:dyDescent="0.25">
      <c r="A354" s="9" t="s">
        <v>883</v>
      </c>
      <c r="B354" s="2">
        <v>45199</v>
      </c>
      <c r="C354" s="1" t="s">
        <v>884</v>
      </c>
      <c r="D354" s="1" t="s">
        <v>81</v>
      </c>
      <c r="E354" s="1" t="s">
        <v>59</v>
      </c>
      <c r="F354" s="1" t="s">
        <v>82</v>
      </c>
      <c r="G354" s="1" t="s">
        <v>19</v>
      </c>
      <c r="H354" s="1" t="s">
        <v>29</v>
      </c>
      <c r="I354" s="1" t="s">
        <v>885</v>
      </c>
      <c r="J354" s="1">
        <v>4</v>
      </c>
      <c r="K354" s="3">
        <v>18442.84</v>
      </c>
      <c r="L354" s="1">
        <v>20</v>
      </c>
      <c r="M354" s="1" t="s">
        <v>63</v>
      </c>
      <c r="N354" s="10" t="s">
        <v>23</v>
      </c>
    </row>
    <row r="355" spans="1:14" x14ac:dyDescent="0.25">
      <c r="A355" s="9" t="s">
        <v>886</v>
      </c>
      <c r="B355" s="2">
        <v>45548</v>
      </c>
      <c r="C355" s="1" t="s">
        <v>887</v>
      </c>
      <c r="D355" s="1" t="s">
        <v>87</v>
      </c>
      <c r="E355" s="1" t="s">
        <v>34</v>
      </c>
      <c r="F355" s="1" t="s">
        <v>88</v>
      </c>
      <c r="G355" s="1" t="s">
        <v>83</v>
      </c>
      <c r="H355" s="1" t="s">
        <v>43</v>
      </c>
      <c r="I355" s="1" t="s">
        <v>652</v>
      </c>
      <c r="J355" s="1">
        <v>2</v>
      </c>
      <c r="K355" s="3">
        <v>7451.15</v>
      </c>
      <c r="L355" s="1">
        <v>10</v>
      </c>
      <c r="M355" s="1" t="s">
        <v>69</v>
      </c>
      <c r="N355" s="10" t="s">
        <v>74</v>
      </c>
    </row>
    <row r="356" spans="1:14" x14ac:dyDescent="0.25">
      <c r="A356" s="9" t="s">
        <v>888</v>
      </c>
      <c r="B356" s="2">
        <v>45184</v>
      </c>
      <c r="C356" s="1" t="s">
        <v>889</v>
      </c>
      <c r="D356" s="1" t="s">
        <v>81</v>
      </c>
      <c r="E356" s="1" t="s">
        <v>17</v>
      </c>
      <c r="F356" s="1" t="s">
        <v>88</v>
      </c>
      <c r="G356" s="1" t="s">
        <v>19</v>
      </c>
      <c r="H356" s="1" t="s">
        <v>20</v>
      </c>
      <c r="I356" s="1" t="s">
        <v>583</v>
      </c>
      <c r="J356" s="1">
        <v>1</v>
      </c>
      <c r="K356" s="3">
        <v>4776.92</v>
      </c>
      <c r="L356" s="1">
        <v>5</v>
      </c>
      <c r="M356" s="1" t="s">
        <v>36</v>
      </c>
      <c r="N356" s="10" t="s">
        <v>64</v>
      </c>
    </row>
    <row r="357" spans="1:14" x14ac:dyDescent="0.25">
      <c r="A357" s="9" t="s">
        <v>890</v>
      </c>
      <c r="B357" s="2">
        <v>45578</v>
      </c>
      <c r="C357" s="1" t="s">
        <v>891</v>
      </c>
      <c r="D357" s="1" t="s">
        <v>33</v>
      </c>
      <c r="E357" s="1" t="s">
        <v>17</v>
      </c>
      <c r="F357" s="1" t="s">
        <v>82</v>
      </c>
      <c r="G357" s="1" t="s">
        <v>42</v>
      </c>
      <c r="H357" s="1" t="s">
        <v>43</v>
      </c>
      <c r="I357" s="1" t="s">
        <v>258</v>
      </c>
      <c r="J357" s="1">
        <v>2</v>
      </c>
      <c r="K357" s="3">
        <v>4471.3999999999996</v>
      </c>
      <c r="L357" s="1">
        <v>15</v>
      </c>
      <c r="M357" s="1" t="s">
        <v>63</v>
      </c>
      <c r="N357" s="10" t="s">
        <v>74</v>
      </c>
    </row>
    <row r="358" spans="1:14" x14ac:dyDescent="0.25">
      <c r="A358" s="9" t="s">
        <v>892</v>
      </c>
      <c r="B358" s="2">
        <v>45131</v>
      </c>
      <c r="C358" s="1" t="s">
        <v>659</v>
      </c>
      <c r="D358" s="1" t="s">
        <v>87</v>
      </c>
      <c r="E358" s="1" t="s">
        <v>34</v>
      </c>
      <c r="F358" s="1" t="s">
        <v>49</v>
      </c>
      <c r="G358" s="1" t="s">
        <v>19</v>
      </c>
      <c r="H358" s="1" t="s">
        <v>29</v>
      </c>
      <c r="I358" s="1" t="s">
        <v>96</v>
      </c>
      <c r="J358" s="1">
        <v>8</v>
      </c>
      <c r="K358" s="3">
        <v>17592.689999999999</v>
      </c>
      <c r="L358" s="1">
        <v>5</v>
      </c>
      <c r="M358" s="1" t="s">
        <v>69</v>
      </c>
      <c r="N358" s="10" t="s">
        <v>23</v>
      </c>
    </row>
    <row r="359" spans="1:14" x14ac:dyDescent="0.25">
      <c r="A359" s="9" t="s">
        <v>893</v>
      </c>
      <c r="B359" s="2">
        <v>45507</v>
      </c>
      <c r="C359" s="1" t="s">
        <v>894</v>
      </c>
      <c r="D359" s="1" t="s">
        <v>118</v>
      </c>
      <c r="E359" s="1" t="s">
        <v>41</v>
      </c>
      <c r="F359" s="1" t="s">
        <v>82</v>
      </c>
      <c r="G359" s="1" t="s">
        <v>53</v>
      </c>
      <c r="H359" s="1" t="s">
        <v>54</v>
      </c>
      <c r="I359" s="1" t="s">
        <v>308</v>
      </c>
      <c r="J359" s="1">
        <v>9</v>
      </c>
      <c r="K359" s="3">
        <v>3461.23</v>
      </c>
      <c r="L359" s="1" t="s">
        <v>110</v>
      </c>
      <c r="M359" s="1" t="s">
        <v>56</v>
      </c>
      <c r="N359" s="10" t="s">
        <v>23</v>
      </c>
    </row>
    <row r="360" spans="1:14" x14ac:dyDescent="0.25">
      <c r="A360" s="9" t="s">
        <v>895</v>
      </c>
      <c r="B360" s="2">
        <v>45517</v>
      </c>
      <c r="C360" s="1" t="s">
        <v>15</v>
      </c>
      <c r="D360" s="1" t="s">
        <v>87</v>
      </c>
      <c r="E360" s="1" t="s">
        <v>72</v>
      </c>
      <c r="F360" s="1" t="s">
        <v>88</v>
      </c>
      <c r="G360" s="1" t="s">
        <v>53</v>
      </c>
      <c r="H360" s="1" t="s">
        <v>54</v>
      </c>
      <c r="I360" s="1" t="s">
        <v>639</v>
      </c>
      <c r="J360" s="1">
        <v>5</v>
      </c>
      <c r="K360" s="3">
        <v>21238.57</v>
      </c>
      <c r="L360" s="1">
        <v>5</v>
      </c>
      <c r="M360" s="1" t="s">
        <v>22</v>
      </c>
      <c r="N360" s="10" t="s">
        <v>23</v>
      </c>
    </row>
    <row r="361" spans="1:14" x14ac:dyDescent="0.25">
      <c r="A361" s="9" t="s">
        <v>896</v>
      </c>
      <c r="B361" s="2">
        <v>45149</v>
      </c>
      <c r="C361" s="1" t="s">
        <v>669</v>
      </c>
      <c r="D361" s="1" t="s">
        <v>399</v>
      </c>
      <c r="E361" s="1" t="s">
        <v>34</v>
      </c>
      <c r="F361" s="1" t="s">
        <v>82</v>
      </c>
      <c r="G361" s="1" t="s">
        <v>42</v>
      </c>
      <c r="H361" s="1" t="s">
        <v>43</v>
      </c>
      <c r="I361" s="1" t="s">
        <v>100</v>
      </c>
      <c r="J361" s="1">
        <v>10</v>
      </c>
      <c r="K361" s="3">
        <v>27853.42</v>
      </c>
      <c r="L361" s="1">
        <v>10</v>
      </c>
      <c r="M361" s="1" t="s">
        <v>69</v>
      </c>
      <c r="N361" s="10" t="s">
        <v>45</v>
      </c>
    </row>
    <row r="362" spans="1:14" x14ac:dyDescent="0.25">
      <c r="A362" s="9" t="s">
        <v>897</v>
      </c>
      <c r="B362" s="2">
        <v>45198</v>
      </c>
      <c r="C362" s="1" t="s">
        <v>471</v>
      </c>
      <c r="D362" s="1" t="s">
        <v>87</v>
      </c>
      <c r="E362" s="1" t="s">
        <v>17</v>
      </c>
      <c r="F362" s="1" t="s">
        <v>82</v>
      </c>
      <c r="G362" s="1" t="s">
        <v>19</v>
      </c>
      <c r="H362" s="1" t="s">
        <v>20</v>
      </c>
      <c r="I362" s="1" t="s">
        <v>214</v>
      </c>
      <c r="J362" s="1">
        <v>6</v>
      </c>
      <c r="K362" s="3">
        <v>20930.45</v>
      </c>
      <c r="L362" s="1">
        <v>0</v>
      </c>
      <c r="M362" s="1" t="s">
        <v>22</v>
      </c>
      <c r="N362" s="10" t="s">
        <v>45</v>
      </c>
    </row>
    <row r="363" spans="1:14" x14ac:dyDescent="0.25">
      <c r="A363" s="9" t="s">
        <v>898</v>
      </c>
      <c r="B363" s="2">
        <v>45210</v>
      </c>
      <c r="C363" s="1" t="s">
        <v>870</v>
      </c>
      <c r="D363" s="1" t="s">
        <v>33</v>
      </c>
      <c r="E363" s="1" t="s">
        <v>72</v>
      </c>
      <c r="F363" s="1" t="s">
        <v>18</v>
      </c>
      <c r="G363" s="1" t="s">
        <v>19</v>
      </c>
      <c r="H363" s="1" t="s">
        <v>29</v>
      </c>
      <c r="I363" s="1" t="s">
        <v>472</v>
      </c>
      <c r="J363" s="1">
        <v>5</v>
      </c>
      <c r="K363" s="3">
        <v>18684.990000000002</v>
      </c>
      <c r="L363" s="1">
        <v>0</v>
      </c>
      <c r="M363" s="1" t="s">
        <v>56</v>
      </c>
      <c r="N363" s="10" t="s">
        <v>74</v>
      </c>
    </row>
    <row r="364" spans="1:14" x14ac:dyDescent="0.25">
      <c r="A364" s="9" t="s">
        <v>899</v>
      </c>
      <c r="B364" s="2">
        <v>45174</v>
      </c>
      <c r="C364" s="1" t="s">
        <v>900</v>
      </c>
      <c r="D364" s="1" t="s">
        <v>40</v>
      </c>
      <c r="E364" s="1" t="s">
        <v>41</v>
      </c>
      <c r="F364" s="1" t="s">
        <v>28</v>
      </c>
      <c r="G364" s="1" t="s">
        <v>83</v>
      </c>
      <c r="H364" s="1" t="s">
        <v>43</v>
      </c>
      <c r="I364" s="1" t="s">
        <v>50</v>
      </c>
      <c r="J364" s="1">
        <v>8</v>
      </c>
      <c r="K364" s="3">
        <v>32787.4</v>
      </c>
      <c r="L364" s="1">
        <v>10</v>
      </c>
      <c r="M364" s="1" t="s">
        <v>69</v>
      </c>
      <c r="N364" s="10" t="s">
        <v>23</v>
      </c>
    </row>
    <row r="365" spans="1:14" x14ac:dyDescent="0.25">
      <c r="A365" s="9" t="s">
        <v>901</v>
      </c>
      <c r="B365" s="2">
        <v>45503</v>
      </c>
      <c r="C365" s="1" t="s">
        <v>902</v>
      </c>
      <c r="D365" s="1" t="s">
        <v>26</v>
      </c>
      <c r="E365" s="1" t="s">
        <v>59</v>
      </c>
      <c r="F365" s="1" t="s">
        <v>60</v>
      </c>
      <c r="G365" s="1" t="s">
        <v>42</v>
      </c>
      <c r="H365" s="1" t="s">
        <v>43</v>
      </c>
      <c r="I365" s="1" t="s">
        <v>44</v>
      </c>
      <c r="J365" s="1">
        <v>2</v>
      </c>
      <c r="K365" s="3">
        <v>4472.28</v>
      </c>
      <c r="L365" s="1">
        <v>15</v>
      </c>
      <c r="M365" s="1" t="s">
        <v>69</v>
      </c>
      <c r="N365" s="10" t="s">
        <v>64</v>
      </c>
    </row>
    <row r="366" spans="1:14" x14ac:dyDescent="0.25">
      <c r="A366" s="9" t="s">
        <v>903</v>
      </c>
      <c r="B366" s="2">
        <v>45194</v>
      </c>
      <c r="C366" s="1" t="s">
        <v>625</v>
      </c>
      <c r="D366" s="1" t="s">
        <v>40</v>
      </c>
      <c r="E366" s="1" t="s">
        <v>59</v>
      </c>
      <c r="F366" s="1" t="s">
        <v>49</v>
      </c>
      <c r="G366" s="1" t="s">
        <v>19</v>
      </c>
      <c r="H366" s="1" t="s">
        <v>20</v>
      </c>
      <c r="I366" s="1" t="s">
        <v>176</v>
      </c>
      <c r="J366" s="1">
        <v>1</v>
      </c>
      <c r="K366" s="3">
        <v>4074.2</v>
      </c>
      <c r="L366" s="1">
        <v>15</v>
      </c>
      <c r="M366" s="1" t="s">
        <v>56</v>
      </c>
      <c r="N366" s="10" t="s">
        <v>74</v>
      </c>
    </row>
    <row r="367" spans="1:14" x14ac:dyDescent="0.25">
      <c r="A367" s="9" t="s">
        <v>904</v>
      </c>
      <c r="B367" s="2">
        <v>45539</v>
      </c>
      <c r="C367" s="1" t="s">
        <v>854</v>
      </c>
      <c r="D367" s="1" t="s">
        <v>26</v>
      </c>
      <c r="E367" s="1" t="s">
        <v>41</v>
      </c>
      <c r="F367" s="1" t="s">
        <v>60</v>
      </c>
      <c r="G367" s="1" t="s">
        <v>19</v>
      </c>
      <c r="H367" s="1" t="s">
        <v>29</v>
      </c>
      <c r="I367" s="1" t="s">
        <v>162</v>
      </c>
      <c r="J367" s="1">
        <v>6</v>
      </c>
      <c r="K367" s="3">
        <v>16447.560000000001</v>
      </c>
      <c r="L367" s="1">
        <v>10</v>
      </c>
      <c r="M367" s="1" t="s">
        <v>63</v>
      </c>
      <c r="N367" s="10" t="s">
        <v>64</v>
      </c>
    </row>
    <row r="368" spans="1:14" x14ac:dyDescent="0.25">
      <c r="A368" s="9" t="s">
        <v>905</v>
      </c>
      <c r="B368" s="2">
        <v>45116</v>
      </c>
      <c r="C368" s="1" t="s">
        <v>906</v>
      </c>
      <c r="D368" s="1" t="s">
        <v>52</v>
      </c>
      <c r="E368" s="1" t="s">
        <v>34</v>
      </c>
      <c r="F368" s="1" t="s">
        <v>28</v>
      </c>
      <c r="G368" s="1" t="s">
        <v>42</v>
      </c>
      <c r="H368" s="1" t="s">
        <v>43</v>
      </c>
      <c r="I368" s="1" t="s">
        <v>244</v>
      </c>
      <c r="J368" s="1">
        <v>3</v>
      </c>
      <c r="K368" s="3">
        <v>3438.9</v>
      </c>
      <c r="L368" s="1" t="s">
        <v>110</v>
      </c>
      <c r="M368" s="1" t="s">
        <v>36</v>
      </c>
      <c r="N368" s="10" t="s">
        <v>31</v>
      </c>
    </row>
    <row r="369" spans="1:14" x14ac:dyDescent="0.25">
      <c r="A369" s="9" t="s">
        <v>911</v>
      </c>
      <c r="B369" s="2">
        <v>45094</v>
      </c>
      <c r="C369" s="1" t="s">
        <v>912</v>
      </c>
      <c r="D369" s="1" t="s">
        <v>26</v>
      </c>
      <c r="E369" s="1" t="s">
        <v>27</v>
      </c>
      <c r="F369" s="1" t="s">
        <v>28</v>
      </c>
      <c r="G369" s="1" t="s">
        <v>83</v>
      </c>
      <c r="H369" s="1" t="s">
        <v>43</v>
      </c>
      <c r="I369" s="1" t="s">
        <v>329</v>
      </c>
      <c r="J369" s="1">
        <v>5</v>
      </c>
      <c r="K369" s="3">
        <v>22594.26</v>
      </c>
      <c r="L369" s="1">
        <v>5</v>
      </c>
      <c r="M369" s="1" t="s">
        <v>69</v>
      </c>
      <c r="N369" s="10" t="s">
        <v>45</v>
      </c>
    </row>
    <row r="370" spans="1:14" x14ac:dyDescent="0.25">
      <c r="A370" s="9" t="s">
        <v>913</v>
      </c>
      <c r="B370" s="2">
        <v>44975</v>
      </c>
      <c r="C370" s="1" t="s">
        <v>379</v>
      </c>
      <c r="D370" s="1" t="s">
        <v>26</v>
      </c>
      <c r="E370" s="1" t="s">
        <v>27</v>
      </c>
      <c r="F370" s="1" t="s">
        <v>82</v>
      </c>
      <c r="G370" s="1" t="s">
        <v>19</v>
      </c>
      <c r="H370" s="1" t="s">
        <v>29</v>
      </c>
      <c r="I370" s="1" t="s">
        <v>148</v>
      </c>
      <c r="J370" s="1">
        <v>4</v>
      </c>
      <c r="K370" s="3">
        <v>14164.62</v>
      </c>
      <c r="L370" s="1" t="s">
        <v>110</v>
      </c>
      <c r="M370" s="1" t="s">
        <v>56</v>
      </c>
      <c r="N370" s="10" t="s">
        <v>45</v>
      </c>
    </row>
    <row r="371" spans="1:14" x14ac:dyDescent="0.25">
      <c r="A371" s="9" t="s">
        <v>914</v>
      </c>
      <c r="B371" s="2">
        <v>45258</v>
      </c>
      <c r="C371" s="1" t="s">
        <v>915</v>
      </c>
      <c r="D371" s="1" t="s">
        <v>147</v>
      </c>
      <c r="E371" s="1" t="s">
        <v>27</v>
      </c>
      <c r="F371" s="1" t="s">
        <v>60</v>
      </c>
      <c r="G371" s="1" t="s">
        <v>42</v>
      </c>
      <c r="H371" s="1" t="s">
        <v>61</v>
      </c>
      <c r="I371" s="1" t="s">
        <v>440</v>
      </c>
      <c r="J371" s="1">
        <v>5</v>
      </c>
      <c r="K371" s="3">
        <v>15478.01</v>
      </c>
      <c r="L371" s="1">
        <v>20</v>
      </c>
      <c r="M371" s="1" t="s">
        <v>56</v>
      </c>
      <c r="N371" s="10" t="s">
        <v>74</v>
      </c>
    </row>
    <row r="372" spans="1:14" x14ac:dyDescent="0.25">
      <c r="A372" s="9" t="s">
        <v>916</v>
      </c>
      <c r="B372" s="2">
        <v>45131</v>
      </c>
      <c r="C372" s="1" t="s">
        <v>917</v>
      </c>
      <c r="D372" s="1" t="s">
        <v>33</v>
      </c>
      <c r="E372" s="1" t="s">
        <v>27</v>
      </c>
      <c r="F372" s="1" t="s">
        <v>82</v>
      </c>
      <c r="G372" s="1" t="s">
        <v>42</v>
      </c>
      <c r="H372" s="1" t="s">
        <v>43</v>
      </c>
      <c r="I372" s="1" t="s">
        <v>50</v>
      </c>
      <c r="J372" s="1">
        <v>9</v>
      </c>
      <c r="K372" s="3">
        <v>22918.37</v>
      </c>
      <c r="L372" s="1">
        <v>5</v>
      </c>
      <c r="M372" s="1" t="s">
        <v>69</v>
      </c>
      <c r="N372" s="10" t="s">
        <v>23</v>
      </c>
    </row>
    <row r="373" spans="1:14" x14ac:dyDescent="0.25">
      <c r="A373" s="9" t="s">
        <v>918</v>
      </c>
      <c r="B373" s="2">
        <v>45631</v>
      </c>
      <c r="C373" s="1" t="s">
        <v>755</v>
      </c>
      <c r="D373" s="1" t="s">
        <v>81</v>
      </c>
      <c r="E373" s="1" t="s">
        <v>59</v>
      </c>
      <c r="F373" s="1" t="s">
        <v>60</v>
      </c>
      <c r="G373" s="1" t="s">
        <v>19</v>
      </c>
      <c r="H373" s="1" t="s">
        <v>29</v>
      </c>
      <c r="I373" s="1" t="s">
        <v>370</v>
      </c>
      <c r="J373" s="1">
        <v>9</v>
      </c>
      <c r="K373" s="3">
        <v>20668.93</v>
      </c>
      <c r="L373" s="1">
        <v>5</v>
      </c>
      <c r="M373" s="1" t="s">
        <v>93</v>
      </c>
      <c r="N373" s="10" t="s">
        <v>23</v>
      </c>
    </row>
    <row r="374" spans="1:14" x14ac:dyDescent="0.25">
      <c r="A374" s="9" t="s">
        <v>919</v>
      </c>
      <c r="B374" s="2">
        <v>45656</v>
      </c>
      <c r="C374" s="1" t="s">
        <v>920</v>
      </c>
      <c r="D374" s="1" t="s">
        <v>147</v>
      </c>
      <c r="E374" s="1" t="s">
        <v>72</v>
      </c>
      <c r="F374" s="1" t="s">
        <v>18</v>
      </c>
      <c r="G374" s="1" t="s">
        <v>42</v>
      </c>
      <c r="H374" s="1" t="s">
        <v>43</v>
      </c>
      <c r="I374" s="1" t="s">
        <v>258</v>
      </c>
      <c r="J374" s="1">
        <v>4</v>
      </c>
      <c r="K374" s="3">
        <v>2324.5700000000002</v>
      </c>
      <c r="L374" s="1">
        <v>15</v>
      </c>
      <c r="M374" s="1" t="s">
        <v>22</v>
      </c>
      <c r="N374" s="10" t="s">
        <v>64</v>
      </c>
    </row>
    <row r="375" spans="1:14" x14ac:dyDescent="0.25">
      <c r="A375" s="9" t="s">
        <v>921</v>
      </c>
      <c r="B375" s="2">
        <v>45126</v>
      </c>
      <c r="C375" s="1" t="s">
        <v>922</v>
      </c>
      <c r="D375" s="1" t="s">
        <v>67</v>
      </c>
      <c r="E375" s="1" t="s">
        <v>72</v>
      </c>
      <c r="F375" s="1" t="s">
        <v>88</v>
      </c>
      <c r="G375" s="1" t="s">
        <v>19</v>
      </c>
      <c r="H375" s="1" t="s">
        <v>29</v>
      </c>
      <c r="I375" s="1" t="s">
        <v>141</v>
      </c>
      <c r="J375" s="1">
        <v>6</v>
      </c>
      <c r="K375" s="3">
        <v>10564.27</v>
      </c>
      <c r="L375" s="1">
        <v>15</v>
      </c>
      <c r="M375" s="1" t="s">
        <v>69</v>
      </c>
      <c r="N375" s="10" t="s">
        <v>37</v>
      </c>
    </row>
    <row r="376" spans="1:14" x14ac:dyDescent="0.25">
      <c r="A376" s="9" t="s">
        <v>923</v>
      </c>
      <c r="B376" s="2">
        <v>45319</v>
      </c>
      <c r="C376" s="1" t="s">
        <v>924</v>
      </c>
      <c r="D376" s="1" t="s">
        <v>67</v>
      </c>
      <c r="E376" s="1" t="s">
        <v>34</v>
      </c>
      <c r="F376" s="1" t="s">
        <v>28</v>
      </c>
      <c r="G376" s="1" t="s">
        <v>42</v>
      </c>
      <c r="H376" s="1" t="s">
        <v>43</v>
      </c>
      <c r="I376" s="1" t="s">
        <v>144</v>
      </c>
      <c r="J376" s="1">
        <v>7</v>
      </c>
      <c r="K376" s="3">
        <v>4921.33</v>
      </c>
      <c r="L376" s="1">
        <v>10</v>
      </c>
      <c r="M376" s="1" t="s">
        <v>36</v>
      </c>
      <c r="N376" s="10" t="s">
        <v>74</v>
      </c>
    </row>
    <row r="377" spans="1:14" x14ac:dyDescent="0.25">
      <c r="A377" s="9" t="s">
        <v>925</v>
      </c>
      <c r="B377" s="2">
        <v>44958</v>
      </c>
      <c r="C377" s="1" t="s">
        <v>926</v>
      </c>
      <c r="D377" s="1" t="s">
        <v>33</v>
      </c>
      <c r="E377" s="1" t="s">
        <v>72</v>
      </c>
      <c r="F377" s="1" t="s">
        <v>99</v>
      </c>
      <c r="G377" s="1" t="s">
        <v>53</v>
      </c>
      <c r="H377" s="1" t="s">
        <v>54</v>
      </c>
      <c r="I377" s="1" t="s">
        <v>427</v>
      </c>
      <c r="J377" s="1">
        <v>1</v>
      </c>
      <c r="K377" s="3">
        <v>3590.92</v>
      </c>
      <c r="L377" s="1">
        <v>15</v>
      </c>
      <c r="M377" s="1" t="s">
        <v>36</v>
      </c>
      <c r="N377" s="10" t="s">
        <v>74</v>
      </c>
    </row>
    <row r="378" spans="1:14" x14ac:dyDescent="0.25">
      <c r="A378" s="9" t="s">
        <v>927</v>
      </c>
      <c r="B378" s="2">
        <v>45230</v>
      </c>
      <c r="C378" s="1" t="s">
        <v>356</v>
      </c>
      <c r="D378" s="1" t="s">
        <v>67</v>
      </c>
      <c r="E378" s="1" t="s">
        <v>72</v>
      </c>
      <c r="F378" s="1" t="s">
        <v>18</v>
      </c>
      <c r="G378" s="1" t="s">
        <v>19</v>
      </c>
      <c r="H378" s="1" t="s">
        <v>20</v>
      </c>
      <c r="I378" s="1" t="s">
        <v>928</v>
      </c>
      <c r="J378" s="1">
        <v>5</v>
      </c>
      <c r="K378" s="3">
        <v>22235.1</v>
      </c>
      <c r="L378" s="1" t="s">
        <v>110</v>
      </c>
      <c r="M378" s="1" t="s">
        <v>36</v>
      </c>
      <c r="N378" s="10" t="s">
        <v>64</v>
      </c>
    </row>
    <row r="379" spans="1:14" x14ac:dyDescent="0.25">
      <c r="A379" s="9" t="s">
        <v>929</v>
      </c>
      <c r="B379" s="2">
        <v>45432</v>
      </c>
      <c r="C379" s="1" t="s">
        <v>767</v>
      </c>
      <c r="D379" s="1" t="s">
        <v>71</v>
      </c>
      <c r="E379" s="1" t="s">
        <v>41</v>
      </c>
      <c r="F379" s="1" t="s">
        <v>82</v>
      </c>
      <c r="G379" s="1" t="s">
        <v>19</v>
      </c>
      <c r="H379" s="1" t="s">
        <v>20</v>
      </c>
      <c r="I379" s="1" t="s">
        <v>731</v>
      </c>
      <c r="J379" s="1">
        <v>5</v>
      </c>
      <c r="K379" s="3">
        <v>19751.78</v>
      </c>
      <c r="L379" s="1" t="s">
        <v>110</v>
      </c>
      <c r="M379" s="1" t="s">
        <v>36</v>
      </c>
      <c r="N379" s="10" t="s">
        <v>31</v>
      </c>
    </row>
    <row r="380" spans="1:14" x14ac:dyDescent="0.25">
      <c r="A380" s="9" t="s">
        <v>930</v>
      </c>
      <c r="B380" s="2">
        <v>45527</v>
      </c>
      <c r="C380" s="1" t="s">
        <v>931</v>
      </c>
      <c r="D380" s="1" t="s">
        <v>26</v>
      </c>
      <c r="E380" s="1" t="s">
        <v>59</v>
      </c>
      <c r="F380" s="1" t="s">
        <v>49</v>
      </c>
      <c r="G380" s="1" t="s">
        <v>83</v>
      </c>
      <c r="H380" s="1" t="s">
        <v>43</v>
      </c>
      <c r="I380" s="1" t="s">
        <v>50</v>
      </c>
      <c r="J380" s="1">
        <v>5</v>
      </c>
      <c r="K380" s="3">
        <v>3252.47</v>
      </c>
      <c r="L380" s="1">
        <v>10</v>
      </c>
      <c r="M380" s="1" t="s">
        <v>63</v>
      </c>
      <c r="N380" s="10" t="s">
        <v>45</v>
      </c>
    </row>
    <row r="381" spans="1:14" x14ac:dyDescent="0.25">
      <c r="A381" s="9" t="s">
        <v>932</v>
      </c>
      <c r="B381" s="2">
        <v>45434</v>
      </c>
      <c r="C381" s="1" t="s">
        <v>933</v>
      </c>
      <c r="D381" s="1" t="s">
        <v>118</v>
      </c>
      <c r="E381" s="1" t="s">
        <v>72</v>
      </c>
      <c r="F381" s="1" t="s">
        <v>49</v>
      </c>
      <c r="G381" s="1" t="s">
        <v>83</v>
      </c>
      <c r="H381" s="1" t="s">
        <v>43</v>
      </c>
      <c r="I381" s="1" t="s">
        <v>339</v>
      </c>
      <c r="J381" s="1">
        <v>3</v>
      </c>
      <c r="K381" s="3">
        <v>11667.77</v>
      </c>
      <c r="L381" s="1">
        <v>15</v>
      </c>
      <c r="M381" s="1" t="s">
        <v>56</v>
      </c>
      <c r="N381" s="10" t="s">
        <v>64</v>
      </c>
    </row>
    <row r="382" spans="1:14" x14ac:dyDescent="0.25">
      <c r="A382" s="9" t="s">
        <v>935</v>
      </c>
      <c r="B382" s="2">
        <v>45151</v>
      </c>
      <c r="C382" s="1" t="s">
        <v>495</v>
      </c>
      <c r="D382" s="1" t="s">
        <v>67</v>
      </c>
      <c r="E382" s="1" t="s">
        <v>72</v>
      </c>
      <c r="F382" s="1" t="s">
        <v>18</v>
      </c>
      <c r="G382" s="1" t="s">
        <v>19</v>
      </c>
      <c r="H382" s="1" t="s">
        <v>29</v>
      </c>
      <c r="I382" s="1" t="s">
        <v>135</v>
      </c>
      <c r="J382" s="1">
        <v>5</v>
      </c>
      <c r="K382" s="3">
        <v>15428.51</v>
      </c>
      <c r="L382" s="1">
        <v>20</v>
      </c>
      <c r="M382" s="1" t="s">
        <v>93</v>
      </c>
      <c r="N382" s="10" t="s">
        <v>31</v>
      </c>
    </row>
    <row r="383" spans="1:14" x14ac:dyDescent="0.25">
      <c r="A383" s="9" t="s">
        <v>936</v>
      </c>
      <c r="B383" s="2">
        <v>45624</v>
      </c>
      <c r="C383" s="1" t="s">
        <v>659</v>
      </c>
      <c r="D383" s="1" t="s">
        <v>16</v>
      </c>
      <c r="E383" s="1" t="s">
        <v>59</v>
      </c>
      <c r="F383" s="1" t="s">
        <v>88</v>
      </c>
      <c r="G383" s="1" t="s">
        <v>83</v>
      </c>
      <c r="H383" s="1" t="s">
        <v>43</v>
      </c>
      <c r="I383" s="1" t="s">
        <v>329</v>
      </c>
      <c r="J383" s="1">
        <v>4</v>
      </c>
      <c r="K383" s="3">
        <v>2867.42</v>
      </c>
      <c r="L383" s="1">
        <v>15</v>
      </c>
      <c r="M383" s="1" t="s">
        <v>63</v>
      </c>
      <c r="N383" s="10" t="s">
        <v>23</v>
      </c>
    </row>
    <row r="384" spans="1:14" x14ac:dyDescent="0.25">
      <c r="A384" s="9" t="s">
        <v>937</v>
      </c>
      <c r="B384" s="2">
        <v>45425</v>
      </c>
      <c r="C384" s="1" t="s">
        <v>938</v>
      </c>
      <c r="D384" s="1" t="s">
        <v>67</v>
      </c>
      <c r="E384" s="1" t="s">
        <v>34</v>
      </c>
      <c r="F384" s="1" t="s">
        <v>88</v>
      </c>
      <c r="G384" s="1" t="s">
        <v>42</v>
      </c>
      <c r="H384" s="1" t="s">
        <v>43</v>
      </c>
      <c r="I384" s="1" t="s">
        <v>182</v>
      </c>
      <c r="J384" s="1">
        <v>1</v>
      </c>
      <c r="K384" s="3">
        <v>3735.5</v>
      </c>
      <c r="L384" s="1">
        <v>20</v>
      </c>
      <c r="M384" s="1" t="s">
        <v>63</v>
      </c>
      <c r="N384" s="10" t="s">
        <v>64</v>
      </c>
    </row>
    <row r="385" spans="1:14" x14ac:dyDescent="0.25">
      <c r="A385" s="9" t="s">
        <v>939</v>
      </c>
      <c r="B385" s="2">
        <v>45121</v>
      </c>
      <c r="C385" s="1" t="s">
        <v>609</v>
      </c>
      <c r="D385" s="1" t="s">
        <v>147</v>
      </c>
      <c r="E385" s="1" t="s">
        <v>41</v>
      </c>
      <c r="F385" s="1" t="s">
        <v>18</v>
      </c>
      <c r="G385" s="1" t="s">
        <v>83</v>
      </c>
      <c r="H385" s="1" t="s">
        <v>43</v>
      </c>
      <c r="I385" s="1" t="s">
        <v>323</v>
      </c>
      <c r="J385" s="1">
        <v>10</v>
      </c>
      <c r="K385" s="3">
        <v>46721.9</v>
      </c>
      <c r="L385" s="1" t="s">
        <v>110</v>
      </c>
      <c r="M385" s="1" t="s">
        <v>22</v>
      </c>
      <c r="N385" s="10" t="s">
        <v>23</v>
      </c>
    </row>
    <row r="386" spans="1:14" x14ac:dyDescent="0.25">
      <c r="A386" s="9" t="s">
        <v>940</v>
      </c>
      <c r="B386" s="2">
        <v>45645</v>
      </c>
      <c r="C386" s="1" t="s">
        <v>745</v>
      </c>
      <c r="D386" s="1" t="s">
        <v>169</v>
      </c>
      <c r="E386" s="1" t="s">
        <v>59</v>
      </c>
      <c r="F386" s="1" t="s">
        <v>99</v>
      </c>
      <c r="G386" s="1" t="s">
        <v>83</v>
      </c>
      <c r="H386" s="1" t="s">
        <v>43</v>
      </c>
      <c r="I386" s="1" t="s">
        <v>467</v>
      </c>
      <c r="J386" s="1">
        <v>3</v>
      </c>
      <c r="K386" s="3">
        <v>2589.9699999999998</v>
      </c>
      <c r="L386" s="1">
        <v>15</v>
      </c>
      <c r="M386" s="1" t="s">
        <v>22</v>
      </c>
      <c r="N386" s="10" t="s">
        <v>64</v>
      </c>
    </row>
    <row r="387" spans="1:14" x14ac:dyDescent="0.25">
      <c r="A387" s="9" t="s">
        <v>941</v>
      </c>
      <c r="B387" s="2">
        <v>45263</v>
      </c>
      <c r="C387" s="1" t="s">
        <v>942</v>
      </c>
      <c r="D387" s="1" t="s">
        <v>71</v>
      </c>
      <c r="E387" s="1" t="s">
        <v>17</v>
      </c>
      <c r="F387" s="1" t="s">
        <v>18</v>
      </c>
      <c r="G387" s="1" t="s">
        <v>53</v>
      </c>
      <c r="H387" s="1" t="s">
        <v>54</v>
      </c>
      <c r="I387" s="1" t="s">
        <v>207</v>
      </c>
      <c r="J387" s="1">
        <v>3</v>
      </c>
      <c r="K387" s="3">
        <v>4970.66</v>
      </c>
      <c r="L387" s="1">
        <v>5</v>
      </c>
      <c r="M387" s="1" t="s">
        <v>56</v>
      </c>
      <c r="N387" s="10" t="s">
        <v>45</v>
      </c>
    </row>
    <row r="388" spans="1:14" x14ac:dyDescent="0.25">
      <c r="A388" s="9" t="s">
        <v>944</v>
      </c>
      <c r="B388" s="2">
        <v>45106</v>
      </c>
      <c r="C388" s="1" t="s">
        <v>945</v>
      </c>
      <c r="D388" s="1" t="s">
        <v>71</v>
      </c>
      <c r="E388" s="1" t="s">
        <v>41</v>
      </c>
      <c r="F388" s="1" t="s">
        <v>60</v>
      </c>
      <c r="G388" s="1" t="s">
        <v>53</v>
      </c>
      <c r="H388" s="1" t="s">
        <v>54</v>
      </c>
      <c r="I388" s="1" t="s">
        <v>946</v>
      </c>
      <c r="J388" s="1">
        <v>3</v>
      </c>
      <c r="K388" s="3">
        <v>13169.17</v>
      </c>
      <c r="L388" s="1" t="s">
        <v>110</v>
      </c>
      <c r="M388" s="1" t="s">
        <v>63</v>
      </c>
      <c r="N388" s="10" t="s">
        <v>37</v>
      </c>
    </row>
    <row r="389" spans="1:14" x14ac:dyDescent="0.25">
      <c r="A389" s="9" t="s">
        <v>948</v>
      </c>
      <c r="B389" s="2">
        <v>44933</v>
      </c>
      <c r="C389" s="1" t="s">
        <v>949</v>
      </c>
      <c r="D389" s="1" t="s">
        <v>81</v>
      </c>
      <c r="E389" s="1" t="s">
        <v>34</v>
      </c>
      <c r="F389" s="1" t="s">
        <v>82</v>
      </c>
      <c r="G389" s="1" t="s">
        <v>42</v>
      </c>
      <c r="H389" s="1" t="s">
        <v>43</v>
      </c>
      <c r="I389" s="1" t="s">
        <v>89</v>
      </c>
      <c r="J389" s="1">
        <v>1</v>
      </c>
      <c r="K389" s="3">
        <v>2029.61</v>
      </c>
      <c r="L389" s="1">
        <v>20</v>
      </c>
      <c r="M389" s="1" t="s">
        <v>69</v>
      </c>
      <c r="N389" s="10" t="s">
        <v>37</v>
      </c>
    </row>
    <row r="390" spans="1:14" x14ac:dyDescent="0.25">
      <c r="A390" s="9" t="s">
        <v>950</v>
      </c>
      <c r="B390" s="2">
        <v>45249</v>
      </c>
      <c r="C390" s="1" t="s">
        <v>951</v>
      </c>
      <c r="D390" s="1" t="s">
        <v>147</v>
      </c>
      <c r="E390" s="1" t="s">
        <v>27</v>
      </c>
      <c r="F390" s="1" t="s">
        <v>28</v>
      </c>
      <c r="G390" s="1" t="s">
        <v>19</v>
      </c>
      <c r="H390" s="1" t="s">
        <v>20</v>
      </c>
      <c r="I390" s="1" t="s">
        <v>731</v>
      </c>
      <c r="J390" s="1">
        <v>3</v>
      </c>
      <c r="K390" s="3">
        <v>6370.82</v>
      </c>
      <c r="L390" s="1">
        <v>20</v>
      </c>
      <c r="M390" s="1" t="s">
        <v>93</v>
      </c>
      <c r="N390" s="10" t="s">
        <v>64</v>
      </c>
    </row>
    <row r="391" spans="1:14" x14ac:dyDescent="0.25">
      <c r="A391" s="9" t="s">
        <v>952</v>
      </c>
      <c r="B391" s="2">
        <v>45320</v>
      </c>
      <c r="C391" s="1" t="s">
        <v>953</v>
      </c>
      <c r="D391" s="1" t="s">
        <v>147</v>
      </c>
      <c r="E391" s="1" t="s">
        <v>17</v>
      </c>
      <c r="F391" s="1" t="s">
        <v>99</v>
      </c>
      <c r="G391" s="1" t="s">
        <v>19</v>
      </c>
      <c r="H391" s="1" t="s">
        <v>29</v>
      </c>
      <c r="I391" s="1" t="s">
        <v>35</v>
      </c>
      <c r="J391" s="1">
        <v>2</v>
      </c>
      <c r="K391" s="3">
        <v>5689.68</v>
      </c>
      <c r="L391" s="1">
        <v>20</v>
      </c>
      <c r="M391" s="1" t="s">
        <v>56</v>
      </c>
      <c r="N391" s="10" t="s">
        <v>31</v>
      </c>
    </row>
    <row r="392" spans="1:14" x14ac:dyDescent="0.25">
      <c r="A392" s="9" t="s">
        <v>954</v>
      </c>
      <c r="B392" s="2">
        <v>45099</v>
      </c>
      <c r="C392" s="1" t="s">
        <v>955</v>
      </c>
      <c r="D392" s="1" t="s">
        <v>87</v>
      </c>
      <c r="E392" s="1" t="s">
        <v>59</v>
      </c>
      <c r="F392" s="1" t="s">
        <v>60</v>
      </c>
      <c r="G392" s="1" t="s">
        <v>83</v>
      </c>
      <c r="H392" s="1" t="s">
        <v>43</v>
      </c>
      <c r="I392" s="1" t="s">
        <v>285</v>
      </c>
      <c r="J392" s="1">
        <v>10</v>
      </c>
      <c r="K392" s="3">
        <v>47812.46</v>
      </c>
      <c r="L392" s="1" t="s">
        <v>110</v>
      </c>
      <c r="M392" s="1" t="s">
        <v>56</v>
      </c>
      <c r="N392" s="10" t="s">
        <v>31</v>
      </c>
    </row>
    <row r="393" spans="1:14" x14ac:dyDescent="0.25">
      <c r="A393" s="9" t="s">
        <v>956</v>
      </c>
      <c r="B393" s="2">
        <v>45070</v>
      </c>
      <c r="C393" s="1" t="s">
        <v>292</v>
      </c>
      <c r="D393" s="1" t="s">
        <v>81</v>
      </c>
      <c r="E393" s="1" t="s">
        <v>72</v>
      </c>
      <c r="F393" s="1" t="s">
        <v>60</v>
      </c>
      <c r="G393" s="1" t="s">
        <v>19</v>
      </c>
      <c r="H393" s="1" t="s">
        <v>20</v>
      </c>
      <c r="I393" s="1" t="s">
        <v>130</v>
      </c>
      <c r="J393" s="1">
        <v>2</v>
      </c>
      <c r="K393" s="3">
        <v>1960.2</v>
      </c>
      <c r="L393" s="1">
        <v>15</v>
      </c>
      <c r="M393" s="1" t="s">
        <v>93</v>
      </c>
      <c r="N393" s="10" t="s">
        <v>31</v>
      </c>
    </row>
    <row r="394" spans="1:14" x14ac:dyDescent="0.25">
      <c r="A394" s="9" t="s">
        <v>957</v>
      </c>
      <c r="B394" s="2">
        <v>45237</v>
      </c>
      <c r="C394" s="1" t="s">
        <v>958</v>
      </c>
      <c r="D394" s="1" t="s">
        <v>26</v>
      </c>
      <c r="E394" s="1" t="s">
        <v>34</v>
      </c>
      <c r="F394" s="1" t="s">
        <v>18</v>
      </c>
      <c r="G394" s="1" t="s">
        <v>53</v>
      </c>
      <c r="H394" s="1" t="s">
        <v>54</v>
      </c>
      <c r="I394" s="1" t="s">
        <v>272</v>
      </c>
      <c r="J394" s="1">
        <v>9</v>
      </c>
      <c r="K394" s="3">
        <v>22114.93</v>
      </c>
      <c r="L394" s="1">
        <v>15</v>
      </c>
      <c r="M394" s="1" t="s">
        <v>63</v>
      </c>
      <c r="N394" s="10" t="s">
        <v>45</v>
      </c>
    </row>
    <row r="395" spans="1:14" x14ac:dyDescent="0.25">
      <c r="A395" s="9" t="s">
        <v>959</v>
      </c>
      <c r="B395" s="2">
        <v>45451</v>
      </c>
      <c r="C395" s="1" t="s">
        <v>454</v>
      </c>
      <c r="D395" s="1" t="s">
        <v>87</v>
      </c>
      <c r="E395" s="1" t="s">
        <v>41</v>
      </c>
      <c r="F395" s="1" t="s">
        <v>99</v>
      </c>
      <c r="G395" s="1" t="s">
        <v>42</v>
      </c>
      <c r="H395" s="1" t="s">
        <v>61</v>
      </c>
      <c r="I395" s="1" t="s">
        <v>217</v>
      </c>
      <c r="J395" s="1">
        <v>9</v>
      </c>
      <c r="K395" s="3">
        <v>40143.129999999997</v>
      </c>
      <c r="L395" s="1">
        <v>10</v>
      </c>
      <c r="M395" s="1" t="s">
        <v>69</v>
      </c>
      <c r="N395" s="10" t="s">
        <v>74</v>
      </c>
    </row>
    <row r="396" spans="1:14" x14ac:dyDescent="0.25">
      <c r="A396" s="9" t="s">
        <v>961</v>
      </c>
      <c r="B396" s="2">
        <v>45273</v>
      </c>
      <c r="C396" s="1" t="s">
        <v>962</v>
      </c>
      <c r="D396" s="1" t="s">
        <v>87</v>
      </c>
      <c r="E396" s="1" t="s">
        <v>34</v>
      </c>
      <c r="F396" s="1" t="s">
        <v>60</v>
      </c>
      <c r="G396" s="1" t="s">
        <v>83</v>
      </c>
      <c r="H396" s="1" t="s">
        <v>43</v>
      </c>
      <c r="I396" s="1" t="s">
        <v>144</v>
      </c>
      <c r="J396" s="1">
        <v>5</v>
      </c>
      <c r="K396" s="3">
        <v>3636</v>
      </c>
      <c r="L396" s="1">
        <v>0</v>
      </c>
      <c r="M396" s="1" t="s">
        <v>36</v>
      </c>
      <c r="N396" s="10" t="s">
        <v>74</v>
      </c>
    </row>
    <row r="397" spans="1:14" x14ac:dyDescent="0.25">
      <c r="A397" s="9" t="s">
        <v>963</v>
      </c>
      <c r="B397" s="2">
        <v>45490</v>
      </c>
      <c r="C397" s="1" t="s">
        <v>964</v>
      </c>
      <c r="D397" s="1" t="s">
        <v>71</v>
      </c>
      <c r="E397" s="1" t="s">
        <v>41</v>
      </c>
      <c r="F397" s="1" t="s">
        <v>88</v>
      </c>
      <c r="G397" s="1" t="s">
        <v>53</v>
      </c>
      <c r="H397" s="1" t="s">
        <v>54</v>
      </c>
      <c r="I397" s="1" t="s">
        <v>548</v>
      </c>
      <c r="J397" s="1">
        <v>1</v>
      </c>
      <c r="K397" s="3">
        <v>1263.25</v>
      </c>
      <c r="L397" s="1">
        <v>5</v>
      </c>
      <c r="M397" s="1" t="s">
        <v>93</v>
      </c>
      <c r="N397" s="10" t="s">
        <v>31</v>
      </c>
    </row>
    <row r="398" spans="1:14" x14ac:dyDescent="0.25">
      <c r="A398" s="9" t="s">
        <v>966</v>
      </c>
      <c r="B398" s="2">
        <v>45466</v>
      </c>
      <c r="C398" s="1" t="s">
        <v>967</v>
      </c>
      <c r="D398" s="1" t="s">
        <v>87</v>
      </c>
      <c r="E398" s="1" t="s">
        <v>41</v>
      </c>
      <c r="F398" s="1" t="s">
        <v>49</v>
      </c>
      <c r="G398" s="1" t="s">
        <v>42</v>
      </c>
      <c r="H398" s="1" t="s">
        <v>43</v>
      </c>
      <c r="I398" s="1" t="s">
        <v>154</v>
      </c>
      <c r="J398" s="1">
        <v>10</v>
      </c>
      <c r="K398" s="3">
        <v>34040.82</v>
      </c>
      <c r="L398" s="1">
        <v>10</v>
      </c>
      <c r="M398" s="1" t="s">
        <v>22</v>
      </c>
      <c r="N398" s="10" t="s">
        <v>37</v>
      </c>
    </row>
    <row r="399" spans="1:14" x14ac:dyDescent="0.25">
      <c r="A399" s="9" t="s">
        <v>968</v>
      </c>
      <c r="B399" s="2">
        <v>45501</v>
      </c>
      <c r="C399" s="1" t="s">
        <v>969</v>
      </c>
      <c r="D399" s="1" t="s">
        <v>147</v>
      </c>
      <c r="E399" s="1" t="s">
        <v>27</v>
      </c>
      <c r="F399" s="1" t="s">
        <v>49</v>
      </c>
      <c r="G399" s="1" t="s">
        <v>19</v>
      </c>
      <c r="H399" s="1" t="s">
        <v>20</v>
      </c>
      <c r="I399" s="1" t="s">
        <v>213</v>
      </c>
      <c r="J399" s="1">
        <v>1</v>
      </c>
      <c r="K399" s="3">
        <v>4837.17</v>
      </c>
      <c r="L399" s="1">
        <v>15</v>
      </c>
      <c r="M399" s="1" t="s">
        <v>63</v>
      </c>
      <c r="N399" s="10" t="s">
        <v>31</v>
      </c>
    </row>
    <row r="400" spans="1:14" x14ac:dyDescent="0.25">
      <c r="A400" s="9" t="s">
        <v>970</v>
      </c>
      <c r="B400" s="2">
        <v>45310</v>
      </c>
      <c r="C400" s="1" t="s">
        <v>971</v>
      </c>
      <c r="D400" s="1" t="s">
        <v>40</v>
      </c>
      <c r="E400" s="1" t="s">
        <v>34</v>
      </c>
      <c r="F400" s="1" t="s">
        <v>82</v>
      </c>
      <c r="G400" s="1" t="s">
        <v>42</v>
      </c>
      <c r="H400" s="1" t="s">
        <v>43</v>
      </c>
      <c r="I400" s="1" t="s">
        <v>244</v>
      </c>
      <c r="J400" s="1">
        <v>4</v>
      </c>
      <c r="K400" s="3">
        <v>18701.53</v>
      </c>
      <c r="L400" s="1">
        <v>5</v>
      </c>
      <c r="M400" s="1" t="s">
        <v>36</v>
      </c>
      <c r="N400" s="10" t="s">
        <v>64</v>
      </c>
    </row>
    <row r="401" spans="1:14" x14ac:dyDescent="0.25">
      <c r="A401" s="9" t="s">
        <v>972</v>
      </c>
      <c r="B401" s="2">
        <v>44957</v>
      </c>
      <c r="C401" s="1" t="s">
        <v>369</v>
      </c>
      <c r="D401" s="1" t="s">
        <v>436</v>
      </c>
      <c r="E401" s="1" t="s">
        <v>34</v>
      </c>
      <c r="F401" s="1" t="s">
        <v>18</v>
      </c>
      <c r="G401" s="1" t="s">
        <v>42</v>
      </c>
      <c r="H401" s="1" t="s">
        <v>61</v>
      </c>
      <c r="I401" s="1" t="s">
        <v>68</v>
      </c>
      <c r="J401" s="1">
        <v>6</v>
      </c>
      <c r="K401" s="3">
        <v>22493.55</v>
      </c>
      <c r="L401" s="1" t="s">
        <v>110</v>
      </c>
      <c r="M401" s="1" t="s">
        <v>36</v>
      </c>
      <c r="N401" s="10" t="s">
        <v>74</v>
      </c>
    </row>
    <row r="402" spans="1:14" x14ac:dyDescent="0.25">
      <c r="A402" s="9" t="s">
        <v>973</v>
      </c>
      <c r="B402" s="2">
        <v>45286</v>
      </c>
      <c r="C402" s="1" t="s">
        <v>974</v>
      </c>
      <c r="D402" s="1" t="s">
        <v>52</v>
      </c>
      <c r="E402" s="1" t="s">
        <v>27</v>
      </c>
      <c r="F402" s="1" t="s">
        <v>18</v>
      </c>
      <c r="G402" s="1" t="s">
        <v>42</v>
      </c>
      <c r="H402" s="1" t="s">
        <v>61</v>
      </c>
      <c r="I402" s="1" t="s">
        <v>529</v>
      </c>
      <c r="J402" s="1">
        <v>8</v>
      </c>
      <c r="K402" s="3">
        <v>30412.33</v>
      </c>
      <c r="L402" s="1">
        <v>10</v>
      </c>
      <c r="M402" s="1" t="s">
        <v>56</v>
      </c>
      <c r="N402" s="10" t="s">
        <v>37</v>
      </c>
    </row>
    <row r="403" spans="1:14" x14ac:dyDescent="0.25">
      <c r="A403" s="9" t="s">
        <v>975</v>
      </c>
      <c r="B403" s="2">
        <v>45373</v>
      </c>
      <c r="C403" s="1" t="s">
        <v>412</v>
      </c>
      <c r="D403" s="1" t="s">
        <v>87</v>
      </c>
      <c r="E403" s="1" t="s">
        <v>72</v>
      </c>
      <c r="F403" s="1" t="s">
        <v>60</v>
      </c>
      <c r="G403" s="1" t="s">
        <v>53</v>
      </c>
      <c r="H403" s="1" t="s">
        <v>54</v>
      </c>
      <c r="I403" s="1" t="s">
        <v>437</v>
      </c>
      <c r="J403" s="1">
        <v>1</v>
      </c>
      <c r="K403" s="3">
        <v>3079.84</v>
      </c>
      <c r="L403" s="1" t="s">
        <v>110</v>
      </c>
      <c r="M403" s="1" t="s">
        <v>93</v>
      </c>
      <c r="N403" s="10" t="s">
        <v>45</v>
      </c>
    </row>
    <row r="404" spans="1:14" x14ac:dyDescent="0.25">
      <c r="A404" s="9" t="s">
        <v>976</v>
      </c>
      <c r="B404" s="2">
        <v>45322</v>
      </c>
      <c r="C404" s="1" t="s">
        <v>977</v>
      </c>
      <c r="D404" s="1" t="s">
        <v>33</v>
      </c>
      <c r="E404" s="1" t="s">
        <v>17</v>
      </c>
      <c r="F404" s="1" t="s">
        <v>28</v>
      </c>
      <c r="G404" s="1" t="s">
        <v>19</v>
      </c>
      <c r="H404" s="1" t="s">
        <v>29</v>
      </c>
      <c r="I404" s="1" t="s">
        <v>96</v>
      </c>
      <c r="J404" s="1">
        <v>5</v>
      </c>
      <c r="K404" s="3">
        <v>24147.94</v>
      </c>
      <c r="L404" s="1" t="s">
        <v>110</v>
      </c>
      <c r="M404" s="1" t="s">
        <v>63</v>
      </c>
      <c r="N404" s="10" t="s">
        <v>74</v>
      </c>
    </row>
    <row r="405" spans="1:14" x14ac:dyDescent="0.25">
      <c r="A405" s="9" t="s">
        <v>978</v>
      </c>
      <c r="B405" s="2">
        <v>45226</v>
      </c>
      <c r="C405" s="1" t="s">
        <v>979</v>
      </c>
      <c r="D405" s="1" t="s">
        <v>81</v>
      </c>
      <c r="E405" s="1" t="s">
        <v>72</v>
      </c>
      <c r="F405" s="1" t="s">
        <v>88</v>
      </c>
      <c r="G405" s="1" t="s">
        <v>19</v>
      </c>
      <c r="H405" s="1" t="s">
        <v>29</v>
      </c>
      <c r="I405" s="1" t="s">
        <v>385</v>
      </c>
      <c r="J405" s="1">
        <v>10</v>
      </c>
      <c r="K405" s="3">
        <v>21156.23</v>
      </c>
      <c r="L405" s="1">
        <v>15</v>
      </c>
      <c r="M405" s="1" t="s">
        <v>93</v>
      </c>
      <c r="N405" s="10" t="s">
        <v>31</v>
      </c>
    </row>
    <row r="406" spans="1:14" x14ac:dyDescent="0.25">
      <c r="A406" s="9" t="s">
        <v>980</v>
      </c>
      <c r="B406" s="2">
        <v>45075</v>
      </c>
      <c r="C406" s="1" t="s">
        <v>981</v>
      </c>
      <c r="D406" s="1" t="s">
        <v>71</v>
      </c>
      <c r="E406" s="1" t="s">
        <v>17</v>
      </c>
      <c r="F406" s="1" t="s">
        <v>88</v>
      </c>
      <c r="G406" s="1" t="s">
        <v>19</v>
      </c>
      <c r="H406" s="1" t="s">
        <v>29</v>
      </c>
      <c r="I406" s="1" t="s">
        <v>30</v>
      </c>
      <c r="J406" s="1">
        <v>4</v>
      </c>
      <c r="K406" s="3">
        <v>6681.67</v>
      </c>
      <c r="L406" s="1">
        <v>15</v>
      </c>
      <c r="M406" s="1" t="s">
        <v>93</v>
      </c>
      <c r="N406" s="10" t="s">
        <v>74</v>
      </c>
    </row>
    <row r="407" spans="1:14" x14ac:dyDescent="0.25">
      <c r="A407" s="9" t="s">
        <v>982</v>
      </c>
      <c r="B407" s="2">
        <v>45419</v>
      </c>
      <c r="C407" s="1" t="s">
        <v>800</v>
      </c>
      <c r="D407" s="1" t="s">
        <v>52</v>
      </c>
      <c r="E407" s="1" t="s">
        <v>17</v>
      </c>
      <c r="F407" s="1" t="s">
        <v>28</v>
      </c>
      <c r="G407" s="1" t="s">
        <v>83</v>
      </c>
      <c r="H407" s="1" t="s">
        <v>43</v>
      </c>
      <c r="I407" s="1" t="s">
        <v>84</v>
      </c>
      <c r="J407" s="1">
        <v>2</v>
      </c>
      <c r="K407" s="3">
        <v>2058.86</v>
      </c>
      <c r="L407" s="1">
        <v>5</v>
      </c>
      <c r="M407" s="1" t="s">
        <v>36</v>
      </c>
      <c r="N407" s="10" t="s">
        <v>31</v>
      </c>
    </row>
    <row r="408" spans="1:14" x14ac:dyDescent="0.25">
      <c r="A408" s="9" t="s">
        <v>983</v>
      </c>
      <c r="B408" s="2">
        <v>45312</v>
      </c>
      <c r="C408" s="1" t="s">
        <v>984</v>
      </c>
      <c r="D408" s="1" t="s">
        <v>71</v>
      </c>
      <c r="E408" s="1" t="s">
        <v>27</v>
      </c>
      <c r="F408" s="1" t="s">
        <v>82</v>
      </c>
      <c r="G408" s="1" t="s">
        <v>19</v>
      </c>
      <c r="H408" s="1" t="s">
        <v>20</v>
      </c>
      <c r="I408" s="1" t="s">
        <v>263</v>
      </c>
      <c r="J408" s="1">
        <v>9</v>
      </c>
      <c r="K408" s="3">
        <v>3015.73</v>
      </c>
      <c r="L408" s="1">
        <v>15</v>
      </c>
      <c r="M408" s="1" t="s">
        <v>22</v>
      </c>
      <c r="N408" s="10" t="s">
        <v>31</v>
      </c>
    </row>
    <row r="409" spans="1:14" x14ac:dyDescent="0.25">
      <c r="A409" s="9" t="s">
        <v>985</v>
      </c>
      <c r="B409" s="2">
        <v>45053</v>
      </c>
      <c r="C409" s="1" t="s">
        <v>986</v>
      </c>
      <c r="D409" s="1" t="s">
        <v>40</v>
      </c>
      <c r="E409" s="1" t="s">
        <v>17</v>
      </c>
      <c r="F409" s="1" t="s">
        <v>88</v>
      </c>
      <c r="G409" s="1" t="s">
        <v>83</v>
      </c>
      <c r="H409" s="1" t="s">
        <v>43</v>
      </c>
      <c r="I409" s="1" t="s">
        <v>44</v>
      </c>
      <c r="J409" s="1">
        <v>5</v>
      </c>
      <c r="K409" s="3">
        <v>1584.43</v>
      </c>
      <c r="L409" s="1" t="s">
        <v>110</v>
      </c>
      <c r="M409" s="1" t="s">
        <v>22</v>
      </c>
      <c r="N409" s="10" t="s">
        <v>23</v>
      </c>
    </row>
    <row r="410" spans="1:14" x14ac:dyDescent="0.25">
      <c r="A410" s="9" t="s">
        <v>987</v>
      </c>
      <c r="B410" s="2">
        <v>45394</v>
      </c>
      <c r="C410" s="1" t="s">
        <v>988</v>
      </c>
      <c r="D410" s="1" t="s">
        <v>40</v>
      </c>
      <c r="E410" s="1" t="s">
        <v>72</v>
      </c>
      <c r="F410" s="1" t="s">
        <v>99</v>
      </c>
      <c r="G410" s="1" t="s">
        <v>19</v>
      </c>
      <c r="H410" s="1" t="s">
        <v>29</v>
      </c>
      <c r="I410" s="1" t="s">
        <v>646</v>
      </c>
      <c r="J410" s="1">
        <v>6</v>
      </c>
      <c r="K410" s="3">
        <v>9037.94</v>
      </c>
      <c r="L410" s="1">
        <v>15</v>
      </c>
      <c r="M410" s="1" t="s">
        <v>93</v>
      </c>
      <c r="N410" s="10" t="s">
        <v>64</v>
      </c>
    </row>
    <row r="411" spans="1:14" x14ac:dyDescent="0.25">
      <c r="A411" s="9" t="s">
        <v>989</v>
      </c>
      <c r="B411" s="2">
        <v>45497</v>
      </c>
      <c r="C411" s="1" t="s">
        <v>990</v>
      </c>
      <c r="D411" s="1" t="s">
        <v>147</v>
      </c>
      <c r="E411" s="1" t="s">
        <v>17</v>
      </c>
      <c r="F411" s="1" t="s">
        <v>28</v>
      </c>
      <c r="G411" s="1" t="s">
        <v>19</v>
      </c>
      <c r="H411" s="1" t="s">
        <v>20</v>
      </c>
      <c r="I411" s="1" t="s">
        <v>731</v>
      </c>
      <c r="J411" s="1">
        <v>2</v>
      </c>
      <c r="K411" s="3">
        <v>6103.31</v>
      </c>
      <c r="L411" s="1">
        <v>15</v>
      </c>
      <c r="M411" s="1" t="s">
        <v>63</v>
      </c>
      <c r="N411" s="10" t="s">
        <v>45</v>
      </c>
    </row>
    <row r="412" spans="1:14" x14ac:dyDescent="0.25">
      <c r="A412" s="9" t="s">
        <v>991</v>
      </c>
      <c r="B412" s="2">
        <v>45349</v>
      </c>
      <c r="C412" s="1" t="s">
        <v>992</v>
      </c>
      <c r="D412" s="1" t="s">
        <v>87</v>
      </c>
      <c r="E412" s="1" t="s">
        <v>27</v>
      </c>
      <c r="F412" s="1" t="s">
        <v>28</v>
      </c>
      <c r="G412" s="1" t="s">
        <v>42</v>
      </c>
      <c r="H412" s="1" t="s">
        <v>43</v>
      </c>
      <c r="I412" s="1" t="s">
        <v>100</v>
      </c>
      <c r="J412" s="1">
        <v>1</v>
      </c>
      <c r="K412" s="3">
        <v>640.91999999999996</v>
      </c>
      <c r="L412" s="1">
        <v>15</v>
      </c>
      <c r="M412" s="1" t="s">
        <v>93</v>
      </c>
      <c r="N412" s="10" t="s">
        <v>45</v>
      </c>
    </row>
    <row r="413" spans="1:14" x14ac:dyDescent="0.25">
      <c r="A413" s="9" t="s">
        <v>993</v>
      </c>
      <c r="B413" s="2">
        <v>45361</v>
      </c>
      <c r="C413" s="1" t="s">
        <v>951</v>
      </c>
      <c r="D413" s="1" t="s">
        <v>87</v>
      </c>
      <c r="E413" s="1" t="s">
        <v>41</v>
      </c>
      <c r="F413" s="1" t="s">
        <v>28</v>
      </c>
      <c r="G413" s="1" t="s">
        <v>53</v>
      </c>
      <c r="H413" s="1" t="s">
        <v>54</v>
      </c>
      <c r="I413" s="1" t="s">
        <v>518</v>
      </c>
      <c r="J413" s="1">
        <v>7</v>
      </c>
      <c r="K413" s="3">
        <v>1470.7</v>
      </c>
      <c r="L413" s="1" t="s">
        <v>110</v>
      </c>
      <c r="M413" s="1" t="s">
        <v>63</v>
      </c>
      <c r="N413" s="10" t="s">
        <v>31</v>
      </c>
    </row>
    <row r="414" spans="1:14" x14ac:dyDescent="0.25">
      <c r="A414" s="9" t="s">
        <v>994</v>
      </c>
      <c r="B414" s="2">
        <v>45278</v>
      </c>
      <c r="C414" s="1" t="s">
        <v>995</v>
      </c>
      <c r="D414" s="1" t="s">
        <v>33</v>
      </c>
      <c r="E414" s="1" t="s">
        <v>27</v>
      </c>
      <c r="F414" s="1" t="s">
        <v>18</v>
      </c>
      <c r="G414" s="1" t="s">
        <v>53</v>
      </c>
      <c r="H414" s="1" t="s">
        <v>54</v>
      </c>
      <c r="I414" s="1" t="s">
        <v>413</v>
      </c>
      <c r="J414" s="1">
        <v>5</v>
      </c>
      <c r="K414" s="3">
        <v>14228.27</v>
      </c>
      <c r="L414" s="1">
        <v>10</v>
      </c>
      <c r="M414" s="1" t="s">
        <v>63</v>
      </c>
      <c r="N414" s="10" t="s">
        <v>64</v>
      </c>
    </row>
    <row r="415" spans="1:14" x14ac:dyDescent="0.25">
      <c r="A415" s="9" t="s">
        <v>996</v>
      </c>
      <c r="B415" s="2">
        <v>45224</v>
      </c>
      <c r="C415" s="1" t="s">
        <v>825</v>
      </c>
      <c r="D415" s="1" t="s">
        <v>71</v>
      </c>
      <c r="E415" s="1" t="s">
        <v>17</v>
      </c>
      <c r="F415" s="1" t="s">
        <v>49</v>
      </c>
      <c r="G415" s="1" t="s">
        <v>19</v>
      </c>
      <c r="H415" s="1" t="s">
        <v>20</v>
      </c>
      <c r="I415" s="1" t="s">
        <v>213</v>
      </c>
      <c r="J415" s="1">
        <v>3</v>
      </c>
      <c r="K415" s="3">
        <v>13548.84</v>
      </c>
      <c r="L415" s="1" t="s">
        <v>110</v>
      </c>
      <c r="M415" s="1" t="s">
        <v>22</v>
      </c>
      <c r="N415" s="10" t="s">
        <v>74</v>
      </c>
    </row>
    <row r="416" spans="1:14" x14ac:dyDescent="0.25">
      <c r="A416" s="9" t="s">
        <v>997</v>
      </c>
      <c r="B416" s="2">
        <v>45294</v>
      </c>
      <c r="C416" s="1" t="s">
        <v>998</v>
      </c>
      <c r="D416" s="1" t="s">
        <v>26</v>
      </c>
      <c r="E416" s="1" t="s">
        <v>72</v>
      </c>
      <c r="F416" s="1" t="s">
        <v>49</v>
      </c>
      <c r="G416" s="1" t="s">
        <v>83</v>
      </c>
      <c r="H416" s="1" t="s">
        <v>43</v>
      </c>
      <c r="I416" s="1" t="s">
        <v>285</v>
      </c>
      <c r="J416" s="1">
        <v>-10</v>
      </c>
      <c r="K416" s="3">
        <v>12879.64</v>
      </c>
      <c r="L416" s="1" t="s">
        <v>110</v>
      </c>
      <c r="M416" s="1" t="s">
        <v>69</v>
      </c>
      <c r="N416" s="10" t="s">
        <v>37</v>
      </c>
    </row>
    <row r="417" spans="1:14" x14ac:dyDescent="0.25">
      <c r="A417" s="9" t="s">
        <v>999</v>
      </c>
      <c r="B417" s="2">
        <v>45363</v>
      </c>
      <c r="C417" s="1" t="s">
        <v>870</v>
      </c>
      <c r="D417" s="1" t="s">
        <v>71</v>
      </c>
      <c r="E417" s="1" t="s">
        <v>17</v>
      </c>
      <c r="F417" s="1" t="s">
        <v>82</v>
      </c>
      <c r="G417" s="1" t="s">
        <v>83</v>
      </c>
      <c r="H417" s="1" t="s">
        <v>43</v>
      </c>
      <c r="I417" s="1" t="s">
        <v>50</v>
      </c>
      <c r="J417" s="1">
        <v>10</v>
      </c>
      <c r="K417" s="3">
        <v>19317.7</v>
      </c>
      <c r="L417" s="1">
        <v>20</v>
      </c>
      <c r="M417" s="1" t="s">
        <v>93</v>
      </c>
      <c r="N417" s="10" t="s">
        <v>74</v>
      </c>
    </row>
    <row r="418" spans="1:14" x14ac:dyDescent="0.25">
      <c r="A418" s="9" t="s">
        <v>1000</v>
      </c>
      <c r="B418" s="2">
        <v>45310</v>
      </c>
      <c r="C418" s="1" t="s">
        <v>1001</v>
      </c>
      <c r="D418" s="1" t="s">
        <v>67</v>
      </c>
      <c r="E418" s="1" t="s">
        <v>72</v>
      </c>
      <c r="F418" s="1" t="s">
        <v>99</v>
      </c>
      <c r="G418" s="1" t="s">
        <v>19</v>
      </c>
      <c r="H418" s="1" t="s">
        <v>20</v>
      </c>
      <c r="I418" s="1" t="s">
        <v>230</v>
      </c>
      <c r="J418" s="1">
        <v>7</v>
      </c>
      <c r="K418" s="3">
        <v>27173.03</v>
      </c>
      <c r="L418" s="1">
        <v>5</v>
      </c>
      <c r="M418" s="1" t="s">
        <v>93</v>
      </c>
      <c r="N418" s="10" t="s">
        <v>37</v>
      </c>
    </row>
    <row r="419" spans="1:14" x14ac:dyDescent="0.25">
      <c r="A419" s="9" t="s">
        <v>1002</v>
      </c>
      <c r="B419" s="2">
        <v>44937</v>
      </c>
      <c r="C419" s="1" t="s">
        <v>208</v>
      </c>
      <c r="D419" s="1" t="s">
        <v>40</v>
      </c>
      <c r="E419" s="1" t="s">
        <v>41</v>
      </c>
      <c r="F419" s="1" t="s">
        <v>82</v>
      </c>
      <c r="G419" s="1" t="s">
        <v>19</v>
      </c>
      <c r="H419" s="1" t="s">
        <v>20</v>
      </c>
      <c r="I419" s="1" t="s">
        <v>326</v>
      </c>
      <c r="J419" s="1">
        <v>10</v>
      </c>
      <c r="K419" s="3">
        <v>30197.7</v>
      </c>
      <c r="L419" s="1">
        <v>10</v>
      </c>
      <c r="M419" s="1" t="s">
        <v>22</v>
      </c>
      <c r="N419" s="10" t="s">
        <v>74</v>
      </c>
    </row>
    <row r="420" spans="1:14" x14ac:dyDescent="0.25">
      <c r="A420" s="9" t="s">
        <v>1003</v>
      </c>
      <c r="B420" s="2">
        <v>45487</v>
      </c>
      <c r="C420" s="1" t="s">
        <v>1004</v>
      </c>
      <c r="D420" s="1" t="s">
        <v>16</v>
      </c>
      <c r="E420" s="1" t="s">
        <v>59</v>
      </c>
      <c r="F420" s="1" t="s">
        <v>18</v>
      </c>
      <c r="G420" s="1" t="s">
        <v>42</v>
      </c>
      <c r="H420" s="1" t="s">
        <v>61</v>
      </c>
      <c r="I420" s="1" t="s">
        <v>204</v>
      </c>
      <c r="J420" s="1">
        <v>9</v>
      </c>
      <c r="K420" s="3">
        <v>17902.009999999998</v>
      </c>
      <c r="L420" s="1">
        <v>10</v>
      </c>
      <c r="M420" s="1" t="s">
        <v>63</v>
      </c>
      <c r="N420" s="10" t="s">
        <v>31</v>
      </c>
    </row>
    <row r="421" spans="1:14" x14ac:dyDescent="0.25">
      <c r="A421" s="9" t="s">
        <v>1005</v>
      </c>
      <c r="B421" s="2">
        <v>44995</v>
      </c>
      <c r="C421" s="1" t="s">
        <v>992</v>
      </c>
      <c r="D421" s="1" t="s">
        <v>147</v>
      </c>
      <c r="E421" s="1" t="s">
        <v>72</v>
      </c>
      <c r="F421" s="1" t="s">
        <v>28</v>
      </c>
      <c r="G421" s="1" t="s">
        <v>83</v>
      </c>
      <c r="H421" s="1" t="s">
        <v>43</v>
      </c>
      <c r="I421" s="1" t="s">
        <v>329</v>
      </c>
      <c r="J421" s="1">
        <v>2</v>
      </c>
      <c r="K421" s="3">
        <v>9029.43</v>
      </c>
      <c r="L421" s="1">
        <v>5</v>
      </c>
      <c r="M421" s="1" t="s">
        <v>36</v>
      </c>
      <c r="N421" s="10" t="s">
        <v>74</v>
      </c>
    </row>
    <row r="422" spans="1:14" x14ac:dyDescent="0.25">
      <c r="A422" s="9" t="s">
        <v>1006</v>
      </c>
      <c r="B422" s="2">
        <v>45524</v>
      </c>
      <c r="C422" s="1" t="s">
        <v>1007</v>
      </c>
      <c r="D422" s="1" t="s">
        <v>147</v>
      </c>
      <c r="E422" s="1" t="s">
        <v>41</v>
      </c>
      <c r="F422" s="1" t="s">
        <v>49</v>
      </c>
      <c r="G422" s="1" t="s">
        <v>42</v>
      </c>
      <c r="H422" s="1" t="s">
        <v>43</v>
      </c>
      <c r="I422" s="1" t="s">
        <v>288</v>
      </c>
      <c r="J422" s="1">
        <v>4</v>
      </c>
      <c r="K422" s="3">
        <v>10760.53</v>
      </c>
      <c r="L422" s="1" t="s">
        <v>110</v>
      </c>
      <c r="M422" s="1" t="s">
        <v>36</v>
      </c>
      <c r="N422" s="10" t="s">
        <v>74</v>
      </c>
    </row>
    <row r="423" spans="1:14" x14ac:dyDescent="0.25">
      <c r="A423" s="9" t="s">
        <v>1008</v>
      </c>
      <c r="B423" s="2">
        <v>45244</v>
      </c>
      <c r="C423" s="1" t="s">
        <v>1009</v>
      </c>
      <c r="D423" s="1" t="s">
        <v>87</v>
      </c>
      <c r="E423" s="1" t="s">
        <v>17</v>
      </c>
      <c r="F423" s="1" t="s">
        <v>28</v>
      </c>
      <c r="G423" s="1" t="s">
        <v>19</v>
      </c>
      <c r="H423" s="1" t="s">
        <v>20</v>
      </c>
      <c r="I423" s="1" t="s">
        <v>193</v>
      </c>
      <c r="J423" s="1">
        <v>8</v>
      </c>
      <c r="K423" s="3">
        <v>34130.120000000003</v>
      </c>
      <c r="L423" s="1">
        <v>15</v>
      </c>
      <c r="M423" s="1" t="s">
        <v>93</v>
      </c>
      <c r="N423" s="10" t="s">
        <v>74</v>
      </c>
    </row>
    <row r="424" spans="1:14" x14ac:dyDescent="0.25">
      <c r="A424" s="9" t="s">
        <v>1010</v>
      </c>
      <c r="B424" s="2">
        <v>44990</v>
      </c>
      <c r="C424" s="1" t="s">
        <v>382</v>
      </c>
      <c r="D424" s="1" t="s">
        <v>81</v>
      </c>
      <c r="E424" s="1" t="s">
        <v>27</v>
      </c>
      <c r="F424" s="1" t="s">
        <v>28</v>
      </c>
      <c r="G424" s="1" t="s">
        <v>42</v>
      </c>
      <c r="H424" s="1" t="s">
        <v>61</v>
      </c>
      <c r="I424" s="1" t="s">
        <v>1011</v>
      </c>
      <c r="J424" s="1">
        <v>10</v>
      </c>
      <c r="K424" s="3">
        <v>29720.28</v>
      </c>
      <c r="L424" s="1">
        <v>5</v>
      </c>
      <c r="M424" s="1" t="s">
        <v>93</v>
      </c>
      <c r="N424" s="10" t="s">
        <v>37</v>
      </c>
    </row>
    <row r="425" spans="1:14" x14ac:dyDescent="0.25">
      <c r="A425" s="9" t="s">
        <v>1012</v>
      </c>
      <c r="B425" s="2">
        <v>45252</v>
      </c>
      <c r="C425" s="1" t="s">
        <v>1013</v>
      </c>
      <c r="D425" s="1" t="s">
        <v>81</v>
      </c>
      <c r="E425" s="1" t="s">
        <v>59</v>
      </c>
      <c r="F425" s="1" t="s">
        <v>28</v>
      </c>
      <c r="G425" s="1" t="s">
        <v>42</v>
      </c>
      <c r="H425" s="1" t="s">
        <v>43</v>
      </c>
      <c r="I425" s="1" t="s">
        <v>50</v>
      </c>
      <c r="J425" s="1">
        <v>2</v>
      </c>
      <c r="K425" s="3">
        <v>4582.18</v>
      </c>
      <c r="L425" s="1" t="s">
        <v>110</v>
      </c>
      <c r="M425" s="1" t="s">
        <v>69</v>
      </c>
      <c r="N425" s="10" t="s">
        <v>45</v>
      </c>
    </row>
    <row r="426" spans="1:14" x14ac:dyDescent="0.25">
      <c r="A426" s="9" t="s">
        <v>1014</v>
      </c>
      <c r="B426" s="2">
        <v>45309</v>
      </c>
      <c r="C426" s="1" t="s">
        <v>1015</v>
      </c>
      <c r="D426" s="1" t="s">
        <v>67</v>
      </c>
      <c r="E426" s="1" t="s">
        <v>34</v>
      </c>
      <c r="F426" s="1" t="s">
        <v>28</v>
      </c>
      <c r="G426" s="1" t="s">
        <v>19</v>
      </c>
      <c r="H426" s="1" t="s">
        <v>29</v>
      </c>
      <c r="I426" s="1" t="s">
        <v>220</v>
      </c>
      <c r="J426" s="1">
        <v>7</v>
      </c>
      <c r="K426" s="3">
        <v>33637.86</v>
      </c>
      <c r="L426" s="1">
        <v>15</v>
      </c>
      <c r="M426" s="1" t="s">
        <v>56</v>
      </c>
      <c r="N426" s="10" t="s">
        <v>23</v>
      </c>
    </row>
    <row r="427" spans="1:14" x14ac:dyDescent="0.25">
      <c r="A427" s="9" t="s">
        <v>1016</v>
      </c>
      <c r="B427" s="2">
        <v>45171</v>
      </c>
      <c r="C427" s="1" t="s">
        <v>1017</v>
      </c>
      <c r="D427" s="1" t="s">
        <v>71</v>
      </c>
      <c r="E427" s="1" t="s">
        <v>72</v>
      </c>
      <c r="F427" s="1" t="s">
        <v>88</v>
      </c>
      <c r="G427" s="1" t="s">
        <v>19</v>
      </c>
      <c r="H427" s="1" t="s">
        <v>20</v>
      </c>
      <c r="I427" s="1" t="s">
        <v>193</v>
      </c>
      <c r="J427" s="1">
        <v>4</v>
      </c>
      <c r="K427" s="3">
        <v>6575.14</v>
      </c>
      <c r="L427" s="1">
        <v>15</v>
      </c>
      <c r="M427" s="1" t="s">
        <v>69</v>
      </c>
      <c r="N427" s="10" t="s">
        <v>23</v>
      </c>
    </row>
    <row r="428" spans="1:14" x14ac:dyDescent="0.25">
      <c r="A428" s="9" t="s">
        <v>1018</v>
      </c>
      <c r="B428" s="2">
        <v>45463</v>
      </c>
      <c r="C428" s="1" t="s">
        <v>681</v>
      </c>
      <c r="D428" s="1" t="s">
        <v>16</v>
      </c>
      <c r="E428" s="1" t="s">
        <v>41</v>
      </c>
      <c r="F428" s="1" t="s">
        <v>28</v>
      </c>
      <c r="G428" s="1" t="s">
        <v>42</v>
      </c>
      <c r="H428" s="1" t="s">
        <v>43</v>
      </c>
      <c r="I428" s="1" t="s">
        <v>89</v>
      </c>
      <c r="J428" s="1">
        <v>4</v>
      </c>
      <c r="K428" s="3">
        <v>19776.73</v>
      </c>
      <c r="L428" s="1">
        <v>0</v>
      </c>
      <c r="M428" s="1" t="s">
        <v>93</v>
      </c>
      <c r="N428" s="10" t="s">
        <v>64</v>
      </c>
    </row>
    <row r="429" spans="1:14" x14ac:dyDescent="0.25">
      <c r="A429" s="9" t="s">
        <v>1019</v>
      </c>
      <c r="B429" s="2">
        <v>45130</v>
      </c>
      <c r="C429" s="1" t="s">
        <v>681</v>
      </c>
      <c r="D429" s="1" t="s">
        <v>147</v>
      </c>
      <c r="E429" s="1" t="s">
        <v>59</v>
      </c>
      <c r="F429" s="1" t="s">
        <v>49</v>
      </c>
      <c r="G429" s="1" t="s">
        <v>42</v>
      </c>
      <c r="H429" s="1" t="s">
        <v>61</v>
      </c>
      <c r="I429" s="1" t="s">
        <v>1020</v>
      </c>
      <c r="J429" s="1">
        <v>1</v>
      </c>
      <c r="K429" s="3">
        <v>4401.04</v>
      </c>
      <c r="L429" s="1">
        <v>0</v>
      </c>
      <c r="M429" s="1" t="s">
        <v>93</v>
      </c>
      <c r="N429" s="10" t="s">
        <v>37</v>
      </c>
    </row>
    <row r="430" spans="1:14" x14ac:dyDescent="0.25">
      <c r="A430" s="9" t="s">
        <v>1022</v>
      </c>
      <c r="B430" s="2">
        <v>45437</v>
      </c>
      <c r="C430" s="1" t="s">
        <v>1023</v>
      </c>
      <c r="D430" s="1" t="s">
        <v>67</v>
      </c>
      <c r="E430" s="1" t="s">
        <v>59</v>
      </c>
      <c r="F430" s="1" t="s">
        <v>28</v>
      </c>
      <c r="G430" s="1" t="s">
        <v>53</v>
      </c>
      <c r="H430" s="1" t="s">
        <v>54</v>
      </c>
      <c r="I430" s="1" t="s">
        <v>207</v>
      </c>
      <c r="J430" s="1">
        <v>5</v>
      </c>
      <c r="K430" s="3">
        <v>13812.07</v>
      </c>
      <c r="L430" s="1" t="s">
        <v>110</v>
      </c>
      <c r="M430" s="1" t="s">
        <v>56</v>
      </c>
      <c r="N430" s="10" t="s">
        <v>23</v>
      </c>
    </row>
    <row r="431" spans="1:14" x14ac:dyDescent="0.25">
      <c r="A431" s="9" t="s">
        <v>1024</v>
      </c>
      <c r="B431" s="2">
        <v>44949</v>
      </c>
      <c r="C431" s="1" t="s">
        <v>1025</v>
      </c>
      <c r="D431" s="1" t="s">
        <v>67</v>
      </c>
      <c r="E431" s="1" t="s">
        <v>41</v>
      </c>
      <c r="F431" s="1" t="s">
        <v>28</v>
      </c>
      <c r="G431" s="1" t="s">
        <v>19</v>
      </c>
      <c r="H431" s="1" t="s">
        <v>20</v>
      </c>
      <c r="I431" s="1" t="s">
        <v>164</v>
      </c>
      <c r="J431" s="1">
        <v>7</v>
      </c>
      <c r="K431" s="3">
        <v>26688.95</v>
      </c>
      <c r="L431" s="1">
        <v>5</v>
      </c>
      <c r="M431" s="1" t="s">
        <v>56</v>
      </c>
      <c r="N431" s="10" t="s">
        <v>74</v>
      </c>
    </row>
    <row r="432" spans="1:14" x14ac:dyDescent="0.25">
      <c r="A432" s="9" t="s">
        <v>1026</v>
      </c>
      <c r="B432" s="2">
        <v>45267</v>
      </c>
      <c r="C432" s="1" t="s">
        <v>1027</v>
      </c>
      <c r="D432" s="1" t="s">
        <v>33</v>
      </c>
      <c r="E432" s="1" t="s">
        <v>41</v>
      </c>
      <c r="F432" s="1" t="s">
        <v>28</v>
      </c>
      <c r="G432" s="1" t="s">
        <v>19</v>
      </c>
      <c r="H432" s="1" t="s">
        <v>20</v>
      </c>
      <c r="I432" s="1" t="s">
        <v>312</v>
      </c>
      <c r="J432" s="1">
        <v>8</v>
      </c>
      <c r="K432" s="3">
        <v>13273.38</v>
      </c>
      <c r="L432" s="1">
        <v>10</v>
      </c>
      <c r="M432" s="1" t="s">
        <v>56</v>
      </c>
      <c r="N432" s="10" t="s">
        <v>31</v>
      </c>
    </row>
    <row r="433" spans="1:14" x14ac:dyDescent="0.25">
      <c r="A433" s="9" t="s">
        <v>1028</v>
      </c>
      <c r="B433" s="2">
        <v>45300</v>
      </c>
      <c r="C433" s="1" t="s">
        <v>1029</v>
      </c>
      <c r="D433" s="1" t="s">
        <v>71</v>
      </c>
      <c r="E433" s="1" t="s">
        <v>17</v>
      </c>
      <c r="F433" s="1" t="s">
        <v>28</v>
      </c>
      <c r="G433" s="1" t="s">
        <v>53</v>
      </c>
      <c r="H433" s="1" t="s">
        <v>54</v>
      </c>
      <c r="I433" s="1" t="s">
        <v>558</v>
      </c>
      <c r="J433" s="1">
        <v>3</v>
      </c>
      <c r="K433" s="3">
        <v>12256.5</v>
      </c>
      <c r="L433" s="1" t="s">
        <v>110</v>
      </c>
      <c r="M433" s="1" t="s">
        <v>63</v>
      </c>
      <c r="N433" s="10" t="s">
        <v>74</v>
      </c>
    </row>
    <row r="434" spans="1:14" x14ac:dyDescent="0.25">
      <c r="A434" s="9" t="s">
        <v>1030</v>
      </c>
      <c r="B434" s="2">
        <v>45436</v>
      </c>
      <c r="C434" s="1" t="s">
        <v>1031</v>
      </c>
      <c r="D434" s="1" t="s">
        <v>52</v>
      </c>
      <c r="E434" s="1" t="s">
        <v>34</v>
      </c>
      <c r="F434" s="1" t="s">
        <v>88</v>
      </c>
      <c r="G434" s="1" t="s">
        <v>42</v>
      </c>
      <c r="H434" s="1" t="s">
        <v>61</v>
      </c>
      <c r="I434" s="1" t="s">
        <v>1020</v>
      </c>
      <c r="J434" s="1">
        <v>7</v>
      </c>
      <c r="K434" s="3">
        <v>17861.12</v>
      </c>
      <c r="L434" s="1">
        <v>0</v>
      </c>
      <c r="M434" s="1" t="s">
        <v>93</v>
      </c>
      <c r="N434" s="10" t="s">
        <v>74</v>
      </c>
    </row>
    <row r="435" spans="1:14" x14ac:dyDescent="0.25">
      <c r="A435" s="9" t="s">
        <v>1032</v>
      </c>
      <c r="B435" s="2">
        <v>45597</v>
      </c>
      <c r="C435" s="1" t="s">
        <v>546</v>
      </c>
      <c r="D435" s="1" t="s">
        <v>16</v>
      </c>
      <c r="E435" s="1" t="s">
        <v>59</v>
      </c>
      <c r="F435" s="1" t="s">
        <v>28</v>
      </c>
      <c r="G435" s="1" t="s">
        <v>83</v>
      </c>
      <c r="H435" s="1" t="s">
        <v>43</v>
      </c>
      <c r="I435" s="1" t="s">
        <v>154</v>
      </c>
      <c r="J435" s="1">
        <v>7</v>
      </c>
      <c r="K435" s="3">
        <v>10486.83</v>
      </c>
      <c r="L435" s="1">
        <v>15</v>
      </c>
      <c r="M435" s="1" t="s">
        <v>22</v>
      </c>
      <c r="N435" s="10" t="s">
        <v>45</v>
      </c>
    </row>
    <row r="436" spans="1:14" x14ac:dyDescent="0.25">
      <c r="A436" s="9" t="s">
        <v>1033</v>
      </c>
      <c r="B436" s="2">
        <v>45277</v>
      </c>
      <c r="C436" s="1" t="s">
        <v>1034</v>
      </c>
      <c r="D436" s="1" t="s">
        <v>67</v>
      </c>
      <c r="E436" s="1" t="s">
        <v>59</v>
      </c>
      <c r="F436" s="1" t="s">
        <v>60</v>
      </c>
      <c r="G436" s="1" t="s">
        <v>83</v>
      </c>
      <c r="H436" s="1" t="s">
        <v>43</v>
      </c>
      <c r="I436" s="1" t="s">
        <v>89</v>
      </c>
      <c r="J436" s="1">
        <v>4</v>
      </c>
      <c r="K436" s="3">
        <v>15611.71</v>
      </c>
      <c r="L436" s="1" t="s">
        <v>110</v>
      </c>
      <c r="M436" s="1" t="s">
        <v>36</v>
      </c>
      <c r="N436" s="10" t="s">
        <v>74</v>
      </c>
    </row>
    <row r="437" spans="1:14" x14ac:dyDescent="0.25">
      <c r="A437" s="9" t="s">
        <v>1036</v>
      </c>
      <c r="B437" s="2">
        <v>45262</v>
      </c>
      <c r="C437" s="1" t="s">
        <v>1037</v>
      </c>
      <c r="D437" s="1" t="s">
        <v>16</v>
      </c>
      <c r="E437" s="1" t="s">
        <v>72</v>
      </c>
      <c r="F437" s="1" t="s">
        <v>88</v>
      </c>
      <c r="G437" s="1" t="s">
        <v>19</v>
      </c>
      <c r="H437" s="1" t="s">
        <v>29</v>
      </c>
      <c r="I437" s="1" t="s">
        <v>35</v>
      </c>
      <c r="J437" s="1">
        <v>7</v>
      </c>
      <c r="K437" s="3">
        <v>26224.86</v>
      </c>
      <c r="L437" s="1">
        <v>20</v>
      </c>
      <c r="M437" s="1" t="s">
        <v>69</v>
      </c>
      <c r="N437" s="10" t="s">
        <v>45</v>
      </c>
    </row>
    <row r="438" spans="1:14" x14ac:dyDescent="0.25">
      <c r="A438" s="9" t="s">
        <v>1038</v>
      </c>
      <c r="B438" s="2">
        <v>45434</v>
      </c>
      <c r="C438" s="1" t="s">
        <v>1039</v>
      </c>
      <c r="D438" s="1" t="s">
        <v>67</v>
      </c>
      <c r="E438" s="1" t="s">
        <v>34</v>
      </c>
      <c r="F438" s="1" t="s">
        <v>18</v>
      </c>
      <c r="G438" s="1" t="s">
        <v>19</v>
      </c>
      <c r="H438" s="1" t="s">
        <v>29</v>
      </c>
      <c r="I438" s="1" t="s">
        <v>30</v>
      </c>
      <c r="J438" s="1">
        <v>1</v>
      </c>
      <c r="K438" s="3">
        <v>1097.3599999999999</v>
      </c>
      <c r="L438" s="1">
        <v>10</v>
      </c>
      <c r="M438" s="1" t="s">
        <v>69</v>
      </c>
      <c r="N438" s="10" t="s">
        <v>74</v>
      </c>
    </row>
    <row r="439" spans="1:14" x14ac:dyDescent="0.25">
      <c r="A439" s="9" t="s">
        <v>1040</v>
      </c>
      <c r="B439" s="2">
        <v>45228</v>
      </c>
      <c r="C439" s="1" t="s">
        <v>420</v>
      </c>
      <c r="D439" s="1" t="s">
        <v>26</v>
      </c>
      <c r="E439" s="1" t="s">
        <v>27</v>
      </c>
      <c r="F439" s="1" t="s">
        <v>18</v>
      </c>
      <c r="G439" s="1" t="s">
        <v>19</v>
      </c>
      <c r="H439" s="1" t="s">
        <v>29</v>
      </c>
      <c r="I439" s="1" t="s">
        <v>30</v>
      </c>
      <c r="J439" s="1">
        <v>1</v>
      </c>
      <c r="K439" s="3">
        <v>1629.58</v>
      </c>
      <c r="L439" s="1">
        <v>5</v>
      </c>
      <c r="M439" s="1" t="s">
        <v>93</v>
      </c>
      <c r="N439" s="10" t="s">
        <v>31</v>
      </c>
    </row>
    <row r="440" spans="1:14" x14ac:dyDescent="0.25">
      <c r="A440" s="9" t="s">
        <v>1041</v>
      </c>
      <c r="B440" s="2">
        <v>45299</v>
      </c>
      <c r="C440" s="1" t="s">
        <v>540</v>
      </c>
      <c r="D440" s="1" t="s">
        <v>26</v>
      </c>
      <c r="E440" s="1" t="s">
        <v>41</v>
      </c>
      <c r="F440" s="1" t="s">
        <v>18</v>
      </c>
      <c r="G440" s="1" t="s">
        <v>42</v>
      </c>
      <c r="H440" s="1" t="s">
        <v>61</v>
      </c>
      <c r="I440" s="1" t="s">
        <v>317</v>
      </c>
      <c r="J440" s="1">
        <v>3</v>
      </c>
      <c r="K440" s="3">
        <v>3386.76</v>
      </c>
      <c r="L440" s="1">
        <v>0</v>
      </c>
      <c r="M440" s="1" t="s">
        <v>36</v>
      </c>
      <c r="N440" s="10" t="s">
        <v>23</v>
      </c>
    </row>
    <row r="441" spans="1:14" x14ac:dyDescent="0.25">
      <c r="A441" s="9" t="s">
        <v>1042</v>
      </c>
      <c r="B441" s="2">
        <v>45357</v>
      </c>
      <c r="C441" s="1" t="s">
        <v>770</v>
      </c>
      <c r="D441" s="1" t="s">
        <v>52</v>
      </c>
      <c r="E441" s="1" t="s">
        <v>17</v>
      </c>
      <c r="F441" s="1" t="s">
        <v>18</v>
      </c>
      <c r="G441" s="1" t="s">
        <v>19</v>
      </c>
      <c r="H441" s="1" t="s">
        <v>20</v>
      </c>
      <c r="I441" s="1" t="s">
        <v>391</v>
      </c>
      <c r="J441" s="1">
        <v>10</v>
      </c>
      <c r="K441" s="3">
        <v>46749.57</v>
      </c>
      <c r="L441" s="1">
        <v>5</v>
      </c>
      <c r="M441" s="1" t="s">
        <v>93</v>
      </c>
      <c r="N441" s="10" t="s">
        <v>23</v>
      </c>
    </row>
    <row r="442" spans="1:14" x14ac:dyDescent="0.25">
      <c r="A442" s="9" t="s">
        <v>1043</v>
      </c>
      <c r="B442" s="2">
        <v>45388</v>
      </c>
      <c r="C442" s="1" t="s">
        <v>454</v>
      </c>
      <c r="D442" s="1" t="s">
        <v>26</v>
      </c>
      <c r="E442" s="1" t="s">
        <v>41</v>
      </c>
      <c r="F442" s="1" t="s">
        <v>82</v>
      </c>
      <c r="G442" s="1" t="s">
        <v>53</v>
      </c>
      <c r="H442" s="1" t="s">
        <v>54</v>
      </c>
      <c r="I442" s="1" t="s">
        <v>73</v>
      </c>
      <c r="J442" s="1">
        <v>3</v>
      </c>
      <c r="K442" s="3">
        <v>1532.73</v>
      </c>
      <c r="L442" s="1" t="s">
        <v>110</v>
      </c>
      <c r="M442" s="1" t="s">
        <v>22</v>
      </c>
      <c r="N442" s="10" t="s">
        <v>64</v>
      </c>
    </row>
    <row r="443" spans="1:14" x14ac:dyDescent="0.25">
      <c r="A443" s="9" t="s">
        <v>1044</v>
      </c>
      <c r="B443" s="2">
        <v>45650</v>
      </c>
      <c r="C443" s="1" t="s">
        <v>943</v>
      </c>
      <c r="D443" s="1" t="s">
        <v>147</v>
      </c>
      <c r="E443" s="1" t="s">
        <v>72</v>
      </c>
      <c r="F443" s="1" t="s">
        <v>88</v>
      </c>
      <c r="G443" s="1" t="s">
        <v>42</v>
      </c>
      <c r="H443" s="1" t="s">
        <v>61</v>
      </c>
      <c r="I443" s="1" t="s">
        <v>402</v>
      </c>
      <c r="J443" s="1">
        <v>7</v>
      </c>
      <c r="K443" s="3">
        <v>34769.620000000003</v>
      </c>
      <c r="L443" s="1">
        <v>5</v>
      </c>
      <c r="M443" s="1" t="s">
        <v>69</v>
      </c>
      <c r="N443" s="10" t="s">
        <v>64</v>
      </c>
    </row>
    <row r="444" spans="1:14" x14ac:dyDescent="0.25">
      <c r="A444" s="9" t="s">
        <v>1045</v>
      </c>
      <c r="B444" s="2">
        <v>45393</v>
      </c>
      <c r="C444" s="1" t="s">
        <v>1046</v>
      </c>
      <c r="D444" s="1" t="s">
        <v>81</v>
      </c>
      <c r="E444" s="1" t="s">
        <v>34</v>
      </c>
      <c r="F444" s="1" t="s">
        <v>28</v>
      </c>
      <c r="G444" s="1" t="s">
        <v>53</v>
      </c>
      <c r="H444" s="1" t="s">
        <v>54</v>
      </c>
      <c r="I444" s="1" t="s">
        <v>170</v>
      </c>
      <c r="J444" s="1">
        <v>10</v>
      </c>
      <c r="K444" s="3">
        <v>49320.9</v>
      </c>
      <c r="L444" s="1">
        <v>5</v>
      </c>
      <c r="M444" s="1" t="s">
        <v>22</v>
      </c>
      <c r="N444" s="10" t="s">
        <v>31</v>
      </c>
    </row>
    <row r="445" spans="1:14" x14ac:dyDescent="0.25">
      <c r="A445" s="9" t="s">
        <v>1047</v>
      </c>
      <c r="B445" s="2">
        <v>45640</v>
      </c>
      <c r="C445" s="1" t="s">
        <v>1048</v>
      </c>
      <c r="D445" s="1" t="s">
        <v>52</v>
      </c>
      <c r="E445" s="1" t="s">
        <v>27</v>
      </c>
      <c r="F445" s="1" t="s">
        <v>49</v>
      </c>
      <c r="G445" s="1" t="s">
        <v>42</v>
      </c>
      <c r="H445" s="1" t="s">
        <v>43</v>
      </c>
      <c r="I445" s="1" t="s">
        <v>182</v>
      </c>
      <c r="J445" s="1">
        <v>1</v>
      </c>
      <c r="K445" s="3">
        <v>1361.64</v>
      </c>
      <c r="L445" s="1">
        <v>5</v>
      </c>
      <c r="M445" s="1" t="s">
        <v>69</v>
      </c>
      <c r="N445" s="10" t="s">
        <v>37</v>
      </c>
    </row>
    <row r="446" spans="1:14" x14ac:dyDescent="0.25">
      <c r="A446" s="9" t="s">
        <v>1049</v>
      </c>
      <c r="B446" s="2">
        <v>45225</v>
      </c>
      <c r="C446" s="1" t="s">
        <v>1050</v>
      </c>
      <c r="D446" s="1" t="s">
        <v>26</v>
      </c>
      <c r="E446" s="1" t="s">
        <v>72</v>
      </c>
      <c r="F446" s="1" t="s">
        <v>88</v>
      </c>
      <c r="G446" s="1" t="s">
        <v>83</v>
      </c>
      <c r="H446" s="1" t="s">
        <v>43</v>
      </c>
      <c r="I446" s="1" t="s">
        <v>244</v>
      </c>
      <c r="J446" s="1">
        <v>3</v>
      </c>
      <c r="K446" s="3">
        <v>5139.99</v>
      </c>
      <c r="L446" s="1">
        <v>20</v>
      </c>
      <c r="M446" s="1" t="s">
        <v>56</v>
      </c>
      <c r="N446" s="10" t="s">
        <v>74</v>
      </c>
    </row>
    <row r="447" spans="1:14" x14ac:dyDescent="0.25">
      <c r="A447" s="9" t="s">
        <v>1051</v>
      </c>
      <c r="B447" s="2">
        <v>45026</v>
      </c>
      <c r="C447" s="1" t="s">
        <v>1052</v>
      </c>
      <c r="D447" s="1" t="s">
        <v>147</v>
      </c>
      <c r="E447" s="1" t="s">
        <v>59</v>
      </c>
      <c r="F447" s="1" t="s">
        <v>18</v>
      </c>
      <c r="G447" s="1" t="s">
        <v>53</v>
      </c>
      <c r="H447" s="1" t="s">
        <v>54</v>
      </c>
      <c r="I447" s="1" t="s">
        <v>1053</v>
      </c>
      <c r="J447" s="1">
        <v>7</v>
      </c>
      <c r="K447" s="3">
        <v>1965.5</v>
      </c>
      <c r="L447" s="1" t="s">
        <v>110</v>
      </c>
      <c r="M447" s="1" t="s">
        <v>93</v>
      </c>
      <c r="N447" s="10" t="s">
        <v>23</v>
      </c>
    </row>
    <row r="448" spans="1:14" x14ac:dyDescent="0.25">
      <c r="A448" s="9" t="s">
        <v>1054</v>
      </c>
      <c r="B448" s="2">
        <v>45149</v>
      </c>
      <c r="C448" s="1" t="s">
        <v>1055</v>
      </c>
      <c r="D448" s="1" t="s">
        <v>71</v>
      </c>
      <c r="E448" s="1" t="s">
        <v>41</v>
      </c>
      <c r="F448" s="1" t="s">
        <v>82</v>
      </c>
      <c r="G448" s="1" t="s">
        <v>42</v>
      </c>
      <c r="H448" s="1" t="s">
        <v>61</v>
      </c>
      <c r="I448" s="1" t="s">
        <v>402</v>
      </c>
      <c r="J448" s="1">
        <v>2</v>
      </c>
      <c r="K448" s="3">
        <v>7159.18</v>
      </c>
      <c r="L448" s="1">
        <v>20</v>
      </c>
      <c r="M448" s="1" t="s">
        <v>69</v>
      </c>
      <c r="N448" s="10" t="s">
        <v>23</v>
      </c>
    </row>
    <row r="449" spans="1:14" x14ac:dyDescent="0.25">
      <c r="A449" s="9" t="s">
        <v>1056</v>
      </c>
      <c r="B449" s="2">
        <v>45355</v>
      </c>
      <c r="C449" s="1" t="s">
        <v>367</v>
      </c>
      <c r="D449" s="1" t="s">
        <v>26</v>
      </c>
      <c r="E449" s="1" t="s">
        <v>59</v>
      </c>
      <c r="F449" s="1" t="s">
        <v>99</v>
      </c>
      <c r="G449" s="1" t="s">
        <v>42</v>
      </c>
      <c r="H449" s="1" t="s">
        <v>43</v>
      </c>
      <c r="I449" s="1" t="s">
        <v>89</v>
      </c>
      <c r="J449" s="1">
        <v>1</v>
      </c>
      <c r="K449" s="3">
        <v>3127.09</v>
      </c>
      <c r="L449" s="1">
        <v>20</v>
      </c>
      <c r="M449" s="1" t="s">
        <v>69</v>
      </c>
      <c r="N449" s="10" t="s">
        <v>23</v>
      </c>
    </row>
    <row r="450" spans="1:14" x14ac:dyDescent="0.25">
      <c r="A450" s="9" t="s">
        <v>1057</v>
      </c>
      <c r="B450" s="2">
        <v>45406</v>
      </c>
      <c r="C450" s="1" t="s">
        <v>1058</v>
      </c>
      <c r="D450" s="1" t="s">
        <v>378</v>
      </c>
      <c r="E450" s="1" t="s">
        <v>59</v>
      </c>
      <c r="F450" s="1" t="s">
        <v>49</v>
      </c>
      <c r="G450" s="1" t="s">
        <v>19</v>
      </c>
      <c r="H450" s="1" t="s">
        <v>29</v>
      </c>
      <c r="I450" s="1" t="s">
        <v>320</v>
      </c>
      <c r="J450" s="1">
        <v>3</v>
      </c>
      <c r="K450" s="3">
        <v>3601.17</v>
      </c>
      <c r="L450" s="1">
        <v>20</v>
      </c>
      <c r="M450" s="1" t="s">
        <v>69</v>
      </c>
      <c r="N450" s="10" t="s">
        <v>31</v>
      </c>
    </row>
    <row r="451" spans="1:14" x14ac:dyDescent="0.25">
      <c r="A451" s="9" t="s">
        <v>1059</v>
      </c>
      <c r="B451" s="2">
        <v>45259</v>
      </c>
      <c r="C451" s="1" t="s">
        <v>1060</v>
      </c>
      <c r="D451" s="1" t="s">
        <v>16</v>
      </c>
      <c r="E451" s="1" t="s">
        <v>27</v>
      </c>
      <c r="F451" s="1" t="s">
        <v>82</v>
      </c>
      <c r="G451" s="1" t="s">
        <v>53</v>
      </c>
      <c r="H451" s="1" t="s">
        <v>54</v>
      </c>
      <c r="I451" s="1" t="s">
        <v>554</v>
      </c>
      <c r="J451" s="1">
        <v>10</v>
      </c>
      <c r="K451" s="3">
        <v>27760.01</v>
      </c>
      <c r="L451" s="1">
        <v>10</v>
      </c>
      <c r="M451" s="1" t="s">
        <v>93</v>
      </c>
      <c r="N451" s="10" t="s">
        <v>23</v>
      </c>
    </row>
    <row r="452" spans="1:14" x14ac:dyDescent="0.25">
      <c r="A452" s="9" t="s">
        <v>1061</v>
      </c>
      <c r="B452" s="2">
        <v>45010</v>
      </c>
      <c r="C452" s="1" t="s">
        <v>1062</v>
      </c>
      <c r="D452" s="1" t="s">
        <v>81</v>
      </c>
      <c r="E452" s="1" t="s">
        <v>34</v>
      </c>
      <c r="F452" s="1" t="s">
        <v>28</v>
      </c>
      <c r="G452" s="1" t="s">
        <v>19</v>
      </c>
      <c r="H452" s="1" t="s">
        <v>20</v>
      </c>
      <c r="I452" s="1" t="s">
        <v>193</v>
      </c>
      <c r="J452" s="1">
        <v>8</v>
      </c>
      <c r="K452" s="3">
        <v>14787.41</v>
      </c>
      <c r="L452" s="1" t="s">
        <v>110</v>
      </c>
      <c r="M452" s="1" t="s">
        <v>69</v>
      </c>
      <c r="N452" s="10" t="s">
        <v>23</v>
      </c>
    </row>
    <row r="453" spans="1:14" x14ac:dyDescent="0.25">
      <c r="A453" s="9" t="s">
        <v>1063</v>
      </c>
      <c r="B453" s="2">
        <v>44956</v>
      </c>
      <c r="C453" s="1" t="s">
        <v>1064</v>
      </c>
      <c r="D453" s="1" t="s">
        <v>71</v>
      </c>
      <c r="E453" s="1" t="s">
        <v>59</v>
      </c>
      <c r="F453" s="1" t="s">
        <v>49</v>
      </c>
      <c r="G453" s="1" t="s">
        <v>83</v>
      </c>
      <c r="H453" s="1" t="s">
        <v>43</v>
      </c>
      <c r="I453" s="1" t="s">
        <v>244</v>
      </c>
      <c r="J453" s="1">
        <v>9</v>
      </c>
      <c r="K453" s="3">
        <v>27556.06</v>
      </c>
      <c r="L453" s="1">
        <v>0</v>
      </c>
      <c r="M453" s="1" t="s">
        <v>22</v>
      </c>
      <c r="N453" s="10" t="s">
        <v>74</v>
      </c>
    </row>
    <row r="454" spans="1:14" x14ac:dyDescent="0.25">
      <c r="A454" s="9" t="s">
        <v>1067</v>
      </c>
      <c r="B454" s="2">
        <v>45390</v>
      </c>
      <c r="C454" s="1" t="s">
        <v>262</v>
      </c>
      <c r="D454" s="1" t="s">
        <v>16</v>
      </c>
      <c r="E454" s="1" t="s">
        <v>59</v>
      </c>
      <c r="F454" s="1" t="s">
        <v>82</v>
      </c>
      <c r="G454" s="1" t="s">
        <v>19</v>
      </c>
      <c r="H454" s="1" t="s">
        <v>29</v>
      </c>
      <c r="I454" s="1" t="s">
        <v>113</v>
      </c>
      <c r="J454" s="1">
        <v>5</v>
      </c>
      <c r="K454" s="3">
        <v>4944.21</v>
      </c>
      <c r="L454" s="1" t="s">
        <v>110</v>
      </c>
      <c r="M454" s="1" t="s">
        <v>36</v>
      </c>
      <c r="N454" s="10" t="s">
        <v>74</v>
      </c>
    </row>
    <row r="455" spans="1:14" x14ac:dyDescent="0.25">
      <c r="A455" s="9" t="s">
        <v>1068</v>
      </c>
      <c r="B455" s="2">
        <v>45082</v>
      </c>
      <c r="C455" s="1" t="s">
        <v>216</v>
      </c>
      <c r="D455" s="1" t="s">
        <v>147</v>
      </c>
      <c r="E455" s="1" t="s">
        <v>41</v>
      </c>
      <c r="F455" s="1" t="s">
        <v>99</v>
      </c>
      <c r="G455" s="1" t="s">
        <v>42</v>
      </c>
      <c r="H455" s="1" t="s">
        <v>61</v>
      </c>
      <c r="I455" s="1" t="s">
        <v>587</v>
      </c>
      <c r="J455" s="1">
        <v>9</v>
      </c>
      <c r="K455" s="3">
        <v>11830.34</v>
      </c>
      <c r="L455" s="1">
        <v>10</v>
      </c>
      <c r="M455" s="1" t="s">
        <v>69</v>
      </c>
      <c r="N455" s="10" t="s">
        <v>37</v>
      </c>
    </row>
    <row r="456" spans="1:14" x14ac:dyDescent="0.25">
      <c r="A456" s="9" t="s">
        <v>1070</v>
      </c>
      <c r="B456" s="2">
        <v>45325</v>
      </c>
      <c r="C456" s="1" t="s">
        <v>1071</v>
      </c>
      <c r="D456" s="1" t="s">
        <v>71</v>
      </c>
      <c r="E456" s="1" t="s">
        <v>27</v>
      </c>
      <c r="F456" s="1" t="s">
        <v>28</v>
      </c>
      <c r="G456" s="1" t="s">
        <v>83</v>
      </c>
      <c r="H456" s="1" t="s">
        <v>43</v>
      </c>
      <c r="I456" s="1" t="s">
        <v>182</v>
      </c>
      <c r="J456" s="1">
        <v>9</v>
      </c>
      <c r="K456" s="3">
        <v>40136.86</v>
      </c>
      <c r="L456" s="1">
        <v>5</v>
      </c>
      <c r="M456" s="1" t="s">
        <v>93</v>
      </c>
      <c r="N456" s="10" t="s">
        <v>74</v>
      </c>
    </row>
    <row r="457" spans="1:14" x14ac:dyDescent="0.25">
      <c r="A457" s="9" t="s">
        <v>1072</v>
      </c>
      <c r="B457" s="2">
        <v>45273</v>
      </c>
      <c r="C457" s="1" t="s">
        <v>1073</v>
      </c>
      <c r="D457" s="1" t="s">
        <v>87</v>
      </c>
      <c r="E457" s="1" t="s">
        <v>41</v>
      </c>
      <c r="F457" s="1" t="s">
        <v>28</v>
      </c>
      <c r="G457" s="1" t="s">
        <v>42</v>
      </c>
      <c r="H457" s="1" t="s">
        <v>43</v>
      </c>
      <c r="I457" s="1" t="s">
        <v>323</v>
      </c>
      <c r="J457" s="1">
        <v>10</v>
      </c>
      <c r="K457" s="3">
        <v>40211.410000000003</v>
      </c>
      <c r="L457" s="1">
        <v>20</v>
      </c>
      <c r="M457" s="1" t="s">
        <v>93</v>
      </c>
      <c r="N457" s="10" t="s">
        <v>45</v>
      </c>
    </row>
    <row r="458" spans="1:14" x14ac:dyDescent="0.25">
      <c r="A458" s="9" t="s">
        <v>1074</v>
      </c>
      <c r="B458" s="2">
        <v>45095</v>
      </c>
      <c r="C458" s="1" t="s">
        <v>800</v>
      </c>
      <c r="D458" s="1" t="s">
        <v>52</v>
      </c>
      <c r="E458" s="1" t="s">
        <v>34</v>
      </c>
      <c r="F458" s="1" t="s">
        <v>28</v>
      </c>
      <c r="G458" s="1" t="s">
        <v>53</v>
      </c>
      <c r="H458" s="1" t="s">
        <v>54</v>
      </c>
      <c r="I458" s="1" t="s">
        <v>639</v>
      </c>
      <c r="J458" s="1">
        <v>7</v>
      </c>
      <c r="K458" s="3">
        <v>15425.21</v>
      </c>
      <c r="L458" s="1">
        <v>10</v>
      </c>
      <c r="M458" s="1" t="s">
        <v>93</v>
      </c>
      <c r="N458" s="10" t="s">
        <v>74</v>
      </c>
    </row>
    <row r="459" spans="1:14" x14ac:dyDescent="0.25">
      <c r="A459" s="9" t="s">
        <v>1075</v>
      </c>
      <c r="B459" s="2">
        <v>45512</v>
      </c>
      <c r="C459" s="1" t="s">
        <v>1076</v>
      </c>
      <c r="D459" s="1" t="s">
        <v>33</v>
      </c>
      <c r="E459" s="1" t="s">
        <v>41</v>
      </c>
      <c r="F459" s="1" t="s">
        <v>49</v>
      </c>
      <c r="G459" s="1" t="s">
        <v>19</v>
      </c>
      <c r="H459" s="1" t="s">
        <v>29</v>
      </c>
      <c r="I459" s="1" t="s">
        <v>693</v>
      </c>
      <c r="J459" s="1">
        <v>8</v>
      </c>
      <c r="K459" s="3">
        <v>30439.55</v>
      </c>
      <c r="L459" s="1">
        <v>0</v>
      </c>
      <c r="M459" s="1" t="s">
        <v>56</v>
      </c>
      <c r="N459" s="10" t="s">
        <v>31</v>
      </c>
    </row>
    <row r="460" spans="1:14" x14ac:dyDescent="0.25">
      <c r="A460" s="9" t="s">
        <v>1077</v>
      </c>
      <c r="B460" s="2">
        <v>45327</v>
      </c>
      <c r="C460" s="1" t="s">
        <v>557</v>
      </c>
      <c r="D460" s="1" t="s">
        <v>67</v>
      </c>
      <c r="E460" s="1" t="s">
        <v>17</v>
      </c>
      <c r="F460" s="1" t="s">
        <v>82</v>
      </c>
      <c r="G460" s="1" t="s">
        <v>19</v>
      </c>
      <c r="H460" s="1" t="s">
        <v>20</v>
      </c>
      <c r="I460" s="1" t="s">
        <v>187</v>
      </c>
      <c r="J460" s="1">
        <v>3</v>
      </c>
      <c r="K460" s="3">
        <v>6630.97</v>
      </c>
      <c r="L460" s="1">
        <v>5</v>
      </c>
      <c r="M460" s="1" t="s">
        <v>63</v>
      </c>
      <c r="N460" s="10" t="s">
        <v>37</v>
      </c>
    </row>
    <row r="461" spans="1:14" x14ac:dyDescent="0.25">
      <c r="A461" s="9" t="s">
        <v>1078</v>
      </c>
      <c r="B461" s="2">
        <v>45081</v>
      </c>
      <c r="C461" s="1" t="s">
        <v>483</v>
      </c>
      <c r="D461" s="1" t="s">
        <v>40</v>
      </c>
      <c r="E461" s="1" t="s">
        <v>34</v>
      </c>
      <c r="F461" s="1" t="s">
        <v>60</v>
      </c>
      <c r="G461" s="1" t="s">
        <v>83</v>
      </c>
      <c r="H461" s="1" t="s">
        <v>43</v>
      </c>
      <c r="I461" s="1" t="s">
        <v>323</v>
      </c>
      <c r="J461" s="1">
        <v>1</v>
      </c>
      <c r="K461" s="3">
        <v>2671.35</v>
      </c>
      <c r="L461" s="1" t="s">
        <v>110</v>
      </c>
      <c r="M461" s="1" t="s">
        <v>36</v>
      </c>
      <c r="N461" s="10" t="s">
        <v>37</v>
      </c>
    </row>
    <row r="462" spans="1:14" x14ac:dyDescent="0.25">
      <c r="A462" s="9" t="s">
        <v>1079</v>
      </c>
      <c r="B462" s="2">
        <v>44990</v>
      </c>
      <c r="C462" s="1" t="s">
        <v>1080</v>
      </c>
      <c r="D462" s="1" t="s">
        <v>147</v>
      </c>
      <c r="E462" s="1" t="s">
        <v>27</v>
      </c>
      <c r="F462" s="1" t="s">
        <v>99</v>
      </c>
      <c r="G462" s="1" t="s">
        <v>83</v>
      </c>
      <c r="H462" s="1" t="s">
        <v>43</v>
      </c>
      <c r="I462" s="1" t="s">
        <v>467</v>
      </c>
      <c r="J462" s="1">
        <v>7</v>
      </c>
      <c r="K462" s="3">
        <v>18510.36</v>
      </c>
      <c r="L462" s="1">
        <v>0</v>
      </c>
      <c r="M462" s="1" t="s">
        <v>63</v>
      </c>
      <c r="N462" s="10" t="s">
        <v>64</v>
      </c>
    </row>
    <row r="463" spans="1:14" x14ac:dyDescent="0.25">
      <c r="A463" s="9" t="s">
        <v>1081</v>
      </c>
      <c r="B463" s="2">
        <v>45349</v>
      </c>
      <c r="C463" s="1" t="s">
        <v>797</v>
      </c>
      <c r="D463" s="1" t="s">
        <v>33</v>
      </c>
      <c r="E463" s="1" t="s">
        <v>17</v>
      </c>
      <c r="F463" s="1" t="s">
        <v>18</v>
      </c>
      <c r="G463" s="1" t="s">
        <v>19</v>
      </c>
      <c r="H463" s="1" t="s">
        <v>29</v>
      </c>
      <c r="I463" s="1" t="s">
        <v>162</v>
      </c>
      <c r="J463" s="1">
        <v>6</v>
      </c>
      <c r="K463" s="3">
        <v>24592.35</v>
      </c>
      <c r="L463" s="1">
        <v>15</v>
      </c>
      <c r="M463" s="1" t="s">
        <v>36</v>
      </c>
      <c r="N463" s="10" t="s">
        <v>31</v>
      </c>
    </row>
    <row r="464" spans="1:14" x14ac:dyDescent="0.25">
      <c r="A464" s="9" t="s">
        <v>1082</v>
      </c>
      <c r="B464" s="2">
        <v>44927</v>
      </c>
      <c r="C464" s="1" t="s">
        <v>1083</v>
      </c>
      <c r="D464" s="1" t="s">
        <v>40</v>
      </c>
      <c r="E464" s="1" t="s">
        <v>27</v>
      </c>
      <c r="F464" s="1" t="s">
        <v>82</v>
      </c>
      <c r="G464" s="1" t="s">
        <v>42</v>
      </c>
      <c r="H464" s="1" t="s">
        <v>61</v>
      </c>
      <c r="I464" s="1" t="s">
        <v>247</v>
      </c>
      <c r="J464" s="1">
        <v>7</v>
      </c>
      <c r="K464" s="3">
        <v>12892.91</v>
      </c>
      <c r="L464" s="1">
        <v>0</v>
      </c>
      <c r="M464" s="1" t="s">
        <v>22</v>
      </c>
      <c r="N464" s="10" t="s">
        <v>45</v>
      </c>
    </row>
    <row r="465" spans="1:14" x14ac:dyDescent="0.25">
      <c r="A465" s="9" t="s">
        <v>1084</v>
      </c>
      <c r="B465" s="2">
        <v>45217</v>
      </c>
      <c r="C465" s="1" t="s">
        <v>1085</v>
      </c>
      <c r="D465" s="1" t="s">
        <v>87</v>
      </c>
      <c r="E465" s="1" t="s">
        <v>27</v>
      </c>
      <c r="F465" s="1" t="s">
        <v>18</v>
      </c>
      <c r="G465" s="1" t="s">
        <v>83</v>
      </c>
      <c r="H465" s="1" t="s">
        <v>43</v>
      </c>
      <c r="I465" s="1" t="s">
        <v>329</v>
      </c>
      <c r="J465" s="1">
        <v>6</v>
      </c>
      <c r="K465" s="3">
        <v>11677.02</v>
      </c>
      <c r="L465" s="1">
        <v>15</v>
      </c>
      <c r="M465" s="1" t="s">
        <v>69</v>
      </c>
      <c r="N465" s="10" t="s">
        <v>31</v>
      </c>
    </row>
    <row r="466" spans="1:14" x14ac:dyDescent="0.25">
      <c r="A466" s="9" t="s">
        <v>1086</v>
      </c>
      <c r="B466" s="2">
        <v>44975</v>
      </c>
      <c r="C466" s="1" t="s">
        <v>393</v>
      </c>
      <c r="D466" s="1" t="s">
        <v>81</v>
      </c>
      <c r="E466" s="1" t="s">
        <v>41</v>
      </c>
      <c r="F466" s="1" t="s">
        <v>82</v>
      </c>
      <c r="G466" s="1" t="s">
        <v>19</v>
      </c>
      <c r="H466" s="1" t="s">
        <v>29</v>
      </c>
      <c r="I466" s="1" t="s">
        <v>220</v>
      </c>
      <c r="J466" s="1">
        <v>5</v>
      </c>
      <c r="K466" s="3">
        <v>9405.7999999999993</v>
      </c>
      <c r="L466" s="1">
        <v>20</v>
      </c>
      <c r="M466" s="1" t="s">
        <v>63</v>
      </c>
      <c r="N466" s="10" t="s">
        <v>45</v>
      </c>
    </row>
    <row r="467" spans="1:14" x14ac:dyDescent="0.25">
      <c r="A467" s="9" t="s">
        <v>1087</v>
      </c>
      <c r="B467" s="2">
        <v>45409</v>
      </c>
      <c r="C467" s="1" t="s">
        <v>873</v>
      </c>
      <c r="D467" s="1" t="s">
        <v>67</v>
      </c>
      <c r="E467" s="1" t="s">
        <v>34</v>
      </c>
      <c r="F467" s="1" t="s">
        <v>49</v>
      </c>
      <c r="G467" s="1" t="s">
        <v>53</v>
      </c>
      <c r="H467" s="1" t="s">
        <v>54</v>
      </c>
      <c r="I467" s="1" t="s">
        <v>427</v>
      </c>
      <c r="J467" s="1">
        <v>7</v>
      </c>
      <c r="K467" s="3">
        <v>20183.11</v>
      </c>
      <c r="L467" s="1" t="s">
        <v>110</v>
      </c>
      <c r="M467" s="1" t="s">
        <v>93</v>
      </c>
      <c r="N467" s="10" t="s">
        <v>45</v>
      </c>
    </row>
    <row r="468" spans="1:14" x14ac:dyDescent="0.25">
      <c r="A468" s="9" t="s">
        <v>1088</v>
      </c>
      <c r="B468" s="2">
        <v>45260</v>
      </c>
      <c r="C468" s="1" t="s">
        <v>1060</v>
      </c>
      <c r="D468" s="1" t="s">
        <v>52</v>
      </c>
      <c r="E468" s="1" t="s">
        <v>17</v>
      </c>
      <c r="F468" s="1" t="s">
        <v>18</v>
      </c>
      <c r="G468" s="1" t="s">
        <v>19</v>
      </c>
      <c r="H468" s="1" t="s">
        <v>29</v>
      </c>
      <c r="I468" s="1" t="s">
        <v>635</v>
      </c>
      <c r="J468" s="1">
        <v>9</v>
      </c>
      <c r="K468" s="3">
        <v>35986.46</v>
      </c>
      <c r="L468" s="1">
        <v>5</v>
      </c>
      <c r="M468" s="1" t="s">
        <v>22</v>
      </c>
      <c r="N468" s="10" t="s">
        <v>23</v>
      </c>
    </row>
    <row r="469" spans="1:14" x14ac:dyDescent="0.25">
      <c r="A469" s="9" t="s">
        <v>1089</v>
      </c>
      <c r="B469" s="2">
        <v>45219</v>
      </c>
      <c r="C469" s="1" t="s">
        <v>908</v>
      </c>
      <c r="D469" s="1" t="s">
        <v>81</v>
      </c>
      <c r="E469" s="1" t="s">
        <v>41</v>
      </c>
      <c r="F469" s="1" t="s">
        <v>49</v>
      </c>
      <c r="G469" s="1" t="s">
        <v>83</v>
      </c>
      <c r="H469" s="1" t="s">
        <v>43</v>
      </c>
      <c r="I469" s="1" t="s">
        <v>258</v>
      </c>
      <c r="J469" s="1">
        <v>9</v>
      </c>
      <c r="K469" s="3">
        <v>3757.04</v>
      </c>
      <c r="L469" s="1">
        <v>15</v>
      </c>
      <c r="M469" s="1" t="s">
        <v>69</v>
      </c>
      <c r="N469" s="10" t="s">
        <v>37</v>
      </c>
    </row>
    <row r="470" spans="1:14" x14ac:dyDescent="0.25">
      <c r="A470" s="9" t="s">
        <v>1090</v>
      </c>
      <c r="B470" s="2">
        <v>45219</v>
      </c>
      <c r="C470" s="1" t="s">
        <v>1091</v>
      </c>
      <c r="D470" s="1" t="s">
        <v>40</v>
      </c>
      <c r="E470" s="1" t="s">
        <v>17</v>
      </c>
      <c r="F470" s="1" t="s">
        <v>88</v>
      </c>
      <c r="G470" s="1" t="s">
        <v>53</v>
      </c>
      <c r="H470" s="1" t="s">
        <v>54</v>
      </c>
      <c r="I470" s="1" t="s">
        <v>308</v>
      </c>
      <c r="J470" s="1">
        <v>4</v>
      </c>
      <c r="K470" s="3">
        <v>7396.4</v>
      </c>
      <c r="L470" s="1">
        <v>10</v>
      </c>
      <c r="M470" s="1" t="s">
        <v>56</v>
      </c>
      <c r="N470" s="10" t="s">
        <v>37</v>
      </c>
    </row>
    <row r="471" spans="1:14" x14ac:dyDescent="0.25">
      <c r="A471" s="9" t="s">
        <v>1092</v>
      </c>
      <c r="B471" s="2">
        <v>45044</v>
      </c>
      <c r="C471" s="1" t="s">
        <v>729</v>
      </c>
      <c r="D471" s="1" t="s">
        <v>71</v>
      </c>
      <c r="E471" s="1" t="s">
        <v>27</v>
      </c>
      <c r="F471" s="1" t="s">
        <v>18</v>
      </c>
      <c r="G471" s="1" t="s">
        <v>19</v>
      </c>
      <c r="H471" s="1" t="s">
        <v>20</v>
      </c>
      <c r="I471" s="1" t="s">
        <v>263</v>
      </c>
      <c r="J471" s="1">
        <v>7</v>
      </c>
      <c r="K471" s="3">
        <v>30306.38</v>
      </c>
      <c r="L471" s="1" t="s">
        <v>110</v>
      </c>
      <c r="M471" s="1" t="s">
        <v>22</v>
      </c>
      <c r="N471" s="10" t="s">
        <v>31</v>
      </c>
    </row>
    <row r="472" spans="1:14" x14ac:dyDescent="0.25">
      <c r="A472" s="9" t="s">
        <v>1093</v>
      </c>
      <c r="B472" s="2">
        <v>45151</v>
      </c>
      <c r="C472" s="1" t="s">
        <v>1094</v>
      </c>
      <c r="D472" s="1" t="s">
        <v>87</v>
      </c>
      <c r="E472" s="1" t="s">
        <v>27</v>
      </c>
      <c r="F472" s="1" t="s">
        <v>88</v>
      </c>
      <c r="G472" s="1" t="s">
        <v>19</v>
      </c>
      <c r="H472" s="1" t="s">
        <v>20</v>
      </c>
      <c r="I472" s="1" t="s">
        <v>583</v>
      </c>
      <c r="J472" s="1">
        <v>1</v>
      </c>
      <c r="K472" s="3">
        <v>4913.01</v>
      </c>
      <c r="L472" s="1">
        <v>15</v>
      </c>
      <c r="M472" s="1" t="s">
        <v>56</v>
      </c>
      <c r="N472" s="10" t="s">
        <v>64</v>
      </c>
    </row>
    <row r="473" spans="1:14" x14ac:dyDescent="0.25">
      <c r="A473" s="9" t="s">
        <v>1095</v>
      </c>
      <c r="B473" s="2">
        <v>45430</v>
      </c>
      <c r="C473" s="1" t="s">
        <v>172</v>
      </c>
      <c r="D473" s="1" t="s">
        <v>67</v>
      </c>
      <c r="E473" s="1" t="s">
        <v>41</v>
      </c>
      <c r="F473" s="1" t="s">
        <v>99</v>
      </c>
      <c r="G473" s="1" t="s">
        <v>53</v>
      </c>
      <c r="H473" s="1" t="s">
        <v>54</v>
      </c>
      <c r="I473" s="1" t="s">
        <v>236</v>
      </c>
      <c r="J473" s="1">
        <v>6</v>
      </c>
      <c r="K473" s="3">
        <v>10466.64</v>
      </c>
      <c r="L473" s="1">
        <v>0</v>
      </c>
      <c r="M473" s="1" t="s">
        <v>93</v>
      </c>
      <c r="N473" s="10" t="s">
        <v>74</v>
      </c>
    </row>
    <row r="474" spans="1:14" x14ac:dyDescent="0.25">
      <c r="A474" s="9" t="s">
        <v>1097</v>
      </c>
      <c r="B474" s="2">
        <v>45020</v>
      </c>
      <c r="C474" s="1" t="s">
        <v>1098</v>
      </c>
      <c r="D474" s="1" t="s">
        <v>71</v>
      </c>
      <c r="E474" s="1" t="s">
        <v>41</v>
      </c>
      <c r="F474" s="1" t="s">
        <v>82</v>
      </c>
      <c r="G474" s="1" t="s">
        <v>83</v>
      </c>
      <c r="H474" s="1" t="s">
        <v>43</v>
      </c>
      <c r="I474" s="1" t="s">
        <v>50</v>
      </c>
      <c r="J474" s="1">
        <v>3</v>
      </c>
      <c r="K474" s="3">
        <v>10503.11</v>
      </c>
      <c r="L474" s="1">
        <v>0</v>
      </c>
      <c r="M474" s="1" t="s">
        <v>56</v>
      </c>
      <c r="N474" s="10" t="s">
        <v>23</v>
      </c>
    </row>
    <row r="475" spans="1:14" x14ac:dyDescent="0.25">
      <c r="A475" s="9" t="s">
        <v>1099</v>
      </c>
      <c r="B475" s="2">
        <v>45114</v>
      </c>
      <c r="C475" s="1" t="s">
        <v>681</v>
      </c>
      <c r="D475" s="1" t="s">
        <v>87</v>
      </c>
      <c r="E475" s="1" t="s">
        <v>17</v>
      </c>
      <c r="F475" s="1" t="s">
        <v>88</v>
      </c>
      <c r="G475" s="1" t="s">
        <v>42</v>
      </c>
      <c r="H475" s="1" t="s">
        <v>61</v>
      </c>
      <c r="I475" s="1" t="s">
        <v>204</v>
      </c>
      <c r="J475" s="1">
        <v>5</v>
      </c>
      <c r="K475" s="3">
        <v>19722.45</v>
      </c>
      <c r="L475" s="1">
        <v>0</v>
      </c>
      <c r="M475" s="1" t="s">
        <v>93</v>
      </c>
      <c r="N475" s="10" t="s">
        <v>23</v>
      </c>
    </row>
    <row r="476" spans="1:14" x14ac:dyDescent="0.25">
      <c r="A476" s="9" t="s">
        <v>1100</v>
      </c>
      <c r="B476" s="2">
        <v>44935</v>
      </c>
      <c r="C476" s="1" t="s">
        <v>1101</v>
      </c>
      <c r="D476" s="1" t="s">
        <v>16</v>
      </c>
      <c r="E476" s="1" t="s">
        <v>34</v>
      </c>
      <c r="F476" s="1" t="s">
        <v>88</v>
      </c>
      <c r="G476" s="1" t="s">
        <v>42</v>
      </c>
      <c r="H476" s="1" t="s">
        <v>43</v>
      </c>
      <c r="I476" s="1" t="s">
        <v>336</v>
      </c>
      <c r="J476" s="1">
        <v>9</v>
      </c>
      <c r="K476" s="3">
        <v>24329.759999999998</v>
      </c>
      <c r="L476" s="1">
        <v>10</v>
      </c>
      <c r="M476" s="1" t="s">
        <v>93</v>
      </c>
      <c r="N476" s="10" t="s">
        <v>74</v>
      </c>
    </row>
    <row r="477" spans="1:14" x14ac:dyDescent="0.25">
      <c r="A477" s="9" t="s">
        <v>1102</v>
      </c>
      <c r="B477" s="2">
        <v>45037</v>
      </c>
      <c r="C477" s="1" t="s">
        <v>1103</v>
      </c>
      <c r="D477" s="1" t="s">
        <v>81</v>
      </c>
      <c r="E477" s="1" t="s">
        <v>34</v>
      </c>
      <c r="F477" s="1" t="s">
        <v>18</v>
      </c>
      <c r="G477" s="1" t="s">
        <v>42</v>
      </c>
      <c r="H477" s="1" t="s">
        <v>61</v>
      </c>
      <c r="I477" s="1" t="s">
        <v>317</v>
      </c>
      <c r="J477" s="1">
        <v>2</v>
      </c>
      <c r="K477" s="3">
        <v>5670.82</v>
      </c>
      <c r="L477" s="1">
        <v>5</v>
      </c>
      <c r="M477" s="1" t="s">
        <v>56</v>
      </c>
      <c r="N477" s="10" t="s">
        <v>64</v>
      </c>
    </row>
    <row r="478" spans="1:14" x14ac:dyDescent="0.25">
      <c r="A478" s="9" t="s">
        <v>1104</v>
      </c>
      <c r="B478" s="2">
        <v>45619</v>
      </c>
      <c r="C478" s="1" t="s">
        <v>238</v>
      </c>
      <c r="D478" s="1" t="s">
        <v>87</v>
      </c>
      <c r="E478" s="1" t="s">
        <v>41</v>
      </c>
      <c r="F478" s="1" t="s">
        <v>99</v>
      </c>
      <c r="G478" s="1" t="s">
        <v>19</v>
      </c>
      <c r="H478" s="1" t="s">
        <v>29</v>
      </c>
      <c r="I478" s="1" t="s">
        <v>472</v>
      </c>
      <c r="J478" s="1">
        <v>10</v>
      </c>
      <c r="K478" s="3">
        <v>44568.28</v>
      </c>
      <c r="L478" s="1">
        <v>0</v>
      </c>
      <c r="M478" s="1" t="s">
        <v>69</v>
      </c>
      <c r="N478" s="10" t="s">
        <v>37</v>
      </c>
    </row>
    <row r="479" spans="1:14" x14ac:dyDescent="0.25">
      <c r="A479" s="9" t="s">
        <v>1105</v>
      </c>
      <c r="B479" s="2">
        <v>45431</v>
      </c>
      <c r="C479" s="1" t="s">
        <v>990</v>
      </c>
      <c r="D479" s="1" t="s">
        <v>26</v>
      </c>
      <c r="E479" s="1" t="s">
        <v>27</v>
      </c>
      <c r="F479" s="1" t="s">
        <v>82</v>
      </c>
      <c r="G479" s="1" t="s">
        <v>19</v>
      </c>
      <c r="H479" s="1" t="s">
        <v>20</v>
      </c>
      <c r="I479" s="1" t="s">
        <v>563</v>
      </c>
      <c r="J479" s="1">
        <v>1</v>
      </c>
      <c r="K479" s="3">
        <v>3737.56</v>
      </c>
      <c r="L479" s="1">
        <v>0</v>
      </c>
      <c r="M479" s="1" t="s">
        <v>56</v>
      </c>
      <c r="N479" s="10" t="s">
        <v>74</v>
      </c>
    </row>
    <row r="480" spans="1:14" x14ac:dyDescent="0.25">
      <c r="A480" s="9" t="s">
        <v>1106</v>
      </c>
      <c r="B480" s="2">
        <v>44982</v>
      </c>
      <c r="C480" s="1" t="s">
        <v>735</v>
      </c>
      <c r="D480" s="1" t="s">
        <v>81</v>
      </c>
      <c r="E480" s="1" t="s">
        <v>59</v>
      </c>
      <c r="F480" s="1" t="s">
        <v>82</v>
      </c>
      <c r="G480" s="1" t="s">
        <v>83</v>
      </c>
      <c r="H480" s="1" t="s">
        <v>43</v>
      </c>
      <c r="I480" s="1" t="s">
        <v>144</v>
      </c>
      <c r="J480" s="1">
        <v>7</v>
      </c>
      <c r="K480" s="3">
        <v>23991.82</v>
      </c>
      <c r="L480" s="1">
        <v>15</v>
      </c>
      <c r="M480" s="1" t="s">
        <v>56</v>
      </c>
      <c r="N480" s="10" t="s">
        <v>45</v>
      </c>
    </row>
    <row r="481" spans="1:14" x14ac:dyDescent="0.25">
      <c r="A481" s="9" t="s">
        <v>1107</v>
      </c>
      <c r="B481" s="2">
        <v>45457</v>
      </c>
      <c r="C481" s="1" t="s">
        <v>1108</v>
      </c>
      <c r="D481" s="1" t="s">
        <v>81</v>
      </c>
      <c r="E481" s="1" t="s">
        <v>34</v>
      </c>
      <c r="F481" s="1" t="s">
        <v>18</v>
      </c>
      <c r="G481" s="1" t="s">
        <v>42</v>
      </c>
      <c r="H481" s="1" t="s">
        <v>61</v>
      </c>
      <c r="I481" s="1" t="s">
        <v>204</v>
      </c>
      <c r="J481" s="1">
        <v>1</v>
      </c>
      <c r="K481" s="3">
        <v>2748.35</v>
      </c>
      <c r="L481" s="1">
        <v>5</v>
      </c>
      <c r="M481" s="1" t="s">
        <v>63</v>
      </c>
      <c r="N481" s="10" t="s">
        <v>74</v>
      </c>
    </row>
    <row r="482" spans="1:14" x14ac:dyDescent="0.25">
      <c r="A482" s="9" t="s">
        <v>1109</v>
      </c>
      <c r="B482" s="2">
        <v>45620</v>
      </c>
      <c r="C482" s="1" t="s">
        <v>1110</v>
      </c>
      <c r="D482" s="1" t="s">
        <v>33</v>
      </c>
      <c r="E482" s="1" t="s">
        <v>59</v>
      </c>
      <c r="F482" s="1" t="s">
        <v>60</v>
      </c>
      <c r="G482" s="1" t="s">
        <v>19</v>
      </c>
      <c r="H482" s="1" t="s">
        <v>20</v>
      </c>
      <c r="I482" s="1" t="s">
        <v>254</v>
      </c>
      <c r="J482" s="1">
        <v>4</v>
      </c>
      <c r="K482" s="3">
        <v>4635.24</v>
      </c>
      <c r="L482" s="1">
        <v>0</v>
      </c>
      <c r="M482" s="1" t="s">
        <v>36</v>
      </c>
      <c r="N482" s="10" t="s">
        <v>23</v>
      </c>
    </row>
    <row r="483" spans="1:14" x14ac:dyDescent="0.25">
      <c r="A483" s="9" t="s">
        <v>1111</v>
      </c>
      <c r="B483" s="2">
        <v>45472</v>
      </c>
      <c r="C483" s="1" t="s">
        <v>1112</v>
      </c>
      <c r="D483" s="1" t="s">
        <v>52</v>
      </c>
      <c r="E483" s="1" t="s">
        <v>72</v>
      </c>
      <c r="F483" s="1" t="s">
        <v>60</v>
      </c>
      <c r="G483" s="1" t="s">
        <v>42</v>
      </c>
      <c r="H483" s="1" t="s">
        <v>43</v>
      </c>
      <c r="I483" s="1" t="s">
        <v>89</v>
      </c>
      <c r="J483" s="1">
        <v>9</v>
      </c>
      <c r="K483" s="3">
        <v>10974.05</v>
      </c>
      <c r="L483" s="1">
        <v>5</v>
      </c>
      <c r="M483" s="1" t="s">
        <v>56</v>
      </c>
      <c r="N483" s="10" t="s">
        <v>45</v>
      </c>
    </row>
    <row r="484" spans="1:14" x14ac:dyDescent="0.25">
      <c r="A484" s="9" t="s">
        <v>1113</v>
      </c>
      <c r="B484" s="2">
        <v>44982</v>
      </c>
      <c r="C484" s="1" t="s">
        <v>301</v>
      </c>
      <c r="D484" s="1" t="s">
        <v>33</v>
      </c>
      <c r="E484" s="1" t="s">
        <v>41</v>
      </c>
      <c r="F484" s="1" t="s">
        <v>88</v>
      </c>
      <c r="G484" s="1" t="s">
        <v>53</v>
      </c>
      <c r="H484" s="1" t="s">
        <v>54</v>
      </c>
      <c r="I484" s="1" t="s">
        <v>207</v>
      </c>
      <c r="J484" s="1">
        <v>7</v>
      </c>
      <c r="K484" s="3">
        <v>21881.97</v>
      </c>
      <c r="L484" s="1">
        <v>20</v>
      </c>
      <c r="M484" s="1" t="s">
        <v>56</v>
      </c>
      <c r="N484" s="10" t="s">
        <v>74</v>
      </c>
    </row>
    <row r="485" spans="1:14" x14ac:dyDescent="0.25">
      <c r="A485" s="9" t="s">
        <v>1114</v>
      </c>
      <c r="B485" s="2">
        <v>44990</v>
      </c>
      <c r="C485" s="1" t="s">
        <v>1115</v>
      </c>
      <c r="D485" s="1" t="s">
        <v>52</v>
      </c>
      <c r="E485" s="1" t="s">
        <v>72</v>
      </c>
      <c r="F485" s="1" t="s">
        <v>99</v>
      </c>
      <c r="G485" s="1" t="s">
        <v>19</v>
      </c>
      <c r="H485" s="1" t="s">
        <v>29</v>
      </c>
      <c r="I485" s="1" t="s">
        <v>515</v>
      </c>
      <c r="J485" s="1">
        <v>9</v>
      </c>
      <c r="K485" s="3">
        <v>41811.46</v>
      </c>
      <c r="L485" s="1">
        <v>5</v>
      </c>
      <c r="M485" s="1" t="s">
        <v>22</v>
      </c>
      <c r="N485" s="10" t="s">
        <v>45</v>
      </c>
    </row>
    <row r="486" spans="1:14" x14ac:dyDescent="0.25">
      <c r="A486" s="9" t="s">
        <v>1116</v>
      </c>
      <c r="B486" s="2">
        <v>45427</v>
      </c>
      <c r="C486" s="1" t="s">
        <v>1117</v>
      </c>
      <c r="D486" s="1" t="s">
        <v>81</v>
      </c>
      <c r="E486" s="1" t="s">
        <v>72</v>
      </c>
      <c r="F486" s="1" t="s">
        <v>82</v>
      </c>
      <c r="G486" s="1" t="s">
        <v>19</v>
      </c>
      <c r="H486" s="1" t="s">
        <v>20</v>
      </c>
      <c r="I486" s="1" t="s">
        <v>421</v>
      </c>
      <c r="J486" s="1">
        <v>1</v>
      </c>
      <c r="K486" s="3">
        <v>2785.11</v>
      </c>
      <c r="L486" s="1">
        <v>0</v>
      </c>
      <c r="M486" s="1" t="s">
        <v>93</v>
      </c>
      <c r="N486" s="10" t="s">
        <v>74</v>
      </c>
    </row>
    <row r="487" spans="1:14" x14ac:dyDescent="0.25">
      <c r="A487" s="9" t="s">
        <v>1118</v>
      </c>
      <c r="B487" s="2">
        <v>45606</v>
      </c>
      <c r="C487" s="1" t="s">
        <v>1119</v>
      </c>
      <c r="D487" s="1" t="s">
        <v>87</v>
      </c>
      <c r="E487" s="1" t="s">
        <v>27</v>
      </c>
      <c r="F487" s="1" t="s">
        <v>88</v>
      </c>
      <c r="G487" s="1" t="s">
        <v>42</v>
      </c>
      <c r="H487" s="1" t="s">
        <v>43</v>
      </c>
      <c r="I487" s="1" t="s">
        <v>157</v>
      </c>
      <c r="J487" s="1">
        <v>10</v>
      </c>
      <c r="K487" s="3">
        <v>20850.439999999999</v>
      </c>
      <c r="L487" s="1">
        <v>0</v>
      </c>
      <c r="M487" s="1" t="s">
        <v>22</v>
      </c>
      <c r="N487" s="10" t="s">
        <v>37</v>
      </c>
    </row>
    <row r="488" spans="1:14" x14ac:dyDescent="0.25">
      <c r="A488" s="9" t="s">
        <v>1121</v>
      </c>
      <c r="B488" s="2">
        <v>44989</v>
      </c>
      <c r="C488" s="1" t="s">
        <v>449</v>
      </c>
      <c r="D488" s="1" t="s">
        <v>52</v>
      </c>
      <c r="E488" s="1" t="s">
        <v>34</v>
      </c>
      <c r="F488" s="1" t="s">
        <v>18</v>
      </c>
      <c r="G488" s="1" t="s">
        <v>19</v>
      </c>
      <c r="H488" s="1" t="s">
        <v>29</v>
      </c>
      <c r="I488" s="1" t="s">
        <v>148</v>
      </c>
      <c r="J488" s="1">
        <v>1</v>
      </c>
      <c r="K488" s="3">
        <v>1931.81</v>
      </c>
      <c r="L488" s="1">
        <v>20</v>
      </c>
      <c r="M488" s="1" t="s">
        <v>63</v>
      </c>
      <c r="N488" s="10" t="s">
        <v>23</v>
      </c>
    </row>
    <row r="489" spans="1:14" x14ac:dyDescent="0.25">
      <c r="A489" s="9" t="s">
        <v>1122</v>
      </c>
      <c r="B489" s="2">
        <v>45620</v>
      </c>
      <c r="C489" s="1" t="s">
        <v>212</v>
      </c>
      <c r="D489" s="1" t="s">
        <v>71</v>
      </c>
      <c r="E489" s="1" t="s">
        <v>34</v>
      </c>
      <c r="F489" s="1" t="s">
        <v>99</v>
      </c>
      <c r="G489" s="1" t="s">
        <v>42</v>
      </c>
      <c r="H489" s="1" t="s">
        <v>61</v>
      </c>
      <c r="I489" s="1" t="s">
        <v>204</v>
      </c>
      <c r="J489" s="1">
        <v>6</v>
      </c>
      <c r="K489" s="3">
        <v>28949.27</v>
      </c>
      <c r="L489" s="1">
        <v>15</v>
      </c>
      <c r="M489" s="1" t="s">
        <v>36</v>
      </c>
      <c r="N489" s="10" t="s">
        <v>37</v>
      </c>
    </row>
    <row r="490" spans="1:14" x14ac:dyDescent="0.25">
      <c r="A490" s="9" t="s">
        <v>1123</v>
      </c>
      <c r="B490" s="2">
        <v>45528</v>
      </c>
      <c r="C490" s="1" t="s">
        <v>51</v>
      </c>
      <c r="D490" s="1" t="s">
        <v>378</v>
      </c>
      <c r="E490" s="1" t="s">
        <v>59</v>
      </c>
      <c r="F490" s="1" t="s">
        <v>60</v>
      </c>
      <c r="G490" s="1" t="s">
        <v>19</v>
      </c>
      <c r="H490" s="1" t="s">
        <v>29</v>
      </c>
      <c r="I490" s="1" t="s">
        <v>646</v>
      </c>
      <c r="J490" s="1">
        <v>6</v>
      </c>
      <c r="K490" s="3">
        <v>13507.28</v>
      </c>
      <c r="L490" s="1">
        <v>15</v>
      </c>
      <c r="M490" s="1" t="s">
        <v>22</v>
      </c>
      <c r="N490" s="10" t="s">
        <v>37</v>
      </c>
    </row>
    <row r="491" spans="1:14" x14ac:dyDescent="0.25">
      <c r="A491" s="9" t="s">
        <v>1124</v>
      </c>
      <c r="B491" s="2">
        <v>45153</v>
      </c>
      <c r="C491" s="1" t="s">
        <v>362</v>
      </c>
      <c r="D491" s="1" t="s">
        <v>26</v>
      </c>
      <c r="E491" s="1" t="s">
        <v>34</v>
      </c>
      <c r="F491" s="1" t="s">
        <v>88</v>
      </c>
      <c r="G491" s="1" t="s">
        <v>42</v>
      </c>
      <c r="H491" s="1" t="s">
        <v>43</v>
      </c>
      <c r="I491" s="1" t="s">
        <v>572</v>
      </c>
      <c r="J491" s="1">
        <v>5</v>
      </c>
      <c r="K491" s="3">
        <v>18488.900000000001</v>
      </c>
      <c r="L491" s="1">
        <v>5</v>
      </c>
      <c r="M491" s="1" t="s">
        <v>93</v>
      </c>
      <c r="N491" s="10" t="s">
        <v>23</v>
      </c>
    </row>
    <row r="492" spans="1:14" x14ac:dyDescent="0.25">
      <c r="A492" s="9" t="s">
        <v>1125</v>
      </c>
      <c r="B492" s="2">
        <v>45589</v>
      </c>
      <c r="C492" s="1" t="s">
        <v>1126</v>
      </c>
      <c r="D492" s="1" t="s">
        <v>52</v>
      </c>
      <c r="E492" s="1" t="s">
        <v>41</v>
      </c>
      <c r="F492" s="1" t="s">
        <v>99</v>
      </c>
      <c r="G492" s="1" t="s">
        <v>42</v>
      </c>
      <c r="H492" s="1" t="s">
        <v>43</v>
      </c>
      <c r="I492" s="1" t="s">
        <v>494</v>
      </c>
      <c r="J492" s="1">
        <v>3</v>
      </c>
      <c r="K492" s="3">
        <v>13081.88</v>
      </c>
      <c r="L492" s="1">
        <v>10</v>
      </c>
      <c r="M492" s="1" t="s">
        <v>36</v>
      </c>
      <c r="N492" s="10" t="s">
        <v>23</v>
      </c>
    </row>
    <row r="493" spans="1:14" x14ac:dyDescent="0.25">
      <c r="A493" s="9" t="s">
        <v>1127</v>
      </c>
      <c r="B493" s="2">
        <v>45567</v>
      </c>
      <c r="C493" s="1" t="s">
        <v>153</v>
      </c>
      <c r="D493" s="1" t="s">
        <v>67</v>
      </c>
      <c r="E493" s="1" t="s">
        <v>17</v>
      </c>
      <c r="F493" s="1" t="s">
        <v>88</v>
      </c>
      <c r="G493" s="1" t="s">
        <v>83</v>
      </c>
      <c r="H493" s="1" t="s">
        <v>43</v>
      </c>
      <c r="I493" s="1" t="s">
        <v>258</v>
      </c>
      <c r="J493" s="1">
        <v>5</v>
      </c>
      <c r="K493" s="3">
        <v>6524.71</v>
      </c>
      <c r="L493" s="1">
        <v>20</v>
      </c>
      <c r="M493" s="1" t="s">
        <v>69</v>
      </c>
      <c r="N493" s="10" t="s">
        <v>37</v>
      </c>
    </row>
    <row r="494" spans="1:14" x14ac:dyDescent="0.25">
      <c r="A494" s="9" t="s">
        <v>1128</v>
      </c>
      <c r="B494" s="2">
        <v>44970</v>
      </c>
      <c r="C494" s="1" t="s">
        <v>102</v>
      </c>
      <c r="D494" s="1" t="s">
        <v>147</v>
      </c>
      <c r="E494" s="1" t="s">
        <v>72</v>
      </c>
      <c r="F494" s="1" t="s">
        <v>88</v>
      </c>
      <c r="G494" s="1" t="s">
        <v>42</v>
      </c>
      <c r="H494" s="1" t="s">
        <v>61</v>
      </c>
      <c r="I494" s="1" t="s">
        <v>863</v>
      </c>
      <c r="J494" s="1">
        <v>7</v>
      </c>
      <c r="K494" s="3">
        <v>18140.150000000001</v>
      </c>
      <c r="L494" s="1" t="s">
        <v>110</v>
      </c>
      <c r="M494" s="1" t="s">
        <v>22</v>
      </c>
      <c r="N494" s="10" t="s">
        <v>23</v>
      </c>
    </row>
    <row r="495" spans="1:14" x14ac:dyDescent="0.25">
      <c r="A495" s="9" t="s">
        <v>1129</v>
      </c>
      <c r="B495" s="2">
        <v>45394</v>
      </c>
      <c r="C495" s="1" t="s">
        <v>1130</v>
      </c>
      <c r="D495" s="1" t="s">
        <v>16</v>
      </c>
      <c r="E495" s="1" t="s">
        <v>72</v>
      </c>
      <c r="F495" s="1" t="s">
        <v>60</v>
      </c>
      <c r="G495" s="1" t="s">
        <v>19</v>
      </c>
      <c r="H495" s="1" t="s">
        <v>20</v>
      </c>
      <c r="I495" s="1" t="s">
        <v>193</v>
      </c>
      <c r="J495" s="1">
        <v>5</v>
      </c>
      <c r="K495" s="3">
        <v>15599.21</v>
      </c>
      <c r="L495" s="1">
        <v>0</v>
      </c>
      <c r="M495" s="1" t="s">
        <v>69</v>
      </c>
      <c r="N495" s="10" t="s">
        <v>37</v>
      </c>
    </row>
    <row r="496" spans="1:14" x14ac:dyDescent="0.25">
      <c r="A496" s="9" t="s">
        <v>1131</v>
      </c>
      <c r="B496" s="2">
        <v>45010</v>
      </c>
      <c r="C496" s="1" t="s">
        <v>1132</v>
      </c>
      <c r="D496" s="1" t="s">
        <v>360</v>
      </c>
      <c r="E496" s="1" t="s">
        <v>72</v>
      </c>
      <c r="F496" s="1" t="s">
        <v>28</v>
      </c>
      <c r="G496" s="1" t="s">
        <v>53</v>
      </c>
      <c r="H496" s="1" t="s">
        <v>54</v>
      </c>
      <c r="I496" s="1" t="s">
        <v>92</v>
      </c>
      <c r="J496" s="1">
        <v>5</v>
      </c>
      <c r="K496" s="3">
        <v>3462.12</v>
      </c>
      <c r="L496" s="1">
        <v>5</v>
      </c>
      <c r="M496" s="1" t="s">
        <v>22</v>
      </c>
      <c r="N496" s="10" t="s">
        <v>64</v>
      </c>
    </row>
    <row r="497" spans="1:14" x14ac:dyDescent="0.25">
      <c r="A497" s="9" t="s">
        <v>1133</v>
      </c>
      <c r="B497" s="2">
        <v>44975</v>
      </c>
      <c r="C497" s="1" t="s">
        <v>974</v>
      </c>
      <c r="D497" s="1" t="s">
        <v>26</v>
      </c>
      <c r="E497" s="1" t="s">
        <v>27</v>
      </c>
      <c r="F497" s="1" t="s">
        <v>49</v>
      </c>
      <c r="G497" s="1" t="s">
        <v>19</v>
      </c>
      <c r="H497" s="1" t="s">
        <v>29</v>
      </c>
      <c r="I497" s="1" t="s">
        <v>148</v>
      </c>
      <c r="J497" s="1">
        <v>4</v>
      </c>
      <c r="K497" s="3">
        <v>1077.7</v>
      </c>
      <c r="L497" s="1">
        <v>5</v>
      </c>
      <c r="M497" s="1" t="s">
        <v>22</v>
      </c>
      <c r="N497" s="10" t="s">
        <v>74</v>
      </c>
    </row>
    <row r="498" spans="1:14" x14ac:dyDescent="0.25">
      <c r="A498" s="9" t="s">
        <v>1134</v>
      </c>
      <c r="B498" s="2">
        <v>45528</v>
      </c>
      <c r="C498" s="1" t="s">
        <v>1135</v>
      </c>
      <c r="D498" s="1" t="s">
        <v>81</v>
      </c>
      <c r="E498" s="1" t="s">
        <v>34</v>
      </c>
      <c r="F498" s="1" t="s">
        <v>99</v>
      </c>
      <c r="G498" s="1" t="s">
        <v>19</v>
      </c>
      <c r="H498" s="1" t="s">
        <v>29</v>
      </c>
      <c r="I498" s="1" t="s">
        <v>445</v>
      </c>
      <c r="J498" s="1">
        <v>3</v>
      </c>
      <c r="K498" s="3">
        <v>7420.38</v>
      </c>
      <c r="L498" s="1">
        <v>0</v>
      </c>
      <c r="M498" s="1" t="s">
        <v>63</v>
      </c>
      <c r="N498" s="10" t="s">
        <v>31</v>
      </c>
    </row>
    <row r="499" spans="1:14" x14ac:dyDescent="0.25">
      <c r="A499" s="9" t="s">
        <v>1136</v>
      </c>
      <c r="B499" s="2">
        <v>45003</v>
      </c>
      <c r="C499" s="1" t="s">
        <v>131</v>
      </c>
      <c r="D499" s="1" t="s">
        <v>33</v>
      </c>
      <c r="E499" s="1" t="s">
        <v>72</v>
      </c>
      <c r="F499" s="1" t="s">
        <v>18</v>
      </c>
      <c r="G499" s="1" t="s">
        <v>19</v>
      </c>
      <c r="H499" s="1" t="s">
        <v>20</v>
      </c>
      <c r="I499" s="1" t="s">
        <v>127</v>
      </c>
      <c r="J499" s="1">
        <v>8</v>
      </c>
      <c r="K499" s="3">
        <v>12630.41</v>
      </c>
      <c r="L499" s="1">
        <v>20</v>
      </c>
      <c r="M499" s="1" t="s">
        <v>63</v>
      </c>
      <c r="N499" s="10" t="s">
        <v>37</v>
      </c>
    </row>
    <row r="500" spans="1:14" x14ac:dyDescent="0.25">
      <c r="A500" s="9" t="s">
        <v>1137</v>
      </c>
      <c r="B500" s="2">
        <v>45165</v>
      </c>
      <c r="C500" s="1" t="s">
        <v>894</v>
      </c>
      <c r="D500" s="1" t="s">
        <v>71</v>
      </c>
      <c r="E500" s="1" t="s">
        <v>17</v>
      </c>
      <c r="F500" s="1" t="s">
        <v>18</v>
      </c>
      <c r="G500" s="1" t="s">
        <v>53</v>
      </c>
      <c r="H500" s="1" t="s">
        <v>54</v>
      </c>
      <c r="I500" s="1" t="s">
        <v>73</v>
      </c>
      <c r="J500" s="1">
        <v>3</v>
      </c>
      <c r="K500" s="3">
        <v>6108.29</v>
      </c>
      <c r="L500" s="1">
        <v>20</v>
      </c>
      <c r="M500" s="1" t="s">
        <v>69</v>
      </c>
      <c r="N500" s="10" t="s">
        <v>74</v>
      </c>
    </row>
    <row r="501" spans="1:14" x14ac:dyDescent="0.25">
      <c r="A501" s="9" t="s">
        <v>1138</v>
      </c>
      <c r="B501" s="2">
        <v>45263</v>
      </c>
      <c r="C501" s="1" t="s">
        <v>359</v>
      </c>
      <c r="D501" s="1" t="s">
        <v>16</v>
      </c>
      <c r="E501" s="1" t="s">
        <v>17</v>
      </c>
      <c r="F501" s="1" t="s">
        <v>18</v>
      </c>
      <c r="G501" s="1" t="s">
        <v>19</v>
      </c>
      <c r="H501" s="1" t="s">
        <v>29</v>
      </c>
      <c r="I501" s="1" t="s">
        <v>223</v>
      </c>
      <c r="J501" s="1">
        <v>3</v>
      </c>
      <c r="K501" s="3">
        <v>11179.56</v>
      </c>
      <c r="L501" s="1">
        <v>5</v>
      </c>
      <c r="M501" s="1" t="s">
        <v>69</v>
      </c>
      <c r="N501" s="10" t="s">
        <v>64</v>
      </c>
    </row>
    <row r="502" spans="1:14" x14ac:dyDescent="0.25">
      <c r="A502" s="9" t="s">
        <v>1139</v>
      </c>
      <c r="B502" s="2">
        <v>45392</v>
      </c>
      <c r="C502" s="1" t="s">
        <v>1140</v>
      </c>
      <c r="D502" s="1" t="s">
        <v>16</v>
      </c>
      <c r="E502" s="1" t="s">
        <v>27</v>
      </c>
      <c r="F502" s="1" t="s">
        <v>82</v>
      </c>
      <c r="G502" s="1" t="s">
        <v>19</v>
      </c>
      <c r="H502" s="1" t="s">
        <v>20</v>
      </c>
      <c r="I502" s="1" t="s">
        <v>179</v>
      </c>
      <c r="J502" s="1">
        <v>9</v>
      </c>
      <c r="K502" s="3">
        <v>27848.04</v>
      </c>
      <c r="L502" s="1" t="s">
        <v>110</v>
      </c>
      <c r="M502" s="1" t="s">
        <v>63</v>
      </c>
      <c r="N502" s="10" t="s">
        <v>45</v>
      </c>
    </row>
    <row r="503" spans="1:14" x14ac:dyDescent="0.25">
      <c r="A503" s="9" t="s">
        <v>1141</v>
      </c>
      <c r="B503" s="2">
        <v>45587</v>
      </c>
      <c r="C503" s="1" t="s">
        <v>1142</v>
      </c>
      <c r="D503" s="1" t="s">
        <v>147</v>
      </c>
      <c r="E503" s="1" t="s">
        <v>72</v>
      </c>
      <c r="F503" s="1" t="s">
        <v>99</v>
      </c>
      <c r="G503" s="1" t="s">
        <v>53</v>
      </c>
      <c r="H503" s="1" t="s">
        <v>54</v>
      </c>
      <c r="I503" s="1" t="s">
        <v>518</v>
      </c>
      <c r="J503" s="1">
        <v>10</v>
      </c>
      <c r="K503" s="3">
        <v>6106.13</v>
      </c>
      <c r="L503" s="1">
        <v>20</v>
      </c>
      <c r="M503" s="1" t="s">
        <v>36</v>
      </c>
      <c r="N503" s="10" t="s">
        <v>64</v>
      </c>
    </row>
    <row r="504" spans="1:14" x14ac:dyDescent="0.25">
      <c r="A504" s="9" t="s">
        <v>1144</v>
      </c>
      <c r="B504" s="2">
        <v>45572</v>
      </c>
      <c r="C504" s="1" t="s">
        <v>1145</v>
      </c>
      <c r="D504" s="1" t="s">
        <v>436</v>
      </c>
      <c r="E504" s="1" t="s">
        <v>34</v>
      </c>
      <c r="F504" s="1" t="s">
        <v>99</v>
      </c>
      <c r="G504" s="1" t="s">
        <v>19</v>
      </c>
      <c r="H504" s="1" t="s">
        <v>29</v>
      </c>
      <c r="I504" s="1" t="s">
        <v>96</v>
      </c>
      <c r="J504" s="1">
        <v>1</v>
      </c>
      <c r="K504" s="3">
        <v>2101.0100000000002</v>
      </c>
      <c r="L504" s="1">
        <v>20</v>
      </c>
      <c r="M504" s="1" t="s">
        <v>93</v>
      </c>
      <c r="N504" s="10" t="s">
        <v>64</v>
      </c>
    </row>
    <row r="505" spans="1:14" x14ac:dyDescent="0.25">
      <c r="A505" s="9" t="s">
        <v>1146</v>
      </c>
      <c r="B505" s="2">
        <v>45235</v>
      </c>
      <c r="C505" s="1" t="s">
        <v>1147</v>
      </c>
      <c r="D505" s="1" t="s">
        <v>71</v>
      </c>
      <c r="E505" s="1" t="s">
        <v>59</v>
      </c>
      <c r="F505" s="1" t="s">
        <v>99</v>
      </c>
      <c r="G505" s="1" t="s">
        <v>42</v>
      </c>
      <c r="H505" s="1" t="s">
        <v>61</v>
      </c>
      <c r="I505" s="1" t="s">
        <v>106</v>
      </c>
      <c r="J505" s="1">
        <v>1</v>
      </c>
      <c r="K505" s="3">
        <v>2717.77</v>
      </c>
      <c r="L505" s="1">
        <v>20</v>
      </c>
      <c r="M505" s="1" t="s">
        <v>69</v>
      </c>
      <c r="N505" s="10" t="s">
        <v>45</v>
      </c>
    </row>
    <row r="506" spans="1:14" x14ac:dyDescent="0.25">
      <c r="A506" s="9" t="s">
        <v>1148</v>
      </c>
      <c r="B506" s="2">
        <v>45541</v>
      </c>
      <c r="C506" s="1" t="s">
        <v>1149</v>
      </c>
      <c r="D506" s="1" t="s">
        <v>81</v>
      </c>
      <c r="E506" s="1" t="s">
        <v>17</v>
      </c>
      <c r="F506" s="1" t="s">
        <v>28</v>
      </c>
      <c r="G506" s="1" t="s">
        <v>53</v>
      </c>
      <c r="H506" s="1" t="s">
        <v>54</v>
      </c>
      <c r="I506" s="1" t="s">
        <v>1066</v>
      </c>
      <c r="J506" s="1">
        <v>7</v>
      </c>
      <c r="K506" s="3">
        <v>26256.84</v>
      </c>
      <c r="L506" s="1">
        <v>20</v>
      </c>
      <c r="M506" s="1" t="s">
        <v>93</v>
      </c>
      <c r="N506" s="10" t="s">
        <v>37</v>
      </c>
    </row>
    <row r="507" spans="1:14" x14ac:dyDescent="0.25">
      <c r="A507" s="9" t="s">
        <v>1150</v>
      </c>
      <c r="B507" s="2">
        <v>44983</v>
      </c>
      <c r="C507" s="1" t="s">
        <v>1151</v>
      </c>
      <c r="D507" s="1" t="s">
        <v>33</v>
      </c>
      <c r="E507" s="1" t="s">
        <v>34</v>
      </c>
      <c r="F507" s="1" t="s">
        <v>82</v>
      </c>
      <c r="G507" s="1" t="s">
        <v>83</v>
      </c>
      <c r="H507" s="1" t="s">
        <v>43</v>
      </c>
      <c r="I507" s="1" t="s">
        <v>572</v>
      </c>
      <c r="J507" s="1">
        <v>2</v>
      </c>
      <c r="K507" s="3">
        <v>479.9</v>
      </c>
      <c r="L507" s="1">
        <v>15</v>
      </c>
      <c r="M507" s="1" t="s">
        <v>93</v>
      </c>
      <c r="N507" s="10" t="s">
        <v>64</v>
      </c>
    </row>
    <row r="508" spans="1:14" x14ac:dyDescent="0.25">
      <c r="A508" s="9" t="s">
        <v>1153</v>
      </c>
      <c r="B508" s="2">
        <v>45174</v>
      </c>
      <c r="C508" s="1" t="s">
        <v>767</v>
      </c>
      <c r="D508" s="1" t="s">
        <v>67</v>
      </c>
      <c r="E508" s="1" t="s">
        <v>17</v>
      </c>
      <c r="F508" s="1" t="s">
        <v>99</v>
      </c>
      <c r="G508" s="1" t="s">
        <v>42</v>
      </c>
      <c r="H508" s="1" t="s">
        <v>43</v>
      </c>
      <c r="I508" s="1" t="s">
        <v>652</v>
      </c>
      <c r="J508" s="1">
        <v>4</v>
      </c>
      <c r="K508" s="3">
        <v>14734.02</v>
      </c>
      <c r="L508" s="1">
        <v>5</v>
      </c>
      <c r="M508" s="1" t="s">
        <v>22</v>
      </c>
      <c r="N508" s="10" t="s">
        <v>74</v>
      </c>
    </row>
    <row r="509" spans="1:14" x14ac:dyDescent="0.25">
      <c r="A509" s="9" t="s">
        <v>1154</v>
      </c>
      <c r="B509" s="2">
        <v>45294</v>
      </c>
      <c r="C509" s="1" t="s">
        <v>902</v>
      </c>
      <c r="D509" s="1" t="s">
        <v>87</v>
      </c>
      <c r="E509" s="1" t="s">
        <v>72</v>
      </c>
      <c r="F509" s="1" t="s">
        <v>82</v>
      </c>
      <c r="G509" s="1" t="s">
        <v>19</v>
      </c>
      <c r="H509" s="1" t="s">
        <v>20</v>
      </c>
      <c r="I509" s="1" t="s">
        <v>230</v>
      </c>
      <c r="J509" s="1">
        <v>3</v>
      </c>
      <c r="K509" s="3">
        <v>11460.27</v>
      </c>
      <c r="L509" s="1">
        <v>0</v>
      </c>
      <c r="M509" s="1" t="s">
        <v>69</v>
      </c>
      <c r="N509" s="10" t="s">
        <v>31</v>
      </c>
    </row>
    <row r="510" spans="1:14" x14ac:dyDescent="0.25">
      <c r="A510" s="9" t="s">
        <v>1155</v>
      </c>
      <c r="B510" s="2">
        <v>45392</v>
      </c>
      <c r="C510" s="1" t="s">
        <v>1052</v>
      </c>
      <c r="D510" s="1" t="s">
        <v>33</v>
      </c>
      <c r="E510" s="1" t="s">
        <v>27</v>
      </c>
      <c r="F510" s="1" t="s">
        <v>60</v>
      </c>
      <c r="G510" s="1" t="s">
        <v>53</v>
      </c>
      <c r="H510" s="1" t="s">
        <v>54</v>
      </c>
      <c r="I510" s="1" t="s">
        <v>946</v>
      </c>
      <c r="J510" s="1">
        <v>4</v>
      </c>
      <c r="K510" s="3">
        <v>7809.77</v>
      </c>
      <c r="L510" s="1">
        <v>5</v>
      </c>
      <c r="M510" s="1" t="s">
        <v>63</v>
      </c>
      <c r="N510" s="10" t="s">
        <v>37</v>
      </c>
    </row>
    <row r="511" spans="1:14" x14ac:dyDescent="0.25">
      <c r="A511" s="9" t="s">
        <v>1156</v>
      </c>
      <c r="B511" s="2">
        <v>45235</v>
      </c>
      <c r="C511" s="1" t="s">
        <v>1157</v>
      </c>
      <c r="D511" s="1" t="s">
        <v>81</v>
      </c>
      <c r="E511" s="1" t="s">
        <v>41</v>
      </c>
      <c r="F511" s="1" t="s">
        <v>60</v>
      </c>
      <c r="G511" s="1" t="s">
        <v>42</v>
      </c>
      <c r="H511" s="1" t="s">
        <v>61</v>
      </c>
      <c r="I511" s="1" t="s">
        <v>305</v>
      </c>
      <c r="J511" s="1">
        <v>1</v>
      </c>
      <c r="K511" s="3">
        <v>4031.29</v>
      </c>
      <c r="L511" s="1">
        <v>20</v>
      </c>
      <c r="M511" s="1" t="s">
        <v>69</v>
      </c>
      <c r="N511" s="10" t="s">
        <v>23</v>
      </c>
    </row>
    <row r="512" spans="1:14" x14ac:dyDescent="0.25">
      <c r="A512" s="9" t="s">
        <v>337</v>
      </c>
      <c r="B512" s="2">
        <v>45112</v>
      </c>
      <c r="C512" s="1" t="s">
        <v>1158</v>
      </c>
      <c r="D512" s="1" t="s">
        <v>33</v>
      </c>
      <c r="E512" s="1" t="s">
        <v>72</v>
      </c>
      <c r="F512" s="1" t="s">
        <v>88</v>
      </c>
      <c r="G512" s="1" t="s">
        <v>42</v>
      </c>
      <c r="H512" s="1" t="s">
        <v>61</v>
      </c>
      <c r="I512" s="1" t="s">
        <v>234</v>
      </c>
      <c r="J512" s="1">
        <v>8</v>
      </c>
      <c r="K512" s="3">
        <v>14739.2</v>
      </c>
      <c r="L512" s="1" t="s">
        <v>110</v>
      </c>
      <c r="M512" s="1" t="s">
        <v>36</v>
      </c>
      <c r="N512" s="10" t="s">
        <v>45</v>
      </c>
    </row>
    <row r="513" spans="1:14" x14ac:dyDescent="0.25">
      <c r="A513" s="9" t="s">
        <v>1159</v>
      </c>
      <c r="B513" s="2">
        <v>45466</v>
      </c>
      <c r="C513" s="1" t="s">
        <v>1160</v>
      </c>
      <c r="D513" s="1" t="s">
        <v>67</v>
      </c>
      <c r="E513" s="1" t="s">
        <v>41</v>
      </c>
      <c r="F513" s="1" t="s">
        <v>60</v>
      </c>
      <c r="G513" s="1" t="s">
        <v>42</v>
      </c>
      <c r="H513" s="1" t="s">
        <v>43</v>
      </c>
      <c r="I513" s="1" t="s">
        <v>329</v>
      </c>
      <c r="J513" s="1">
        <v>2</v>
      </c>
      <c r="K513" s="3">
        <v>4554.49</v>
      </c>
      <c r="L513" s="1">
        <v>5</v>
      </c>
      <c r="M513" s="1" t="s">
        <v>36</v>
      </c>
      <c r="N513" s="10" t="s">
        <v>74</v>
      </c>
    </row>
    <row r="514" spans="1:14" x14ac:dyDescent="0.25">
      <c r="A514" s="9" t="s">
        <v>1161</v>
      </c>
      <c r="B514" s="2">
        <v>45388</v>
      </c>
      <c r="C514" s="1" t="s">
        <v>562</v>
      </c>
      <c r="D514" s="1" t="s">
        <v>52</v>
      </c>
      <c r="E514" s="1" t="s">
        <v>41</v>
      </c>
      <c r="F514" s="1" t="s">
        <v>49</v>
      </c>
      <c r="G514" s="1" t="s">
        <v>19</v>
      </c>
      <c r="H514" s="1" t="s">
        <v>29</v>
      </c>
      <c r="I514" s="1" t="s">
        <v>148</v>
      </c>
      <c r="J514" s="1">
        <v>8</v>
      </c>
      <c r="K514" s="3">
        <v>9591.3700000000008</v>
      </c>
      <c r="L514" s="1">
        <v>10</v>
      </c>
      <c r="M514" s="1" t="s">
        <v>69</v>
      </c>
      <c r="N514" s="10" t="s">
        <v>37</v>
      </c>
    </row>
    <row r="515" spans="1:14" x14ac:dyDescent="0.25">
      <c r="A515" s="9" t="s">
        <v>1162</v>
      </c>
      <c r="B515" s="2">
        <v>45449</v>
      </c>
      <c r="C515" s="1" t="s">
        <v>1163</v>
      </c>
      <c r="D515" s="1" t="s">
        <v>87</v>
      </c>
      <c r="E515" s="1" t="s">
        <v>59</v>
      </c>
      <c r="F515" s="1" t="s">
        <v>82</v>
      </c>
      <c r="G515" s="1" t="s">
        <v>42</v>
      </c>
      <c r="H515" s="1" t="s">
        <v>61</v>
      </c>
      <c r="I515" s="1" t="s">
        <v>305</v>
      </c>
      <c r="J515" s="1">
        <v>1</v>
      </c>
      <c r="K515" s="3">
        <v>2740.65</v>
      </c>
      <c r="L515" s="1">
        <v>0</v>
      </c>
      <c r="M515" s="1" t="s">
        <v>22</v>
      </c>
      <c r="N515" s="10" t="s">
        <v>23</v>
      </c>
    </row>
    <row r="516" spans="1:14" x14ac:dyDescent="0.25">
      <c r="A516" s="9" t="s">
        <v>1164</v>
      </c>
      <c r="B516" s="2">
        <v>45288</v>
      </c>
      <c r="C516" s="1" t="s">
        <v>1165</v>
      </c>
      <c r="D516" s="1" t="s">
        <v>87</v>
      </c>
      <c r="E516" s="1" t="s">
        <v>72</v>
      </c>
      <c r="F516" s="1" t="s">
        <v>82</v>
      </c>
      <c r="G516" s="1" t="s">
        <v>53</v>
      </c>
      <c r="H516" s="1" t="s">
        <v>54</v>
      </c>
      <c r="I516" s="1" t="s">
        <v>333</v>
      </c>
      <c r="J516" s="1">
        <v>2</v>
      </c>
      <c r="K516" s="3">
        <v>6838.53</v>
      </c>
      <c r="L516" s="1">
        <v>5</v>
      </c>
      <c r="M516" s="1" t="s">
        <v>22</v>
      </c>
      <c r="N516" s="10" t="s">
        <v>74</v>
      </c>
    </row>
    <row r="517" spans="1:14" x14ac:dyDescent="0.25">
      <c r="A517" s="9" t="s">
        <v>1166</v>
      </c>
      <c r="B517" s="2">
        <v>45556</v>
      </c>
      <c r="C517" s="1" t="s">
        <v>398</v>
      </c>
      <c r="D517" s="1" t="s">
        <v>16</v>
      </c>
      <c r="E517" s="1" t="s">
        <v>41</v>
      </c>
      <c r="F517" s="1" t="s">
        <v>88</v>
      </c>
      <c r="G517" s="1" t="s">
        <v>53</v>
      </c>
      <c r="H517" s="1" t="s">
        <v>54</v>
      </c>
      <c r="I517" s="1" t="s">
        <v>92</v>
      </c>
      <c r="J517" s="1">
        <v>3</v>
      </c>
      <c r="K517" s="3">
        <v>9466.3700000000008</v>
      </c>
      <c r="L517" s="1">
        <v>0</v>
      </c>
      <c r="M517" s="1" t="s">
        <v>69</v>
      </c>
      <c r="N517" s="10" t="s">
        <v>37</v>
      </c>
    </row>
    <row r="518" spans="1:14" x14ac:dyDescent="0.25">
      <c r="A518" s="9" t="s">
        <v>1168</v>
      </c>
      <c r="B518" s="2">
        <v>44983</v>
      </c>
      <c r="C518" s="1" t="s">
        <v>1169</v>
      </c>
      <c r="D518" s="1" t="s">
        <v>16</v>
      </c>
      <c r="E518" s="1" t="s">
        <v>34</v>
      </c>
      <c r="F518" s="1" t="s">
        <v>88</v>
      </c>
      <c r="G518" s="1" t="s">
        <v>19</v>
      </c>
      <c r="H518" s="1" t="s">
        <v>20</v>
      </c>
      <c r="I518" s="1" t="s">
        <v>583</v>
      </c>
      <c r="J518" s="1">
        <v>8</v>
      </c>
      <c r="K518" s="3">
        <v>23300.36</v>
      </c>
      <c r="L518" s="1">
        <v>0</v>
      </c>
      <c r="M518" s="1" t="s">
        <v>56</v>
      </c>
      <c r="N518" s="10" t="s">
        <v>23</v>
      </c>
    </row>
    <row r="519" spans="1:14" x14ac:dyDescent="0.25">
      <c r="A519" s="9" t="s">
        <v>1170</v>
      </c>
      <c r="B519" s="2">
        <v>45315</v>
      </c>
      <c r="C519" s="1" t="s">
        <v>252</v>
      </c>
      <c r="D519" s="1" t="s">
        <v>16</v>
      </c>
      <c r="E519" s="1" t="s">
        <v>34</v>
      </c>
      <c r="F519" s="1" t="s">
        <v>88</v>
      </c>
      <c r="G519" s="1" t="s">
        <v>19</v>
      </c>
      <c r="H519" s="1" t="s">
        <v>29</v>
      </c>
      <c r="I519" s="1" t="s">
        <v>472</v>
      </c>
      <c r="J519" s="1">
        <v>5</v>
      </c>
      <c r="K519" s="3">
        <v>21035.88</v>
      </c>
      <c r="L519" s="1">
        <v>0</v>
      </c>
      <c r="M519" s="1" t="s">
        <v>36</v>
      </c>
      <c r="N519" s="10" t="s">
        <v>74</v>
      </c>
    </row>
    <row r="520" spans="1:14" x14ac:dyDescent="0.25">
      <c r="A520" s="9" t="s">
        <v>1171</v>
      </c>
      <c r="B520" s="2">
        <v>45544</v>
      </c>
      <c r="C520" s="1" t="s">
        <v>607</v>
      </c>
      <c r="D520" s="1" t="s">
        <v>67</v>
      </c>
      <c r="E520" s="1" t="s">
        <v>34</v>
      </c>
      <c r="F520" s="1" t="s">
        <v>28</v>
      </c>
      <c r="G520" s="1" t="s">
        <v>83</v>
      </c>
      <c r="H520" s="1" t="s">
        <v>43</v>
      </c>
      <c r="I520" s="1" t="s">
        <v>491</v>
      </c>
      <c r="J520" s="1">
        <v>7</v>
      </c>
      <c r="K520" s="3">
        <v>19164.48</v>
      </c>
      <c r="L520" s="1" t="s">
        <v>110</v>
      </c>
      <c r="M520" s="1" t="s">
        <v>69</v>
      </c>
      <c r="N520" s="10" t="s">
        <v>45</v>
      </c>
    </row>
    <row r="521" spans="1:14" x14ac:dyDescent="0.25">
      <c r="A521" s="9" t="s">
        <v>1172</v>
      </c>
      <c r="B521" s="2">
        <v>45648</v>
      </c>
      <c r="C521" s="1" t="s">
        <v>1173</v>
      </c>
      <c r="D521" s="1" t="s">
        <v>81</v>
      </c>
      <c r="E521" s="1" t="s">
        <v>59</v>
      </c>
      <c r="F521" s="1" t="s">
        <v>18</v>
      </c>
      <c r="G521" s="1" t="s">
        <v>19</v>
      </c>
      <c r="H521" s="1" t="s">
        <v>20</v>
      </c>
      <c r="I521" s="1" t="s">
        <v>788</v>
      </c>
      <c r="J521" s="1">
        <v>8</v>
      </c>
      <c r="K521" s="3">
        <v>7638.88</v>
      </c>
      <c r="L521" s="1">
        <v>20</v>
      </c>
      <c r="M521" s="1" t="s">
        <v>22</v>
      </c>
      <c r="N521" s="10" t="s">
        <v>31</v>
      </c>
    </row>
    <row r="522" spans="1:14" x14ac:dyDescent="0.25">
      <c r="A522" s="9" t="s">
        <v>1174</v>
      </c>
      <c r="B522" s="2">
        <v>45499</v>
      </c>
      <c r="C522" s="1" t="s">
        <v>1175</v>
      </c>
      <c r="D522" s="1" t="s">
        <v>87</v>
      </c>
      <c r="E522" s="1" t="s">
        <v>59</v>
      </c>
      <c r="F522" s="1" t="s">
        <v>49</v>
      </c>
      <c r="G522" s="1" t="s">
        <v>42</v>
      </c>
      <c r="H522" s="1" t="s">
        <v>61</v>
      </c>
      <c r="I522" s="1" t="s">
        <v>1011</v>
      </c>
      <c r="J522" s="1">
        <v>4</v>
      </c>
      <c r="K522" s="3">
        <v>529.29</v>
      </c>
      <c r="L522" s="1">
        <v>15</v>
      </c>
      <c r="M522" s="1" t="s">
        <v>56</v>
      </c>
      <c r="N522" s="10" t="s">
        <v>45</v>
      </c>
    </row>
    <row r="523" spans="1:14" x14ac:dyDescent="0.25">
      <c r="A523" s="9" t="s">
        <v>1176</v>
      </c>
      <c r="B523" s="2">
        <v>45461</v>
      </c>
      <c r="C523" s="1" t="s">
        <v>433</v>
      </c>
      <c r="D523" s="1" t="s">
        <v>147</v>
      </c>
      <c r="E523" s="1" t="s">
        <v>17</v>
      </c>
      <c r="F523" s="1" t="s">
        <v>28</v>
      </c>
      <c r="G523" s="1" t="s">
        <v>42</v>
      </c>
      <c r="H523" s="1" t="s">
        <v>43</v>
      </c>
      <c r="I523" s="1" t="s">
        <v>258</v>
      </c>
      <c r="J523" s="1">
        <v>1</v>
      </c>
      <c r="K523" s="3">
        <v>2759.71</v>
      </c>
      <c r="L523" s="1">
        <v>5</v>
      </c>
      <c r="M523" s="1" t="s">
        <v>56</v>
      </c>
      <c r="N523" s="10" t="s">
        <v>74</v>
      </c>
    </row>
    <row r="524" spans="1:14" x14ac:dyDescent="0.25">
      <c r="A524" s="9" t="s">
        <v>1177</v>
      </c>
      <c r="B524" s="2">
        <v>45178</v>
      </c>
      <c r="C524" s="1" t="s">
        <v>1178</v>
      </c>
      <c r="D524" s="1" t="s">
        <v>52</v>
      </c>
      <c r="E524" s="1" t="s">
        <v>17</v>
      </c>
      <c r="F524" s="1" t="s">
        <v>18</v>
      </c>
      <c r="G524" s="1" t="s">
        <v>83</v>
      </c>
      <c r="H524" s="1" t="s">
        <v>43</v>
      </c>
      <c r="I524" s="1" t="s">
        <v>323</v>
      </c>
      <c r="J524" s="1">
        <v>3</v>
      </c>
      <c r="K524" s="3">
        <v>2929.96</v>
      </c>
      <c r="L524" s="1">
        <v>20</v>
      </c>
      <c r="M524" s="1" t="s">
        <v>69</v>
      </c>
      <c r="N524" s="10" t="s">
        <v>31</v>
      </c>
    </row>
    <row r="525" spans="1:14" x14ac:dyDescent="0.25">
      <c r="A525" s="9" t="s">
        <v>1179</v>
      </c>
      <c r="B525" s="2">
        <v>45021</v>
      </c>
      <c r="C525" s="1" t="s">
        <v>1180</v>
      </c>
      <c r="D525" s="1" t="s">
        <v>71</v>
      </c>
      <c r="E525" s="1" t="s">
        <v>17</v>
      </c>
      <c r="F525" s="1" t="s">
        <v>49</v>
      </c>
      <c r="G525" s="1" t="s">
        <v>42</v>
      </c>
      <c r="H525" s="1" t="s">
        <v>43</v>
      </c>
      <c r="I525" s="1" t="s">
        <v>394</v>
      </c>
      <c r="J525" s="1">
        <v>7</v>
      </c>
      <c r="K525" s="3">
        <v>21021.439999999999</v>
      </c>
      <c r="L525" s="1" t="s">
        <v>110</v>
      </c>
      <c r="M525" s="1" t="s">
        <v>56</v>
      </c>
      <c r="N525" s="10" t="s">
        <v>23</v>
      </c>
    </row>
    <row r="526" spans="1:14" x14ac:dyDescent="0.25">
      <c r="A526" s="9" t="s">
        <v>1181</v>
      </c>
      <c r="B526" s="2">
        <v>45296</v>
      </c>
      <c r="C526" s="1" t="s">
        <v>1182</v>
      </c>
      <c r="D526" s="1" t="s">
        <v>52</v>
      </c>
      <c r="E526" s="1" t="s">
        <v>41</v>
      </c>
      <c r="F526" s="1" t="s">
        <v>28</v>
      </c>
      <c r="G526" s="1" t="s">
        <v>42</v>
      </c>
      <c r="H526" s="1" t="s">
        <v>43</v>
      </c>
      <c r="I526" s="1" t="s">
        <v>50</v>
      </c>
      <c r="J526" s="1">
        <v>7</v>
      </c>
      <c r="K526" s="3">
        <v>32794.54</v>
      </c>
      <c r="L526" s="1">
        <v>15</v>
      </c>
      <c r="M526" s="1" t="s">
        <v>36</v>
      </c>
      <c r="N526" s="10" t="s">
        <v>64</v>
      </c>
    </row>
    <row r="527" spans="1:14" x14ac:dyDescent="0.25">
      <c r="A527" s="9" t="s">
        <v>1183</v>
      </c>
      <c r="B527" s="2">
        <v>45255</v>
      </c>
      <c r="C527" s="1" t="s">
        <v>405</v>
      </c>
      <c r="D527" s="1" t="s">
        <v>67</v>
      </c>
      <c r="E527" s="1" t="s">
        <v>27</v>
      </c>
      <c r="F527" s="1" t="s">
        <v>82</v>
      </c>
      <c r="G527" s="1" t="s">
        <v>53</v>
      </c>
      <c r="H527" s="1" t="s">
        <v>54</v>
      </c>
      <c r="I527" s="1" t="s">
        <v>437</v>
      </c>
      <c r="J527" s="1">
        <v>2</v>
      </c>
      <c r="K527" s="3">
        <v>5103.26</v>
      </c>
      <c r="L527" s="1">
        <v>15</v>
      </c>
      <c r="M527" s="1" t="s">
        <v>56</v>
      </c>
      <c r="N527" s="10" t="s">
        <v>45</v>
      </c>
    </row>
    <row r="528" spans="1:14" x14ac:dyDescent="0.25">
      <c r="A528" s="9" t="s">
        <v>1184</v>
      </c>
      <c r="B528" s="2">
        <v>45038</v>
      </c>
      <c r="C528" s="1" t="s">
        <v>767</v>
      </c>
      <c r="D528" s="1" t="s">
        <v>33</v>
      </c>
      <c r="E528" s="1" t="s">
        <v>59</v>
      </c>
      <c r="F528" s="1" t="s">
        <v>18</v>
      </c>
      <c r="G528" s="1" t="s">
        <v>83</v>
      </c>
      <c r="H528" s="1" t="s">
        <v>43</v>
      </c>
      <c r="I528" s="1" t="s">
        <v>144</v>
      </c>
      <c r="J528" s="1">
        <v>4</v>
      </c>
      <c r="K528" s="3">
        <v>6629.21</v>
      </c>
      <c r="L528" s="1">
        <v>5</v>
      </c>
      <c r="M528" s="1" t="s">
        <v>93</v>
      </c>
      <c r="N528" s="10" t="s">
        <v>37</v>
      </c>
    </row>
    <row r="529" spans="1:14" x14ac:dyDescent="0.25">
      <c r="A529" s="9" t="s">
        <v>1185</v>
      </c>
      <c r="B529" s="2">
        <v>45008</v>
      </c>
      <c r="C529" s="1" t="s">
        <v>1186</v>
      </c>
      <c r="D529" s="1" t="s">
        <v>40</v>
      </c>
      <c r="E529" s="1" t="s">
        <v>27</v>
      </c>
      <c r="F529" s="1" t="s">
        <v>88</v>
      </c>
      <c r="G529" s="1" t="s">
        <v>19</v>
      </c>
      <c r="H529" s="1" t="s">
        <v>29</v>
      </c>
      <c r="I529" s="1" t="s">
        <v>385</v>
      </c>
      <c r="J529" s="1">
        <v>8</v>
      </c>
      <c r="K529" s="3">
        <v>16069.94</v>
      </c>
      <c r="L529" s="1" t="s">
        <v>110</v>
      </c>
      <c r="M529" s="1" t="s">
        <v>22</v>
      </c>
      <c r="N529" s="10" t="s">
        <v>74</v>
      </c>
    </row>
    <row r="530" spans="1:14" x14ac:dyDescent="0.25">
      <c r="A530" s="9" t="s">
        <v>1187</v>
      </c>
      <c r="B530" s="2">
        <v>44976</v>
      </c>
      <c r="C530" s="1" t="s">
        <v>578</v>
      </c>
      <c r="D530" s="1" t="s">
        <v>33</v>
      </c>
      <c r="E530" s="1" t="s">
        <v>72</v>
      </c>
      <c r="F530" s="1" t="s">
        <v>82</v>
      </c>
      <c r="G530" s="1" t="s">
        <v>53</v>
      </c>
      <c r="H530" s="1" t="s">
        <v>54</v>
      </c>
      <c r="I530" s="1" t="s">
        <v>103</v>
      </c>
      <c r="J530" s="1">
        <v>6</v>
      </c>
      <c r="K530" s="3">
        <v>9474.73</v>
      </c>
      <c r="L530" s="1">
        <v>15</v>
      </c>
      <c r="M530" s="1" t="s">
        <v>22</v>
      </c>
      <c r="N530" s="10" t="s">
        <v>31</v>
      </c>
    </row>
    <row r="531" spans="1:14" x14ac:dyDescent="0.25">
      <c r="A531" s="9" t="s">
        <v>1188</v>
      </c>
      <c r="B531" s="2">
        <v>45320</v>
      </c>
      <c r="C531" s="1" t="s">
        <v>1189</v>
      </c>
      <c r="D531" s="1" t="s">
        <v>87</v>
      </c>
      <c r="E531" s="1" t="s">
        <v>34</v>
      </c>
      <c r="F531" s="1" t="s">
        <v>88</v>
      </c>
      <c r="G531" s="1" t="s">
        <v>53</v>
      </c>
      <c r="H531" s="1" t="s">
        <v>54</v>
      </c>
      <c r="I531" s="1" t="s">
        <v>437</v>
      </c>
      <c r="J531" s="1">
        <v>4</v>
      </c>
      <c r="K531" s="3">
        <v>11933.7</v>
      </c>
      <c r="L531" s="1">
        <v>0</v>
      </c>
      <c r="M531" s="1" t="s">
        <v>69</v>
      </c>
      <c r="N531" s="10" t="s">
        <v>31</v>
      </c>
    </row>
    <row r="532" spans="1:14" x14ac:dyDescent="0.25">
      <c r="A532" s="9" t="s">
        <v>1190</v>
      </c>
      <c r="B532" s="2">
        <v>45262</v>
      </c>
      <c r="C532" s="1" t="s">
        <v>1191</v>
      </c>
      <c r="D532" s="1" t="s">
        <v>16</v>
      </c>
      <c r="E532" s="1" t="s">
        <v>59</v>
      </c>
      <c r="F532" s="1" t="s">
        <v>88</v>
      </c>
      <c r="G532" s="1" t="s">
        <v>53</v>
      </c>
      <c r="H532" s="1" t="s">
        <v>54</v>
      </c>
      <c r="I532" s="1" t="s">
        <v>236</v>
      </c>
      <c r="J532" s="1">
        <v>8</v>
      </c>
      <c r="K532" s="3">
        <v>26515.61</v>
      </c>
      <c r="L532" s="1">
        <v>5</v>
      </c>
      <c r="M532" s="1" t="s">
        <v>69</v>
      </c>
      <c r="N532" s="10" t="s">
        <v>74</v>
      </c>
    </row>
    <row r="533" spans="1:14" x14ac:dyDescent="0.25">
      <c r="A533" s="9" t="s">
        <v>1192</v>
      </c>
      <c r="B533" s="2">
        <v>45298</v>
      </c>
      <c r="C533" s="1" t="s">
        <v>1152</v>
      </c>
      <c r="D533" s="1" t="s">
        <v>71</v>
      </c>
      <c r="E533" s="1" t="s">
        <v>27</v>
      </c>
      <c r="F533" s="1" t="s">
        <v>18</v>
      </c>
      <c r="G533" s="1" t="s">
        <v>42</v>
      </c>
      <c r="H533" s="1" t="s">
        <v>61</v>
      </c>
      <c r="I533" s="1" t="s">
        <v>115</v>
      </c>
      <c r="J533" s="1">
        <v>6</v>
      </c>
      <c r="K533" s="3">
        <v>22983.23</v>
      </c>
      <c r="L533" s="1" t="s">
        <v>110</v>
      </c>
      <c r="M533" s="1" t="s">
        <v>56</v>
      </c>
      <c r="N533" s="10" t="s">
        <v>64</v>
      </c>
    </row>
    <row r="534" spans="1:14" x14ac:dyDescent="0.25">
      <c r="A534" s="9" t="s">
        <v>1193</v>
      </c>
      <c r="B534" s="2">
        <v>45193</v>
      </c>
      <c r="C534" s="1" t="s">
        <v>1194</v>
      </c>
      <c r="D534" s="1" t="s">
        <v>67</v>
      </c>
      <c r="E534" s="1" t="s">
        <v>27</v>
      </c>
      <c r="F534" s="1" t="s">
        <v>88</v>
      </c>
      <c r="G534" s="1" t="s">
        <v>19</v>
      </c>
      <c r="H534" s="1" t="s">
        <v>20</v>
      </c>
      <c r="I534" s="1" t="s">
        <v>280</v>
      </c>
      <c r="J534" s="1">
        <v>8</v>
      </c>
      <c r="K534" s="3">
        <v>20014.28</v>
      </c>
      <c r="L534" s="1">
        <v>5</v>
      </c>
      <c r="M534" s="1" t="s">
        <v>22</v>
      </c>
      <c r="N534" s="10" t="s">
        <v>31</v>
      </c>
    </row>
    <row r="535" spans="1:14" x14ac:dyDescent="0.25">
      <c r="A535" s="9" t="s">
        <v>1195</v>
      </c>
      <c r="B535" s="2">
        <v>45436</v>
      </c>
      <c r="C535" s="1" t="s">
        <v>372</v>
      </c>
      <c r="D535" s="1" t="s">
        <v>40</v>
      </c>
      <c r="E535" s="1" t="s">
        <v>41</v>
      </c>
      <c r="F535" s="1" t="s">
        <v>99</v>
      </c>
      <c r="G535" s="1" t="s">
        <v>19</v>
      </c>
      <c r="H535" s="1" t="s">
        <v>20</v>
      </c>
      <c r="I535" s="1" t="s">
        <v>193</v>
      </c>
      <c r="J535" s="1">
        <v>8</v>
      </c>
      <c r="K535" s="3">
        <v>24797.38</v>
      </c>
      <c r="L535" s="1">
        <v>20</v>
      </c>
      <c r="M535" s="1" t="s">
        <v>63</v>
      </c>
      <c r="N535" s="10" t="s">
        <v>64</v>
      </c>
    </row>
    <row r="536" spans="1:14" x14ac:dyDescent="0.25">
      <c r="A536" s="9" t="s">
        <v>1196</v>
      </c>
      <c r="B536" s="2">
        <v>45042</v>
      </c>
      <c r="C536" s="1" t="s">
        <v>1145</v>
      </c>
      <c r="D536" s="1" t="s">
        <v>48</v>
      </c>
      <c r="E536" s="1" t="s">
        <v>41</v>
      </c>
      <c r="F536" s="1" t="s">
        <v>82</v>
      </c>
      <c r="G536" s="1" t="s">
        <v>19</v>
      </c>
      <c r="H536" s="1" t="s">
        <v>29</v>
      </c>
      <c r="I536" s="1" t="s">
        <v>646</v>
      </c>
      <c r="J536" s="1">
        <v>10</v>
      </c>
      <c r="K536" s="3">
        <v>40667.61</v>
      </c>
      <c r="L536" s="1">
        <v>10</v>
      </c>
      <c r="M536" s="1" t="s">
        <v>22</v>
      </c>
      <c r="N536" s="10" t="s">
        <v>31</v>
      </c>
    </row>
    <row r="537" spans="1:14" x14ac:dyDescent="0.25">
      <c r="A537" s="9" t="s">
        <v>1197</v>
      </c>
      <c r="B537" s="2">
        <v>45194</v>
      </c>
      <c r="C537" s="1" t="s">
        <v>1198</v>
      </c>
      <c r="D537" s="1" t="s">
        <v>147</v>
      </c>
      <c r="E537" s="1" t="s">
        <v>17</v>
      </c>
      <c r="F537" s="1" t="s">
        <v>99</v>
      </c>
      <c r="G537" s="1" t="s">
        <v>19</v>
      </c>
      <c r="H537" s="1" t="s">
        <v>29</v>
      </c>
      <c r="I537" s="1" t="s">
        <v>693</v>
      </c>
      <c r="J537" s="1">
        <v>3</v>
      </c>
      <c r="K537" s="3">
        <v>6071.02</v>
      </c>
      <c r="L537" s="1" t="s">
        <v>110</v>
      </c>
      <c r="M537" s="1" t="s">
        <v>22</v>
      </c>
      <c r="N537" s="10" t="s">
        <v>31</v>
      </c>
    </row>
    <row r="538" spans="1:14" x14ac:dyDescent="0.25">
      <c r="A538" s="9" t="s">
        <v>1199</v>
      </c>
      <c r="B538" s="2">
        <v>45290</v>
      </c>
      <c r="C538" s="1" t="s">
        <v>1200</v>
      </c>
      <c r="D538" s="1" t="s">
        <v>40</v>
      </c>
      <c r="E538" s="1" t="s">
        <v>17</v>
      </c>
      <c r="F538" s="1" t="s">
        <v>99</v>
      </c>
      <c r="G538" s="1" t="s">
        <v>42</v>
      </c>
      <c r="H538" s="1" t="s">
        <v>61</v>
      </c>
      <c r="I538" s="1" t="s">
        <v>247</v>
      </c>
      <c r="J538" s="1">
        <v>9</v>
      </c>
      <c r="K538" s="3">
        <v>33738.71</v>
      </c>
      <c r="L538" s="1">
        <v>0</v>
      </c>
      <c r="M538" s="1" t="s">
        <v>93</v>
      </c>
      <c r="N538" s="10" t="s">
        <v>64</v>
      </c>
    </row>
    <row r="539" spans="1:14" x14ac:dyDescent="0.25">
      <c r="A539" s="9" t="s">
        <v>1201</v>
      </c>
      <c r="B539" s="2">
        <v>45341</v>
      </c>
      <c r="C539" s="1" t="s">
        <v>1202</v>
      </c>
      <c r="D539" s="1" t="s">
        <v>67</v>
      </c>
      <c r="E539" s="1" t="s">
        <v>41</v>
      </c>
      <c r="F539" s="1" t="s">
        <v>99</v>
      </c>
      <c r="G539" s="1" t="s">
        <v>19</v>
      </c>
      <c r="H539" s="1" t="s">
        <v>29</v>
      </c>
      <c r="I539" s="1" t="s">
        <v>646</v>
      </c>
      <c r="J539" s="1">
        <v>3</v>
      </c>
      <c r="K539" s="3">
        <v>13549.67</v>
      </c>
      <c r="L539" s="1">
        <v>0</v>
      </c>
      <c r="M539" s="1" t="s">
        <v>69</v>
      </c>
      <c r="N539" s="10" t="s">
        <v>37</v>
      </c>
    </row>
    <row r="540" spans="1:14" x14ac:dyDescent="0.25">
      <c r="A540" s="9" t="s">
        <v>1203</v>
      </c>
      <c r="B540" s="2">
        <v>45607</v>
      </c>
      <c r="C540" s="1" t="s">
        <v>156</v>
      </c>
      <c r="D540" s="1" t="s">
        <v>71</v>
      </c>
      <c r="E540" s="1" t="s">
        <v>27</v>
      </c>
      <c r="F540" s="1" t="s">
        <v>28</v>
      </c>
      <c r="G540" s="1" t="s">
        <v>42</v>
      </c>
      <c r="H540" s="1" t="s">
        <v>61</v>
      </c>
      <c r="I540" s="1" t="s">
        <v>196</v>
      </c>
      <c r="J540" s="1">
        <v>5</v>
      </c>
      <c r="K540" s="3">
        <v>23529.37</v>
      </c>
      <c r="L540" s="1">
        <v>15</v>
      </c>
      <c r="M540" s="1" t="s">
        <v>56</v>
      </c>
      <c r="N540" s="10" t="s">
        <v>74</v>
      </c>
    </row>
    <row r="541" spans="1:14" x14ac:dyDescent="0.25">
      <c r="A541" s="9" t="s">
        <v>1204</v>
      </c>
      <c r="B541" s="2">
        <v>45262</v>
      </c>
      <c r="C541" s="1" t="s">
        <v>906</v>
      </c>
      <c r="D541" s="1" t="s">
        <v>81</v>
      </c>
      <c r="E541" s="1" t="s">
        <v>72</v>
      </c>
      <c r="F541" s="1" t="s">
        <v>18</v>
      </c>
      <c r="G541" s="1" t="s">
        <v>19</v>
      </c>
      <c r="H541" s="1" t="s">
        <v>20</v>
      </c>
      <c r="I541" s="1" t="s">
        <v>193</v>
      </c>
      <c r="J541" s="1">
        <v>1</v>
      </c>
      <c r="K541" s="3">
        <v>4673.2700000000004</v>
      </c>
      <c r="L541" s="1">
        <v>20</v>
      </c>
      <c r="M541" s="1" t="s">
        <v>36</v>
      </c>
      <c r="N541" s="10" t="s">
        <v>23</v>
      </c>
    </row>
    <row r="542" spans="1:14" x14ac:dyDescent="0.25">
      <c r="A542" s="9" t="s">
        <v>1205</v>
      </c>
      <c r="B542" s="2">
        <v>45021</v>
      </c>
      <c r="C542" s="1" t="s">
        <v>131</v>
      </c>
      <c r="D542" s="1" t="s">
        <v>16</v>
      </c>
      <c r="E542" s="1" t="s">
        <v>17</v>
      </c>
      <c r="F542" s="1" t="s">
        <v>82</v>
      </c>
      <c r="G542" s="1" t="s">
        <v>42</v>
      </c>
      <c r="H542" s="1" t="s">
        <v>61</v>
      </c>
      <c r="I542" s="1" t="s">
        <v>234</v>
      </c>
      <c r="J542" s="1">
        <v>9</v>
      </c>
      <c r="K542" s="3">
        <v>24131.64</v>
      </c>
      <c r="L542" s="1">
        <v>20</v>
      </c>
      <c r="M542" s="1" t="s">
        <v>56</v>
      </c>
      <c r="N542" s="10" t="s">
        <v>31</v>
      </c>
    </row>
    <row r="543" spans="1:14" x14ac:dyDescent="0.25">
      <c r="A543" s="9" t="s">
        <v>1206</v>
      </c>
      <c r="B543" s="2">
        <v>45380</v>
      </c>
      <c r="C543" s="1" t="s">
        <v>827</v>
      </c>
      <c r="D543" s="1" t="s">
        <v>81</v>
      </c>
      <c r="E543" s="1" t="s">
        <v>27</v>
      </c>
      <c r="F543" s="1" t="s">
        <v>49</v>
      </c>
      <c r="G543" s="1" t="s">
        <v>42</v>
      </c>
      <c r="H543" s="1" t="s">
        <v>61</v>
      </c>
      <c r="I543" s="1" t="s">
        <v>68</v>
      </c>
      <c r="J543" s="1">
        <v>5</v>
      </c>
      <c r="K543" s="3">
        <v>16698.150000000001</v>
      </c>
      <c r="L543" s="1">
        <v>0</v>
      </c>
      <c r="M543" s="1" t="s">
        <v>63</v>
      </c>
      <c r="N543" s="10" t="s">
        <v>64</v>
      </c>
    </row>
    <row r="544" spans="1:14" x14ac:dyDescent="0.25">
      <c r="A544" s="9" t="s">
        <v>1207</v>
      </c>
      <c r="B544" s="2">
        <v>45294</v>
      </c>
      <c r="C544" s="1" t="s">
        <v>1208</v>
      </c>
      <c r="D544" s="1" t="s">
        <v>16</v>
      </c>
      <c r="E544" s="1" t="s">
        <v>27</v>
      </c>
      <c r="F544" s="1" t="s">
        <v>28</v>
      </c>
      <c r="G544" s="1" t="s">
        <v>53</v>
      </c>
      <c r="H544" s="1" t="s">
        <v>54</v>
      </c>
      <c r="I544" s="1" t="s">
        <v>548</v>
      </c>
      <c r="J544" s="1">
        <v>9</v>
      </c>
      <c r="K544" s="3">
        <v>22019.81</v>
      </c>
      <c r="L544" s="1">
        <v>20</v>
      </c>
      <c r="M544" s="1" t="s">
        <v>22</v>
      </c>
      <c r="N544" s="10" t="s">
        <v>45</v>
      </c>
    </row>
    <row r="545" spans="1:14" x14ac:dyDescent="0.25">
      <c r="A545" s="9" t="s">
        <v>1209</v>
      </c>
      <c r="B545" s="2">
        <v>45028</v>
      </c>
      <c r="C545" s="1" t="s">
        <v>1145</v>
      </c>
      <c r="D545" s="1" t="s">
        <v>16</v>
      </c>
      <c r="E545" s="1" t="s">
        <v>41</v>
      </c>
      <c r="F545" s="1" t="s">
        <v>60</v>
      </c>
      <c r="G545" s="1" t="s">
        <v>42</v>
      </c>
      <c r="H545" s="1" t="s">
        <v>61</v>
      </c>
      <c r="I545" s="1" t="s">
        <v>388</v>
      </c>
      <c r="J545" s="1">
        <v>3</v>
      </c>
      <c r="K545" s="3">
        <v>6664.1</v>
      </c>
      <c r="L545" s="1">
        <v>10</v>
      </c>
      <c r="M545" s="1" t="s">
        <v>69</v>
      </c>
      <c r="N545" s="10" t="s">
        <v>45</v>
      </c>
    </row>
    <row r="546" spans="1:14" x14ac:dyDescent="0.25">
      <c r="A546" s="9" t="s">
        <v>1210</v>
      </c>
      <c r="B546" s="2">
        <v>45583</v>
      </c>
      <c r="C546" s="1" t="s">
        <v>934</v>
      </c>
      <c r="D546" s="1" t="s">
        <v>147</v>
      </c>
      <c r="E546" s="1" t="s">
        <v>72</v>
      </c>
      <c r="F546" s="1" t="s">
        <v>49</v>
      </c>
      <c r="G546" s="1" t="s">
        <v>53</v>
      </c>
      <c r="H546" s="1" t="s">
        <v>54</v>
      </c>
      <c r="I546" s="1" t="s">
        <v>308</v>
      </c>
      <c r="J546" s="1">
        <v>9</v>
      </c>
      <c r="K546" s="3">
        <v>21959.52</v>
      </c>
      <c r="L546" s="1">
        <v>10</v>
      </c>
      <c r="M546" s="1" t="s">
        <v>22</v>
      </c>
      <c r="N546" s="10" t="s">
        <v>64</v>
      </c>
    </row>
    <row r="547" spans="1:14" x14ac:dyDescent="0.25">
      <c r="A547" s="9" t="s">
        <v>1211</v>
      </c>
      <c r="B547" s="2">
        <v>45306</v>
      </c>
      <c r="C547" s="1" t="s">
        <v>39</v>
      </c>
      <c r="D547" s="1" t="s">
        <v>26</v>
      </c>
      <c r="E547" s="1" t="s">
        <v>41</v>
      </c>
      <c r="F547" s="1" t="s">
        <v>28</v>
      </c>
      <c r="G547" s="1" t="s">
        <v>19</v>
      </c>
      <c r="H547" s="1" t="s">
        <v>20</v>
      </c>
      <c r="I547" s="1" t="s">
        <v>312</v>
      </c>
      <c r="J547" s="1">
        <v>6</v>
      </c>
      <c r="K547" s="3">
        <v>10978.31</v>
      </c>
      <c r="L547" s="1">
        <v>0</v>
      </c>
      <c r="M547" s="1" t="s">
        <v>63</v>
      </c>
      <c r="N547" s="10" t="s">
        <v>64</v>
      </c>
    </row>
    <row r="548" spans="1:14" x14ac:dyDescent="0.25">
      <c r="A548" s="9" t="s">
        <v>1213</v>
      </c>
      <c r="B548" s="2">
        <v>44992</v>
      </c>
      <c r="C548" s="1" t="s">
        <v>1214</v>
      </c>
      <c r="D548" s="1" t="s">
        <v>52</v>
      </c>
      <c r="E548" s="1" t="s">
        <v>34</v>
      </c>
      <c r="F548" s="1" t="s">
        <v>28</v>
      </c>
      <c r="G548" s="1" t="s">
        <v>19</v>
      </c>
      <c r="H548" s="1" t="s">
        <v>29</v>
      </c>
      <c r="I548" s="1" t="s">
        <v>1215</v>
      </c>
      <c r="J548" s="1">
        <v>2</v>
      </c>
      <c r="K548" s="3">
        <v>8834.67</v>
      </c>
      <c r="L548" s="1">
        <v>0</v>
      </c>
      <c r="M548" s="1" t="s">
        <v>56</v>
      </c>
      <c r="N548" s="10" t="s">
        <v>31</v>
      </c>
    </row>
    <row r="549" spans="1:14" x14ac:dyDescent="0.25">
      <c r="A549" s="9" t="s">
        <v>1216</v>
      </c>
      <c r="B549" s="2">
        <v>45366</v>
      </c>
      <c r="C549" s="1" t="s">
        <v>860</v>
      </c>
      <c r="D549" s="1" t="s">
        <v>147</v>
      </c>
      <c r="E549" s="1" t="s">
        <v>72</v>
      </c>
      <c r="F549" s="1" t="s">
        <v>82</v>
      </c>
      <c r="G549" s="1" t="s">
        <v>19</v>
      </c>
      <c r="H549" s="1" t="s">
        <v>29</v>
      </c>
      <c r="I549" s="1" t="s">
        <v>220</v>
      </c>
      <c r="J549" s="1">
        <v>6</v>
      </c>
      <c r="K549" s="3">
        <v>8788.18</v>
      </c>
      <c r="L549" s="1" t="s">
        <v>110</v>
      </c>
      <c r="M549" s="1" t="s">
        <v>22</v>
      </c>
      <c r="N549" s="10" t="s">
        <v>23</v>
      </c>
    </row>
    <row r="550" spans="1:14" x14ac:dyDescent="0.25">
      <c r="A550" s="9" t="s">
        <v>1217</v>
      </c>
      <c r="B550" s="2">
        <v>45427</v>
      </c>
      <c r="C550" s="1" t="s">
        <v>1218</v>
      </c>
      <c r="D550" s="1" t="s">
        <v>67</v>
      </c>
      <c r="E550" s="1" t="s">
        <v>72</v>
      </c>
      <c r="F550" s="1" t="s">
        <v>18</v>
      </c>
      <c r="G550" s="1" t="s">
        <v>19</v>
      </c>
      <c r="H550" s="1" t="s">
        <v>29</v>
      </c>
      <c r="I550" s="1" t="s">
        <v>445</v>
      </c>
      <c r="J550" s="1">
        <v>10</v>
      </c>
      <c r="K550" s="3">
        <v>17008.330000000002</v>
      </c>
      <c r="L550" s="1">
        <v>5</v>
      </c>
      <c r="M550" s="1" t="s">
        <v>22</v>
      </c>
      <c r="N550" s="10" t="s">
        <v>37</v>
      </c>
    </row>
    <row r="551" spans="1:14" x14ac:dyDescent="0.25">
      <c r="A551" s="9" t="s">
        <v>1219</v>
      </c>
      <c r="B551" s="2">
        <v>45212</v>
      </c>
      <c r="C551" s="1" t="s">
        <v>1220</v>
      </c>
      <c r="D551" s="1" t="s">
        <v>71</v>
      </c>
      <c r="E551" s="1" t="s">
        <v>27</v>
      </c>
      <c r="F551" s="1" t="s">
        <v>82</v>
      </c>
      <c r="G551" s="1" t="s">
        <v>53</v>
      </c>
      <c r="H551" s="1" t="s">
        <v>54</v>
      </c>
      <c r="I551" s="1" t="s">
        <v>109</v>
      </c>
      <c r="J551" s="1">
        <v>2</v>
      </c>
      <c r="K551" s="3">
        <v>1658.97</v>
      </c>
      <c r="L551" s="1">
        <v>5</v>
      </c>
      <c r="M551" s="1" t="s">
        <v>93</v>
      </c>
      <c r="N551" s="10" t="s">
        <v>23</v>
      </c>
    </row>
    <row r="552" spans="1:14" x14ac:dyDescent="0.25">
      <c r="A552" s="9" t="s">
        <v>1221</v>
      </c>
      <c r="B552" s="2">
        <v>45092</v>
      </c>
      <c r="C552" s="1" t="s">
        <v>1222</v>
      </c>
      <c r="D552" s="1" t="s">
        <v>33</v>
      </c>
      <c r="E552" s="1" t="s">
        <v>34</v>
      </c>
      <c r="F552" s="1" t="s">
        <v>99</v>
      </c>
      <c r="G552" s="1" t="s">
        <v>19</v>
      </c>
      <c r="H552" s="1" t="s">
        <v>20</v>
      </c>
      <c r="I552" s="1" t="s">
        <v>187</v>
      </c>
      <c r="J552" s="1">
        <v>2</v>
      </c>
      <c r="K552" s="3">
        <v>2876.75</v>
      </c>
      <c r="L552" s="1" t="s">
        <v>110</v>
      </c>
      <c r="M552" s="1" t="s">
        <v>93</v>
      </c>
      <c r="N552" s="10" t="s">
        <v>37</v>
      </c>
    </row>
    <row r="553" spans="1:14" x14ac:dyDescent="0.25">
      <c r="A553" s="9" t="s">
        <v>1223</v>
      </c>
      <c r="B553" s="2">
        <v>45295</v>
      </c>
      <c r="C553" s="1" t="s">
        <v>986</v>
      </c>
      <c r="D553" s="1" t="s">
        <v>16</v>
      </c>
      <c r="E553" s="1" t="s">
        <v>17</v>
      </c>
      <c r="F553" s="1" t="s">
        <v>88</v>
      </c>
      <c r="G553" s="1" t="s">
        <v>83</v>
      </c>
      <c r="H553" s="1" t="s">
        <v>43</v>
      </c>
      <c r="I553" s="1" t="s">
        <v>323</v>
      </c>
      <c r="J553" s="1">
        <v>2</v>
      </c>
      <c r="K553" s="3">
        <v>1845.04</v>
      </c>
      <c r="L553" s="1">
        <v>20</v>
      </c>
      <c r="M553" s="1" t="s">
        <v>22</v>
      </c>
      <c r="N553" s="10" t="s">
        <v>74</v>
      </c>
    </row>
    <row r="554" spans="1:14" x14ac:dyDescent="0.25">
      <c r="A554" s="9" t="s">
        <v>1224</v>
      </c>
      <c r="B554" s="2">
        <v>45318</v>
      </c>
      <c r="C554" s="1" t="s">
        <v>595</v>
      </c>
      <c r="D554" s="1" t="s">
        <v>87</v>
      </c>
      <c r="E554" s="1" t="s">
        <v>34</v>
      </c>
      <c r="F554" s="1" t="s">
        <v>88</v>
      </c>
      <c r="G554" s="1" t="s">
        <v>42</v>
      </c>
      <c r="H554" s="1" t="s">
        <v>61</v>
      </c>
      <c r="I554" s="1" t="s">
        <v>151</v>
      </c>
      <c r="J554" s="1">
        <v>7</v>
      </c>
      <c r="K554" s="3">
        <v>4234.1400000000003</v>
      </c>
      <c r="L554" s="1" t="s">
        <v>110</v>
      </c>
      <c r="M554" s="1" t="s">
        <v>36</v>
      </c>
      <c r="N554" s="10" t="s">
        <v>31</v>
      </c>
    </row>
    <row r="555" spans="1:14" x14ac:dyDescent="0.25">
      <c r="A555" s="9" t="s">
        <v>1225</v>
      </c>
      <c r="B555" s="2">
        <v>45481</v>
      </c>
      <c r="C555" s="1" t="s">
        <v>362</v>
      </c>
      <c r="D555" s="1" t="s">
        <v>33</v>
      </c>
      <c r="E555" s="1" t="s">
        <v>59</v>
      </c>
      <c r="F555" s="1" t="s">
        <v>18</v>
      </c>
      <c r="G555" s="1" t="s">
        <v>83</v>
      </c>
      <c r="H555" s="1" t="s">
        <v>43</v>
      </c>
      <c r="I555" s="1" t="s">
        <v>44</v>
      </c>
      <c r="J555" s="1">
        <v>8</v>
      </c>
      <c r="K555" s="3">
        <v>31063.84</v>
      </c>
      <c r="L555" s="1">
        <v>15</v>
      </c>
      <c r="M555" s="1" t="s">
        <v>69</v>
      </c>
      <c r="N555" s="10" t="s">
        <v>74</v>
      </c>
    </row>
    <row r="556" spans="1:14" x14ac:dyDescent="0.25">
      <c r="A556" s="9" t="s">
        <v>1226</v>
      </c>
      <c r="B556" s="2">
        <v>45532</v>
      </c>
      <c r="C556" s="1" t="s">
        <v>1227</v>
      </c>
      <c r="D556" s="1" t="s">
        <v>71</v>
      </c>
      <c r="E556" s="1" t="s">
        <v>17</v>
      </c>
      <c r="F556" s="1" t="s">
        <v>60</v>
      </c>
      <c r="G556" s="1" t="s">
        <v>42</v>
      </c>
      <c r="H556" s="1" t="s">
        <v>43</v>
      </c>
      <c r="I556" s="1" t="s">
        <v>182</v>
      </c>
      <c r="J556" s="1">
        <v>6</v>
      </c>
      <c r="K556" s="3">
        <v>28414.69</v>
      </c>
      <c r="L556" s="1">
        <v>5</v>
      </c>
      <c r="M556" s="1" t="s">
        <v>36</v>
      </c>
      <c r="N556" s="10" t="s">
        <v>31</v>
      </c>
    </row>
    <row r="557" spans="1:14" x14ac:dyDescent="0.25">
      <c r="A557" s="9" t="s">
        <v>545</v>
      </c>
      <c r="B557" s="2">
        <v>45275</v>
      </c>
      <c r="C557" s="1" t="s">
        <v>951</v>
      </c>
      <c r="D557" s="1" t="s">
        <v>26</v>
      </c>
      <c r="E557" s="1" t="s">
        <v>17</v>
      </c>
      <c r="F557" s="1" t="s">
        <v>18</v>
      </c>
      <c r="G557" s="1" t="s">
        <v>19</v>
      </c>
      <c r="H557" s="1" t="s">
        <v>29</v>
      </c>
      <c r="I557" s="1" t="s">
        <v>646</v>
      </c>
      <c r="J557" s="1">
        <v>3</v>
      </c>
      <c r="K557" s="3">
        <v>4718.51</v>
      </c>
      <c r="L557" s="1">
        <v>15</v>
      </c>
      <c r="M557" s="1" t="s">
        <v>93</v>
      </c>
      <c r="N557" s="10" t="s">
        <v>64</v>
      </c>
    </row>
    <row r="558" spans="1:14" x14ac:dyDescent="0.25">
      <c r="A558" s="9" t="s">
        <v>1228</v>
      </c>
      <c r="B558" s="2">
        <v>45638</v>
      </c>
      <c r="C558" s="1" t="s">
        <v>1229</v>
      </c>
      <c r="D558" s="1" t="s">
        <v>87</v>
      </c>
      <c r="E558" s="1" t="s">
        <v>41</v>
      </c>
      <c r="F558" s="1" t="s">
        <v>28</v>
      </c>
      <c r="G558" s="1" t="s">
        <v>42</v>
      </c>
      <c r="H558" s="1" t="s">
        <v>61</v>
      </c>
      <c r="I558" s="1" t="s">
        <v>305</v>
      </c>
      <c r="J558" s="1">
        <v>3</v>
      </c>
      <c r="K558" s="3">
        <v>12618.52</v>
      </c>
      <c r="L558" s="1">
        <v>15</v>
      </c>
      <c r="M558" s="1" t="s">
        <v>63</v>
      </c>
      <c r="N558" s="10" t="s">
        <v>31</v>
      </c>
    </row>
    <row r="559" spans="1:14" x14ac:dyDescent="0.25">
      <c r="A559" s="9" t="s">
        <v>1230</v>
      </c>
      <c r="B559" s="2">
        <v>45218</v>
      </c>
      <c r="C559" s="1" t="s">
        <v>557</v>
      </c>
      <c r="D559" s="1" t="s">
        <v>87</v>
      </c>
      <c r="E559" s="1" t="s">
        <v>27</v>
      </c>
      <c r="F559" s="1" t="s">
        <v>49</v>
      </c>
      <c r="G559" s="1" t="s">
        <v>42</v>
      </c>
      <c r="H559" s="1" t="s">
        <v>43</v>
      </c>
      <c r="I559" s="1" t="s">
        <v>144</v>
      </c>
      <c r="J559" s="1">
        <v>6</v>
      </c>
      <c r="K559" s="3">
        <v>12934.48</v>
      </c>
      <c r="L559" s="1" t="s">
        <v>110</v>
      </c>
      <c r="M559" s="1" t="s">
        <v>56</v>
      </c>
      <c r="N559" s="10" t="s">
        <v>74</v>
      </c>
    </row>
    <row r="560" spans="1:14" x14ac:dyDescent="0.25">
      <c r="A560" s="9" t="s">
        <v>1231</v>
      </c>
      <c r="B560" s="2">
        <v>45340</v>
      </c>
      <c r="C560" s="1" t="s">
        <v>821</v>
      </c>
      <c r="D560" s="1" t="s">
        <v>87</v>
      </c>
      <c r="E560" s="1" t="s">
        <v>41</v>
      </c>
      <c r="F560" s="1" t="s">
        <v>99</v>
      </c>
      <c r="G560" s="1" t="s">
        <v>53</v>
      </c>
      <c r="H560" s="1" t="s">
        <v>54</v>
      </c>
      <c r="I560" s="1" t="s">
        <v>73</v>
      </c>
      <c r="J560" s="1">
        <v>5</v>
      </c>
      <c r="K560" s="3">
        <v>16645.509999999998</v>
      </c>
      <c r="L560" s="1">
        <v>15</v>
      </c>
      <c r="M560" s="1" t="s">
        <v>36</v>
      </c>
      <c r="N560" s="10" t="s">
        <v>45</v>
      </c>
    </row>
    <row r="561" spans="1:14" x14ac:dyDescent="0.25">
      <c r="A561" s="9" t="s">
        <v>1232</v>
      </c>
      <c r="B561" s="2">
        <v>45229</v>
      </c>
      <c r="C561" s="1" t="s">
        <v>1233</v>
      </c>
      <c r="D561" s="1" t="s">
        <v>16</v>
      </c>
      <c r="E561" s="1" t="s">
        <v>72</v>
      </c>
      <c r="F561" s="1" t="s">
        <v>60</v>
      </c>
      <c r="G561" s="1" t="s">
        <v>19</v>
      </c>
      <c r="H561" s="1" t="s">
        <v>20</v>
      </c>
      <c r="I561" s="1" t="s">
        <v>1234</v>
      </c>
      <c r="J561" s="1">
        <v>9</v>
      </c>
      <c r="K561" s="3">
        <v>6413.41</v>
      </c>
      <c r="L561" s="1" t="s">
        <v>110</v>
      </c>
      <c r="M561" s="1" t="s">
        <v>56</v>
      </c>
      <c r="N561" s="10" t="s">
        <v>23</v>
      </c>
    </row>
    <row r="562" spans="1:14" x14ac:dyDescent="0.25">
      <c r="A562" s="9" t="s">
        <v>1235</v>
      </c>
      <c r="B562" s="2">
        <v>44953</v>
      </c>
      <c r="C562" s="1" t="s">
        <v>1110</v>
      </c>
      <c r="D562" s="1" t="s">
        <v>67</v>
      </c>
      <c r="E562" s="1" t="s">
        <v>59</v>
      </c>
      <c r="F562" s="1" t="s">
        <v>28</v>
      </c>
      <c r="G562" s="1" t="s">
        <v>83</v>
      </c>
      <c r="H562" s="1" t="s">
        <v>43</v>
      </c>
      <c r="I562" s="1" t="s">
        <v>494</v>
      </c>
      <c r="J562" s="1">
        <v>8</v>
      </c>
      <c r="K562" s="3">
        <v>31713.47</v>
      </c>
      <c r="L562" s="1">
        <v>20</v>
      </c>
      <c r="M562" s="1" t="s">
        <v>56</v>
      </c>
      <c r="N562" s="10" t="s">
        <v>45</v>
      </c>
    </row>
    <row r="563" spans="1:14" x14ac:dyDescent="0.25">
      <c r="A563" s="9" t="s">
        <v>1236</v>
      </c>
      <c r="B563" s="2">
        <v>45116</v>
      </c>
      <c r="C563" s="1" t="s">
        <v>1237</v>
      </c>
      <c r="D563" s="1" t="s">
        <v>16</v>
      </c>
      <c r="E563" s="1" t="s">
        <v>59</v>
      </c>
      <c r="F563" s="1" t="s">
        <v>88</v>
      </c>
      <c r="G563" s="1" t="s">
        <v>42</v>
      </c>
      <c r="H563" s="1" t="s">
        <v>61</v>
      </c>
      <c r="I563" s="1" t="s">
        <v>1096</v>
      </c>
      <c r="J563" s="1">
        <v>10</v>
      </c>
      <c r="K563" s="3">
        <v>4145.3900000000003</v>
      </c>
      <c r="L563" s="1" t="s">
        <v>110</v>
      </c>
      <c r="M563" s="1" t="s">
        <v>56</v>
      </c>
      <c r="N563" s="10" t="s">
        <v>37</v>
      </c>
    </row>
    <row r="564" spans="1:14" x14ac:dyDescent="0.25">
      <c r="A564" s="9" t="s">
        <v>1238</v>
      </c>
      <c r="B564" s="2">
        <v>45200</v>
      </c>
      <c r="C564" s="1" t="s">
        <v>1239</v>
      </c>
      <c r="D564" s="1" t="s">
        <v>26</v>
      </c>
      <c r="E564" s="1" t="s">
        <v>27</v>
      </c>
      <c r="F564" s="1" t="s">
        <v>60</v>
      </c>
      <c r="G564" s="1" t="s">
        <v>19</v>
      </c>
      <c r="H564" s="1" t="s">
        <v>20</v>
      </c>
      <c r="I564" s="1" t="s">
        <v>176</v>
      </c>
      <c r="J564" s="1">
        <v>3</v>
      </c>
      <c r="K564" s="3">
        <v>14139.4</v>
      </c>
      <c r="L564" s="1">
        <v>20</v>
      </c>
      <c r="M564" s="1" t="s">
        <v>93</v>
      </c>
      <c r="N564" s="10" t="s">
        <v>45</v>
      </c>
    </row>
    <row r="565" spans="1:14" x14ac:dyDescent="0.25">
      <c r="A565" s="9" t="s">
        <v>1240</v>
      </c>
      <c r="B565" s="2">
        <v>45653</v>
      </c>
      <c r="C565" s="1" t="s">
        <v>1241</v>
      </c>
      <c r="D565" s="1" t="s">
        <v>87</v>
      </c>
      <c r="E565" s="1" t="s">
        <v>72</v>
      </c>
      <c r="F565" s="1" t="s">
        <v>28</v>
      </c>
      <c r="G565" s="1" t="s">
        <v>42</v>
      </c>
      <c r="H565" s="1" t="s">
        <v>43</v>
      </c>
      <c r="I565" s="1" t="s">
        <v>258</v>
      </c>
      <c r="J565" s="1">
        <v>4</v>
      </c>
      <c r="K565" s="3">
        <v>5031.1000000000004</v>
      </c>
      <c r="L565" s="1">
        <v>10</v>
      </c>
      <c r="M565" s="1" t="s">
        <v>22</v>
      </c>
      <c r="N565" s="10" t="s">
        <v>31</v>
      </c>
    </row>
    <row r="566" spans="1:14" x14ac:dyDescent="0.25">
      <c r="A566" s="9" t="s">
        <v>1242</v>
      </c>
      <c r="B566" s="2">
        <v>45060</v>
      </c>
      <c r="C566" s="1" t="s">
        <v>1243</v>
      </c>
      <c r="D566" s="1" t="s">
        <v>48</v>
      </c>
      <c r="E566" s="1" t="s">
        <v>34</v>
      </c>
      <c r="F566" s="1" t="s">
        <v>18</v>
      </c>
      <c r="G566" s="1" t="s">
        <v>19</v>
      </c>
      <c r="H566" s="1" t="s">
        <v>20</v>
      </c>
      <c r="I566" s="1" t="s">
        <v>312</v>
      </c>
      <c r="J566" s="1">
        <v>9</v>
      </c>
      <c r="K566" s="3">
        <v>29246.63</v>
      </c>
      <c r="L566" s="1">
        <v>20</v>
      </c>
      <c r="M566" s="1" t="s">
        <v>93</v>
      </c>
      <c r="N566" s="10" t="s">
        <v>23</v>
      </c>
    </row>
    <row r="567" spans="1:14" x14ac:dyDescent="0.25">
      <c r="A567" s="9" t="s">
        <v>1244</v>
      </c>
      <c r="B567" s="2">
        <v>45496</v>
      </c>
      <c r="C567" s="1" t="s">
        <v>1245</v>
      </c>
      <c r="D567" s="1" t="s">
        <v>40</v>
      </c>
      <c r="E567" s="1" t="s">
        <v>59</v>
      </c>
      <c r="F567" s="1" t="s">
        <v>88</v>
      </c>
      <c r="G567" s="1" t="s">
        <v>83</v>
      </c>
      <c r="H567" s="1" t="s">
        <v>43</v>
      </c>
      <c r="I567" s="1" t="s">
        <v>566</v>
      </c>
      <c r="J567" s="1">
        <v>6</v>
      </c>
      <c r="K567" s="3">
        <v>11209.84</v>
      </c>
      <c r="L567" s="1">
        <v>10</v>
      </c>
      <c r="M567" s="1" t="s">
        <v>56</v>
      </c>
      <c r="N567" s="10" t="s">
        <v>45</v>
      </c>
    </row>
    <row r="568" spans="1:14" x14ac:dyDescent="0.25">
      <c r="A568" s="9" t="s">
        <v>1246</v>
      </c>
      <c r="B568" s="2">
        <v>45011</v>
      </c>
      <c r="C568" s="1" t="s">
        <v>1247</v>
      </c>
      <c r="D568" s="1" t="s">
        <v>26</v>
      </c>
      <c r="E568" s="1" t="s">
        <v>17</v>
      </c>
      <c r="F568" s="1" t="s">
        <v>99</v>
      </c>
      <c r="G568" s="1" t="s">
        <v>19</v>
      </c>
      <c r="H568" s="1" t="s">
        <v>20</v>
      </c>
      <c r="I568" s="1" t="s">
        <v>179</v>
      </c>
      <c r="J568" s="1">
        <v>4</v>
      </c>
      <c r="K568" s="3">
        <v>1279.27</v>
      </c>
      <c r="L568" s="1">
        <v>15</v>
      </c>
      <c r="M568" s="1" t="s">
        <v>93</v>
      </c>
      <c r="N568" s="10" t="s">
        <v>23</v>
      </c>
    </row>
    <row r="569" spans="1:14" x14ac:dyDescent="0.25">
      <c r="A569" s="9" t="s">
        <v>383</v>
      </c>
      <c r="B569" s="2">
        <v>45566</v>
      </c>
      <c r="C569" s="1" t="s">
        <v>849</v>
      </c>
      <c r="D569" s="1" t="s">
        <v>71</v>
      </c>
      <c r="E569" s="1" t="s">
        <v>41</v>
      </c>
      <c r="F569" s="1" t="s">
        <v>18</v>
      </c>
      <c r="G569" s="1" t="s">
        <v>19</v>
      </c>
      <c r="H569" s="1" t="s">
        <v>29</v>
      </c>
      <c r="I569" s="1" t="s">
        <v>220</v>
      </c>
      <c r="J569" s="1">
        <v>6</v>
      </c>
      <c r="K569" s="3">
        <v>4194.8999999999996</v>
      </c>
      <c r="L569" s="1">
        <v>0</v>
      </c>
      <c r="M569" s="1" t="s">
        <v>69</v>
      </c>
      <c r="N569" s="10" t="s">
        <v>64</v>
      </c>
    </row>
    <row r="570" spans="1:14" x14ac:dyDescent="0.25">
      <c r="A570" s="9" t="s">
        <v>1248</v>
      </c>
      <c r="B570" s="2">
        <v>45572</v>
      </c>
      <c r="C570" s="1" t="s">
        <v>669</v>
      </c>
      <c r="D570" s="1" t="s">
        <v>33</v>
      </c>
      <c r="E570" s="1" t="s">
        <v>27</v>
      </c>
      <c r="F570" s="1" t="s">
        <v>88</v>
      </c>
      <c r="G570" s="1" t="s">
        <v>19</v>
      </c>
      <c r="H570" s="1" t="s">
        <v>29</v>
      </c>
      <c r="I570" s="1" t="s">
        <v>267</v>
      </c>
      <c r="J570" s="1">
        <v>4</v>
      </c>
      <c r="K570" s="3">
        <v>6384.68</v>
      </c>
      <c r="L570" s="1" t="s">
        <v>110</v>
      </c>
      <c r="M570" s="1" t="s">
        <v>36</v>
      </c>
      <c r="N570" s="10" t="s">
        <v>64</v>
      </c>
    </row>
    <row r="571" spans="1:14" x14ac:dyDescent="0.25">
      <c r="A571" s="9" t="s">
        <v>1249</v>
      </c>
      <c r="B571" s="2">
        <v>45369</v>
      </c>
      <c r="C571" s="1" t="s">
        <v>1250</v>
      </c>
      <c r="D571" s="1" t="s">
        <v>71</v>
      </c>
      <c r="E571" s="1" t="s">
        <v>72</v>
      </c>
      <c r="F571" s="1" t="s">
        <v>28</v>
      </c>
      <c r="G571" s="1" t="s">
        <v>19</v>
      </c>
      <c r="H571" s="1" t="s">
        <v>20</v>
      </c>
      <c r="I571" s="1" t="s">
        <v>164</v>
      </c>
      <c r="J571" s="1">
        <v>5</v>
      </c>
      <c r="K571" s="3">
        <v>9786.14</v>
      </c>
      <c r="L571" s="1">
        <v>15</v>
      </c>
      <c r="M571" s="1" t="s">
        <v>56</v>
      </c>
      <c r="N571" s="10" t="s">
        <v>37</v>
      </c>
    </row>
    <row r="572" spans="1:14" x14ac:dyDescent="0.25">
      <c r="A572" s="9" t="s">
        <v>1251</v>
      </c>
      <c r="B572" s="2">
        <v>45070</v>
      </c>
      <c r="C572" s="1" t="s">
        <v>1252</v>
      </c>
      <c r="D572" s="1" t="s">
        <v>33</v>
      </c>
      <c r="E572" s="1" t="s">
        <v>72</v>
      </c>
      <c r="F572" s="1" t="s">
        <v>82</v>
      </c>
      <c r="G572" s="1" t="s">
        <v>42</v>
      </c>
      <c r="H572" s="1" t="s">
        <v>43</v>
      </c>
      <c r="I572" s="1" t="s">
        <v>258</v>
      </c>
      <c r="J572" s="1">
        <v>4</v>
      </c>
      <c r="K572" s="3">
        <v>2739.33</v>
      </c>
      <c r="L572" s="1" t="s">
        <v>110</v>
      </c>
      <c r="M572" s="1" t="s">
        <v>36</v>
      </c>
      <c r="N572" s="10" t="s">
        <v>64</v>
      </c>
    </row>
    <row r="573" spans="1:14" x14ac:dyDescent="0.25">
      <c r="A573" s="9" t="s">
        <v>1254</v>
      </c>
      <c r="B573" s="2">
        <v>45051</v>
      </c>
      <c r="C573" s="1" t="s">
        <v>1255</v>
      </c>
      <c r="D573" s="1" t="s">
        <v>52</v>
      </c>
      <c r="E573" s="1" t="s">
        <v>34</v>
      </c>
      <c r="F573" s="1" t="s">
        <v>18</v>
      </c>
      <c r="G573" s="1" t="s">
        <v>53</v>
      </c>
      <c r="H573" s="1" t="s">
        <v>54</v>
      </c>
      <c r="I573" s="1" t="s">
        <v>207</v>
      </c>
      <c r="J573" s="1">
        <v>10</v>
      </c>
      <c r="K573" s="3">
        <v>11029.44</v>
      </c>
      <c r="L573" s="1" t="s">
        <v>110</v>
      </c>
      <c r="M573" s="1" t="s">
        <v>36</v>
      </c>
      <c r="N573" s="10" t="s">
        <v>37</v>
      </c>
    </row>
    <row r="574" spans="1:14" x14ac:dyDescent="0.25">
      <c r="A574" s="9" t="s">
        <v>1256</v>
      </c>
      <c r="B574" s="2">
        <v>44969</v>
      </c>
      <c r="C574" s="1" t="s">
        <v>1257</v>
      </c>
      <c r="D574" s="1" t="s">
        <v>147</v>
      </c>
      <c r="E574" s="1" t="s">
        <v>41</v>
      </c>
      <c r="F574" s="1" t="s">
        <v>60</v>
      </c>
      <c r="G574" s="1" t="s">
        <v>19</v>
      </c>
      <c r="H574" s="1" t="s">
        <v>20</v>
      </c>
      <c r="I574" s="1" t="s">
        <v>391</v>
      </c>
      <c r="J574" s="1">
        <v>3</v>
      </c>
      <c r="K574" s="3">
        <v>12730.94</v>
      </c>
      <c r="L574" s="1" t="s">
        <v>110</v>
      </c>
      <c r="M574" s="1" t="s">
        <v>93</v>
      </c>
      <c r="N574" s="10" t="s">
        <v>23</v>
      </c>
    </row>
    <row r="575" spans="1:14" x14ac:dyDescent="0.25">
      <c r="A575" s="9" t="s">
        <v>1258</v>
      </c>
      <c r="B575" s="2">
        <v>44931</v>
      </c>
      <c r="C575" s="1" t="s">
        <v>1259</v>
      </c>
      <c r="D575" s="1" t="s">
        <v>87</v>
      </c>
      <c r="E575" s="1" t="s">
        <v>41</v>
      </c>
      <c r="F575" s="1" t="s">
        <v>88</v>
      </c>
      <c r="G575" s="1" t="s">
        <v>19</v>
      </c>
      <c r="H575" s="1" t="s">
        <v>29</v>
      </c>
      <c r="I575" s="1" t="s">
        <v>148</v>
      </c>
      <c r="J575" s="1">
        <v>1</v>
      </c>
      <c r="K575" s="3">
        <v>4331.42</v>
      </c>
      <c r="L575" s="1" t="s">
        <v>110</v>
      </c>
      <c r="M575" s="1" t="s">
        <v>22</v>
      </c>
      <c r="N575" s="10" t="s">
        <v>64</v>
      </c>
    </row>
    <row r="576" spans="1:14" x14ac:dyDescent="0.25">
      <c r="A576" s="9" t="s">
        <v>1260</v>
      </c>
      <c r="B576" s="2">
        <v>45472</v>
      </c>
      <c r="C576" s="1" t="s">
        <v>1261</v>
      </c>
      <c r="D576" s="1" t="s">
        <v>87</v>
      </c>
      <c r="E576" s="1" t="s">
        <v>17</v>
      </c>
      <c r="F576" s="1" t="s">
        <v>88</v>
      </c>
      <c r="G576" s="1" t="s">
        <v>42</v>
      </c>
      <c r="H576" s="1" t="s">
        <v>61</v>
      </c>
      <c r="I576" s="1" t="s">
        <v>305</v>
      </c>
      <c r="J576" s="1">
        <v>6</v>
      </c>
      <c r="K576" s="3">
        <v>15934.47</v>
      </c>
      <c r="L576" s="1" t="s">
        <v>110</v>
      </c>
      <c r="M576" s="1" t="s">
        <v>63</v>
      </c>
      <c r="N576" s="10" t="s">
        <v>31</v>
      </c>
    </row>
    <row r="577" spans="1:14" x14ac:dyDescent="0.25">
      <c r="A577" s="9" t="s">
        <v>1262</v>
      </c>
      <c r="B577" s="2">
        <v>45123</v>
      </c>
      <c r="C577" s="1" t="s">
        <v>526</v>
      </c>
      <c r="D577" s="1" t="s">
        <v>52</v>
      </c>
      <c r="E577" s="1" t="s">
        <v>27</v>
      </c>
      <c r="F577" s="1" t="s">
        <v>18</v>
      </c>
      <c r="G577" s="1" t="s">
        <v>19</v>
      </c>
      <c r="H577" s="1" t="s">
        <v>20</v>
      </c>
      <c r="I577" s="1" t="s">
        <v>254</v>
      </c>
      <c r="J577" s="1">
        <v>3</v>
      </c>
      <c r="K577" s="3">
        <v>9032.0499999999993</v>
      </c>
      <c r="L577" s="1">
        <v>0</v>
      </c>
      <c r="M577" s="1" t="s">
        <v>93</v>
      </c>
      <c r="N577" s="10" t="s">
        <v>37</v>
      </c>
    </row>
    <row r="578" spans="1:14" x14ac:dyDescent="0.25">
      <c r="A578" s="9" t="s">
        <v>802</v>
      </c>
      <c r="B578" s="2">
        <v>45638</v>
      </c>
      <c r="C578" s="1" t="s">
        <v>32</v>
      </c>
      <c r="D578" s="1" t="s">
        <v>147</v>
      </c>
      <c r="E578" s="1" t="s">
        <v>72</v>
      </c>
      <c r="F578" s="1" t="s">
        <v>49</v>
      </c>
      <c r="G578" s="1" t="s">
        <v>42</v>
      </c>
      <c r="H578" s="1" t="s">
        <v>43</v>
      </c>
      <c r="I578" s="1" t="s">
        <v>323</v>
      </c>
      <c r="J578" s="1">
        <v>1</v>
      </c>
      <c r="K578" s="3">
        <v>2617.25</v>
      </c>
      <c r="L578" s="1">
        <v>15</v>
      </c>
      <c r="M578" s="1" t="s">
        <v>93</v>
      </c>
      <c r="N578" s="10" t="s">
        <v>31</v>
      </c>
    </row>
    <row r="579" spans="1:14" x14ac:dyDescent="0.25">
      <c r="A579" s="9" t="s">
        <v>1263</v>
      </c>
      <c r="B579" s="2">
        <v>44958</v>
      </c>
      <c r="C579" s="1" t="s">
        <v>1264</v>
      </c>
      <c r="D579" s="1" t="s">
        <v>87</v>
      </c>
      <c r="E579" s="1" t="s">
        <v>72</v>
      </c>
      <c r="F579" s="1" t="s">
        <v>99</v>
      </c>
      <c r="G579" s="1" t="s">
        <v>53</v>
      </c>
      <c r="H579" s="1" t="s">
        <v>54</v>
      </c>
      <c r="I579" s="1" t="s">
        <v>479</v>
      </c>
      <c r="J579" s="1">
        <v>3</v>
      </c>
      <c r="K579" s="3">
        <v>8692.18</v>
      </c>
      <c r="L579" s="1">
        <v>10</v>
      </c>
      <c r="M579" s="1" t="s">
        <v>93</v>
      </c>
      <c r="N579" s="10" t="s">
        <v>31</v>
      </c>
    </row>
    <row r="580" spans="1:14" x14ac:dyDescent="0.25">
      <c r="A580" s="9" t="s">
        <v>1265</v>
      </c>
      <c r="B580" s="2">
        <v>45126</v>
      </c>
      <c r="C580" s="1" t="s">
        <v>1055</v>
      </c>
      <c r="D580" s="1" t="s">
        <v>52</v>
      </c>
      <c r="E580" s="1" t="s">
        <v>17</v>
      </c>
      <c r="F580" s="1" t="s">
        <v>60</v>
      </c>
      <c r="G580" s="1" t="s">
        <v>83</v>
      </c>
      <c r="H580" s="1" t="s">
        <v>43</v>
      </c>
      <c r="I580" s="1" t="s">
        <v>704</v>
      </c>
      <c r="J580" s="1">
        <v>1</v>
      </c>
      <c r="K580" s="3">
        <v>4155.97</v>
      </c>
      <c r="L580" s="1">
        <v>20</v>
      </c>
      <c r="M580" s="1" t="s">
        <v>93</v>
      </c>
      <c r="N580" s="10" t="s">
        <v>45</v>
      </c>
    </row>
    <row r="581" spans="1:14" x14ac:dyDescent="0.25">
      <c r="A581" s="9" t="s">
        <v>1266</v>
      </c>
      <c r="B581" s="2">
        <v>44950</v>
      </c>
      <c r="C581" s="1" t="s">
        <v>1267</v>
      </c>
      <c r="D581" s="1" t="s">
        <v>40</v>
      </c>
      <c r="E581" s="1" t="s">
        <v>27</v>
      </c>
      <c r="F581" s="1" t="s">
        <v>60</v>
      </c>
      <c r="G581" s="1" t="s">
        <v>83</v>
      </c>
      <c r="H581" s="1" t="s">
        <v>43</v>
      </c>
      <c r="I581" s="1" t="s">
        <v>244</v>
      </c>
      <c r="J581" s="1">
        <v>10</v>
      </c>
      <c r="K581" s="3">
        <v>21994.18</v>
      </c>
      <c r="L581" s="1">
        <v>0</v>
      </c>
      <c r="M581" s="1" t="s">
        <v>69</v>
      </c>
      <c r="N581" s="10" t="s">
        <v>37</v>
      </c>
    </row>
    <row r="582" spans="1:14" x14ac:dyDescent="0.25">
      <c r="A582" s="9" t="s">
        <v>1268</v>
      </c>
      <c r="B582" s="2">
        <v>45500</v>
      </c>
      <c r="C582" s="1" t="s">
        <v>934</v>
      </c>
      <c r="D582" s="1" t="s">
        <v>40</v>
      </c>
      <c r="E582" s="1" t="s">
        <v>27</v>
      </c>
      <c r="F582" s="1" t="s">
        <v>88</v>
      </c>
      <c r="G582" s="1" t="s">
        <v>53</v>
      </c>
      <c r="H582" s="1" t="s">
        <v>54</v>
      </c>
      <c r="I582" s="1" t="s">
        <v>427</v>
      </c>
      <c r="J582" s="1">
        <v>7</v>
      </c>
      <c r="K582" s="3">
        <v>9221.2999999999993</v>
      </c>
      <c r="L582" s="1">
        <v>10</v>
      </c>
      <c r="M582" s="1" t="s">
        <v>93</v>
      </c>
      <c r="N582" s="10" t="s">
        <v>37</v>
      </c>
    </row>
    <row r="583" spans="1:14" x14ac:dyDescent="0.25">
      <c r="A583" s="9" t="s">
        <v>1269</v>
      </c>
      <c r="B583" s="2">
        <v>45130</v>
      </c>
      <c r="C583" s="1" t="s">
        <v>986</v>
      </c>
      <c r="D583" s="1" t="s">
        <v>147</v>
      </c>
      <c r="E583" s="1" t="s">
        <v>17</v>
      </c>
      <c r="F583" s="1" t="s">
        <v>82</v>
      </c>
      <c r="G583" s="1" t="s">
        <v>19</v>
      </c>
      <c r="H583" s="1" t="s">
        <v>20</v>
      </c>
      <c r="I583" s="1" t="s">
        <v>239</v>
      </c>
      <c r="J583" s="1">
        <v>5</v>
      </c>
      <c r="K583" s="3">
        <v>1615.06</v>
      </c>
      <c r="L583" s="1">
        <v>5</v>
      </c>
      <c r="M583" s="1" t="s">
        <v>56</v>
      </c>
      <c r="N583" s="10" t="s">
        <v>37</v>
      </c>
    </row>
    <row r="584" spans="1:14" x14ac:dyDescent="0.25">
      <c r="A584" s="9" t="s">
        <v>1270</v>
      </c>
      <c r="B584" s="2">
        <v>45514</v>
      </c>
      <c r="C584" s="1" t="s">
        <v>755</v>
      </c>
      <c r="D584" s="1" t="s">
        <v>26</v>
      </c>
      <c r="E584" s="1" t="s">
        <v>34</v>
      </c>
      <c r="F584" s="1" t="s">
        <v>18</v>
      </c>
      <c r="G584" s="1" t="s">
        <v>42</v>
      </c>
      <c r="H584" s="1" t="s">
        <v>61</v>
      </c>
      <c r="I584" s="1" t="s">
        <v>632</v>
      </c>
      <c r="J584" s="1">
        <v>3</v>
      </c>
      <c r="K584" s="3">
        <v>11585.04</v>
      </c>
      <c r="L584" s="1" t="s">
        <v>110</v>
      </c>
      <c r="M584" s="1" t="s">
        <v>22</v>
      </c>
      <c r="N584" s="10" t="s">
        <v>31</v>
      </c>
    </row>
    <row r="585" spans="1:14" x14ac:dyDescent="0.25">
      <c r="A585" s="9" t="s">
        <v>1271</v>
      </c>
      <c r="B585" s="2">
        <v>44938</v>
      </c>
      <c r="C585" s="1" t="s">
        <v>759</v>
      </c>
      <c r="D585" s="1" t="s">
        <v>81</v>
      </c>
      <c r="E585" s="1" t="s">
        <v>41</v>
      </c>
      <c r="F585" s="1" t="s">
        <v>88</v>
      </c>
      <c r="G585" s="1" t="s">
        <v>53</v>
      </c>
      <c r="H585" s="1" t="s">
        <v>54</v>
      </c>
      <c r="I585" s="1" t="s">
        <v>1272</v>
      </c>
      <c r="J585" s="1">
        <v>4</v>
      </c>
      <c r="K585" s="3">
        <v>3953</v>
      </c>
      <c r="L585" s="1">
        <v>15</v>
      </c>
      <c r="M585" s="1" t="s">
        <v>22</v>
      </c>
      <c r="N585" s="10" t="s">
        <v>74</v>
      </c>
    </row>
    <row r="586" spans="1:14" x14ac:dyDescent="0.25">
      <c r="A586" s="9" t="s">
        <v>1273</v>
      </c>
      <c r="B586" s="2">
        <v>45400</v>
      </c>
      <c r="C586" s="1" t="s">
        <v>1274</v>
      </c>
      <c r="D586" s="1" t="s">
        <v>16</v>
      </c>
      <c r="E586" s="1" t="s">
        <v>27</v>
      </c>
      <c r="F586" s="1" t="s">
        <v>18</v>
      </c>
      <c r="G586" s="1" t="s">
        <v>19</v>
      </c>
      <c r="H586" s="1" t="s">
        <v>20</v>
      </c>
      <c r="I586" s="1" t="s">
        <v>583</v>
      </c>
      <c r="J586" s="1">
        <v>9</v>
      </c>
      <c r="K586" s="3">
        <v>38428.85</v>
      </c>
      <c r="L586" s="1">
        <v>10</v>
      </c>
      <c r="M586" s="1" t="s">
        <v>93</v>
      </c>
      <c r="N586" s="10" t="s">
        <v>45</v>
      </c>
    </row>
    <row r="587" spans="1:14" x14ac:dyDescent="0.25">
      <c r="A587" s="9" t="s">
        <v>1275</v>
      </c>
      <c r="B587" s="2">
        <v>45316</v>
      </c>
      <c r="C587" s="1" t="s">
        <v>1143</v>
      </c>
      <c r="D587" s="1" t="s">
        <v>52</v>
      </c>
      <c r="E587" s="1" t="s">
        <v>59</v>
      </c>
      <c r="F587" s="1" t="s">
        <v>99</v>
      </c>
      <c r="G587" s="1" t="s">
        <v>42</v>
      </c>
      <c r="H587" s="1" t="s">
        <v>61</v>
      </c>
      <c r="I587" s="1" t="s">
        <v>402</v>
      </c>
      <c r="J587" s="1">
        <v>7</v>
      </c>
      <c r="K587" s="3">
        <v>4208.5</v>
      </c>
      <c r="L587" s="1">
        <v>0</v>
      </c>
      <c r="M587" s="1" t="s">
        <v>56</v>
      </c>
      <c r="N587" s="10" t="s">
        <v>64</v>
      </c>
    </row>
    <row r="588" spans="1:14" x14ac:dyDescent="0.25">
      <c r="A588" s="9" t="s">
        <v>1277</v>
      </c>
      <c r="B588" s="2">
        <v>45326</v>
      </c>
      <c r="C588" s="1" t="s">
        <v>398</v>
      </c>
      <c r="D588" s="1" t="s">
        <v>87</v>
      </c>
      <c r="E588" s="1" t="s">
        <v>41</v>
      </c>
      <c r="F588" s="1" t="s">
        <v>99</v>
      </c>
      <c r="G588" s="1" t="s">
        <v>42</v>
      </c>
      <c r="H588" s="1" t="s">
        <v>43</v>
      </c>
      <c r="I588" s="1" t="s">
        <v>339</v>
      </c>
      <c r="J588" s="1">
        <v>-4</v>
      </c>
      <c r="K588" s="3">
        <v>17025.349999999999</v>
      </c>
      <c r="L588" s="1" t="s">
        <v>110</v>
      </c>
      <c r="M588" s="1" t="s">
        <v>63</v>
      </c>
      <c r="N588" s="10" t="s">
        <v>31</v>
      </c>
    </row>
    <row r="589" spans="1:14" x14ac:dyDescent="0.25">
      <c r="A589" s="9" t="s">
        <v>1278</v>
      </c>
      <c r="B589" s="2">
        <v>45243</v>
      </c>
      <c r="C589" s="1" t="s">
        <v>1279</v>
      </c>
      <c r="D589" s="1" t="s">
        <v>87</v>
      </c>
      <c r="E589" s="1" t="s">
        <v>41</v>
      </c>
      <c r="F589" s="1" t="s">
        <v>82</v>
      </c>
      <c r="G589" s="1" t="s">
        <v>83</v>
      </c>
      <c r="H589" s="1" t="s">
        <v>43</v>
      </c>
      <c r="I589" s="1" t="s">
        <v>50</v>
      </c>
      <c r="J589" s="1">
        <v>6</v>
      </c>
      <c r="K589" s="3">
        <v>5443.13</v>
      </c>
      <c r="L589" s="1">
        <v>0</v>
      </c>
      <c r="M589" s="1" t="s">
        <v>22</v>
      </c>
      <c r="N589" s="10" t="s">
        <v>23</v>
      </c>
    </row>
    <row r="590" spans="1:14" x14ac:dyDescent="0.25">
      <c r="A590" s="9" t="s">
        <v>1280</v>
      </c>
      <c r="B590" s="2">
        <v>45408</v>
      </c>
      <c r="C590" s="1" t="s">
        <v>447</v>
      </c>
      <c r="D590" s="1" t="s">
        <v>87</v>
      </c>
      <c r="E590" s="1" t="s">
        <v>59</v>
      </c>
      <c r="F590" s="1" t="s">
        <v>88</v>
      </c>
      <c r="G590" s="1" t="s">
        <v>42</v>
      </c>
      <c r="H590" s="1" t="s">
        <v>61</v>
      </c>
      <c r="I590" s="1" t="s">
        <v>725</v>
      </c>
      <c r="J590" s="1">
        <v>8</v>
      </c>
      <c r="K590" s="3">
        <v>18122.2</v>
      </c>
      <c r="L590" s="1">
        <v>20</v>
      </c>
      <c r="M590" s="1" t="s">
        <v>93</v>
      </c>
      <c r="N590" s="10" t="s">
        <v>37</v>
      </c>
    </row>
    <row r="591" spans="1:14" x14ac:dyDescent="0.25">
      <c r="A591" s="9" t="s">
        <v>1281</v>
      </c>
      <c r="B591" s="2">
        <v>45010</v>
      </c>
      <c r="C591" s="1" t="s">
        <v>1282</v>
      </c>
      <c r="D591" s="1" t="s">
        <v>26</v>
      </c>
      <c r="E591" s="1" t="s">
        <v>34</v>
      </c>
      <c r="F591" s="1" t="s">
        <v>82</v>
      </c>
      <c r="G591" s="1" t="s">
        <v>53</v>
      </c>
      <c r="H591" s="1" t="s">
        <v>54</v>
      </c>
      <c r="I591" s="1" t="s">
        <v>121</v>
      </c>
      <c r="J591" s="1">
        <v>1</v>
      </c>
      <c r="K591" s="3">
        <v>4270.74</v>
      </c>
      <c r="L591" s="1">
        <v>5</v>
      </c>
      <c r="M591" s="1" t="s">
        <v>93</v>
      </c>
      <c r="N591" s="10" t="s">
        <v>23</v>
      </c>
    </row>
    <row r="592" spans="1:14" x14ac:dyDescent="0.25">
      <c r="A592" s="9" t="s">
        <v>1283</v>
      </c>
      <c r="B592" s="2">
        <v>45438</v>
      </c>
      <c r="C592" s="1" t="s">
        <v>1284</v>
      </c>
      <c r="D592" s="1" t="s">
        <v>33</v>
      </c>
      <c r="E592" s="1" t="s">
        <v>34</v>
      </c>
      <c r="F592" s="1" t="s">
        <v>82</v>
      </c>
      <c r="G592" s="1" t="s">
        <v>19</v>
      </c>
      <c r="H592" s="1" t="s">
        <v>20</v>
      </c>
      <c r="I592" s="1" t="s">
        <v>731</v>
      </c>
      <c r="J592" s="1">
        <v>5</v>
      </c>
      <c r="K592" s="3">
        <v>14492.19</v>
      </c>
      <c r="L592" s="1">
        <v>10</v>
      </c>
      <c r="M592" s="1" t="s">
        <v>63</v>
      </c>
      <c r="N592" s="10" t="s">
        <v>45</v>
      </c>
    </row>
    <row r="593" spans="1:14" x14ac:dyDescent="0.25">
      <c r="A593" s="9" t="s">
        <v>1285</v>
      </c>
      <c r="B593" s="2">
        <v>45017</v>
      </c>
      <c r="C593" s="1" t="s">
        <v>1286</v>
      </c>
      <c r="D593" s="1" t="s">
        <v>87</v>
      </c>
      <c r="E593" s="1" t="s">
        <v>34</v>
      </c>
      <c r="F593" s="1" t="s">
        <v>49</v>
      </c>
      <c r="G593" s="1" t="s">
        <v>19</v>
      </c>
      <c r="H593" s="1" t="s">
        <v>29</v>
      </c>
      <c r="I593" s="1" t="s">
        <v>96</v>
      </c>
      <c r="J593" s="1">
        <v>4</v>
      </c>
      <c r="K593" s="3">
        <v>1253.58</v>
      </c>
      <c r="L593" s="1">
        <v>0</v>
      </c>
      <c r="M593" s="1" t="s">
        <v>63</v>
      </c>
      <c r="N593" s="10" t="s">
        <v>31</v>
      </c>
    </row>
    <row r="594" spans="1:14" x14ac:dyDescent="0.25">
      <c r="A594" s="9" t="s">
        <v>1287</v>
      </c>
      <c r="B594" s="2">
        <v>44938</v>
      </c>
      <c r="C594" s="1" t="s">
        <v>1288</v>
      </c>
      <c r="D594" s="1" t="s">
        <v>33</v>
      </c>
      <c r="E594" s="1" t="s">
        <v>41</v>
      </c>
      <c r="F594" s="1" t="s">
        <v>99</v>
      </c>
      <c r="G594" s="1" t="s">
        <v>19</v>
      </c>
      <c r="H594" s="1" t="s">
        <v>20</v>
      </c>
      <c r="I594" s="1" t="s">
        <v>176</v>
      </c>
      <c r="J594" s="1">
        <v>8</v>
      </c>
      <c r="K594" s="3">
        <v>32015.759999999998</v>
      </c>
      <c r="L594" s="1">
        <v>15</v>
      </c>
      <c r="M594" s="1" t="s">
        <v>56</v>
      </c>
      <c r="N594" s="10" t="s">
        <v>64</v>
      </c>
    </row>
    <row r="595" spans="1:14" x14ac:dyDescent="0.25">
      <c r="A595" s="9" t="s">
        <v>1289</v>
      </c>
      <c r="B595" s="2">
        <v>45642</v>
      </c>
      <c r="C595" s="1" t="s">
        <v>1004</v>
      </c>
      <c r="D595" s="1" t="s">
        <v>26</v>
      </c>
      <c r="E595" s="1" t="s">
        <v>27</v>
      </c>
      <c r="F595" s="1" t="s">
        <v>28</v>
      </c>
      <c r="G595" s="1" t="s">
        <v>42</v>
      </c>
      <c r="H595" s="1" t="s">
        <v>43</v>
      </c>
      <c r="I595" s="1" t="s">
        <v>704</v>
      </c>
      <c r="J595" s="1">
        <v>10</v>
      </c>
      <c r="K595" s="3">
        <v>19527.2</v>
      </c>
      <c r="L595" s="1">
        <v>15</v>
      </c>
      <c r="M595" s="1" t="s">
        <v>63</v>
      </c>
      <c r="N595" s="10" t="s">
        <v>23</v>
      </c>
    </row>
    <row r="596" spans="1:14" x14ac:dyDescent="0.25">
      <c r="A596" s="9" t="s">
        <v>1290</v>
      </c>
      <c r="B596" s="2">
        <v>45145</v>
      </c>
      <c r="C596" s="1" t="s">
        <v>1173</v>
      </c>
      <c r="D596" s="1" t="s">
        <v>16</v>
      </c>
      <c r="E596" s="1" t="s">
        <v>72</v>
      </c>
      <c r="F596" s="1" t="s">
        <v>49</v>
      </c>
      <c r="G596" s="1" t="s">
        <v>53</v>
      </c>
      <c r="H596" s="1" t="s">
        <v>54</v>
      </c>
      <c r="I596" s="1" t="s">
        <v>1066</v>
      </c>
      <c r="J596" s="1">
        <v>7</v>
      </c>
      <c r="K596" s="3">
        <v>3460.3</v>
      </c>
      <c r="L596" s="1">
        <v>10</v>
      </c>
      <c r="M596" s="1" t="s">
        <v>22</v>
      </c>
      <c r="N596" s="10" t="s">
        <v>74</v>
      </c>
    </row>
    <row r="597" spans="1:14" x14ac:dyDescent="0.25">
      <c r="A597" s="9" t="s">
        <v>1291</v>
      </c>
      <c r="B597" s="2">
        <v>45475</v>
      </c>
      <c r="C597" s="1" t="s">
        <v>393</v>
      </c>
      <c r="D597" s="1" t="s">
        <v>81</v>
      </c>
      <c r="E597" s="1" t="s">
        <v>59</v>
      </c>
      <c r="F597" s="1" t="s">
        <v>49</v>
      </c>
      <c r="G597" s="1" t="s">
        <v>19</v>
      </c>
      <c r="H597" s="1" t="s">
        <v>29</v>
      </c>
      <c r="I597" s="1" t="s">
        <v>374</v>
      </c>
      <c r="J597" s="1">
        <v>6</v>
      </c>
      <c r="K597" s="3">
        <v>13117.12</v>
      </c>
      <c r="L597" s="1">
        <v>20</v>
      </c>
      <c r="M597" s="1" t="s">
        <v>36</v>
      </c>
      <c r="N597" s="10" t="s">
        <v>23</v>
      </c>
    </row>
    <row r="598" spans="1:14" x14ac:dyDescent="0.25">
      <c r="A598" s="9" t="s">
        <v>1292</v>
      </c>
      <c r="B598" s="2">
        <v>44992</v>
      </c>
      <c r="C598" s="1" t="s">
        <v>1037</v>
      </c>
      <c r="D598" s="1" t="s">
        <v>67</v>
      </c>
      <c r="E598" s="1" t="s">
        <v>41</v>
      </c>
      <c r="F598" s="1" t="s">
        <v>88</v>
      </c>
      <c r="G598" s="1" t="s">
        <v>83</v>
      </c>
      <c r="H598" s="1" t="s">
        <v>43</v>
      </c>
      <c r="I598" s="1" t="s">
        <v>323</v>
      </c>
      <c r="J598" s="1">
        <v>7</v>
      </c>
      <c r="K598" s="3">
        <v>13201.9</v>
      </c>
      <c r="L598" s="1">
        <v>5</v>
      </c>
      <c r="M598" s="1" t="s">
        <v>69</v>
      </c>
      <c r="N598" s="10" t="s">
        <v>23</v>
      </c>
    </row>
    <row r="599" spans="1:14" x14ac:dyDescent="0.25">
      <c r="A599" s="9" t="s">
        <v>1295</v>
      </c>
      <c r="B599" s="2">
        <v>45270</v>
      </c>
      <c r="C599" s="1" t="s">
        <v>1296</v>
      </c>
      <c r="D599" s="1" t="s">
        <v>147</v>
      </c>
      <c r="E599" s="1" t="s">
        <v>27</v>
      </c>
      <c r="F599" s="1" t="s">
        <v>60</v>
      </c>
      <c r="G599" s="1" t="s">
        <v>19</v>
      </c>
      <c r="H599" s="1" t="s">
        <v>20</v>
      </c>
      <c r="I599" s="1" t="s">
        <v>226</v>
      </c>
      <c r="J599" s="1">
        <v>3</v>
      </c>
      <c r="K599" s="3">
        <v>14103.58</v>
      </c>
      <c r="L599" s="1" t="s">
        <v>110</v>
      </c>
      <c r="M599" s="1" t="s">
        <v>93</v>
      </c>
      <c r="N599" s="10" t="s">
        <v>37</v>
      </c>
    </row>
    <row r="600" spans="1:14" x14ac:dyDescent="0.25">
      <c r="A600" s="9" t="s">
        <v>1297</v>
      </c>
      <c r="B600" s="2">
        <v>45549</v>
      </c>
      <c r="C600" s="1" t="s">
        <v>140</v>
      </c>
      <c r="D600" s="1" t="s">
        <v>16</v>
      </c>
      <c r="E600" s="1" t="s">
        <v>27</v>
      </c>
      <c r="F600" s="1" t="s">
        <v>60</v>
      </c>
      <c r="G600" s="1" t="s">
        <v>42</v>
      </c>
      <c r="H600" s="1" t="s">
        <v>61</v>
      </c>
      <c r="I600" s="1" t="s">
        <v>388</v>
      </c>
      <c r="J600" s="1">
        <v>8</v>
      </c>
      <c r="K600" s="3">
        <v>3182.2</v>
      </c>
      <c r="L600" s="1">
        <v>20</v>
      </c>
      <c r="M600" s="1" t="s">
        <v>22</v>
      </c>
      <c r="N600" s="10" t="s">
        <v>31</v>
      </c>
    </row>
    <row r="601" spans="1:14" x14ac:dyDescent="0.25">
      <c r="A601" s="9" t="s">
        <v>1298</v>
      </c>
      <c r="B601" s="2">
        <v>45077</v>
      </c>
      <c r="C601" s="1" t="s">
        <v>278</v>
      </c>
      <c r="D601" s="1" t="s">
        <v>399</v>
      </c>
      <c r="E601" s="1" t="s">
        <v>27</v>
      </c>
      <c r="F601" s="1" t="s">
        <v>60</v>
      </c>
      <c r="G601" s="1" t="s">
        <v>42</v>
      </c>
      <c r="H601" s="1" t="s">
        <v>61</v>
      </c>
      <c r="I601" s="1" t="s">
        <v>217</v>
      </c>
      <c r="J601" s="1">
        <v>8</v>
      </c>
      <c r="K601" s="3">
        <v>26399.54</v>
      </c>
      <c r="L601" s="1">
        <v>20</v>
      </c>
      <c r="M601" s="1" t="s">
        <v>36</v>
      </c>
      <c r="N601" s="10" t="s">
        <v>23</v>
      </c>
    </row>
    <row r="602" spans="1:14" x14ac:dyDescent="0.25">
      <c r="A602" s="9" t="s">
        <v>1299</v>
      </c>
      <c r="B602" s="2">
        <v>45061</v>
      </c>
      <c r="C602" s="1" t="s">
        <v>1300</v>
      </c>
      <c r="D602" s="1" t="s">
        <v>40</v>
      </c>
      <c r="E602" s="1" t="s">
        <v>41</v>
      </c>
      <c r="F602" s="1" t="s">
        <v>82</v>
      </c>
      <c r="G602" s="1" t="s">
        <v>42</v>
      </c>
      <c r="H602" s="1" t="s">
        <v>43</v>
      </c>
      <c r="I602" s="1" t="s">
        <v>491</v>
      </c>
      <c r="J602" s="1">
        <v>2</v>
      </c>
      <c r="K602" s="3">
        <v>1128.21</v>
      </c>
      <c r="L602" s="1">
        <v>20</v>
      </c>
      <c r="M602" s="1" t="s">
        <v>36</v>
      </c>
      <c r="N602" s="10" t="s">
        <v>45</v>
      </c>
    </row>
    <row r="603" spans="1:14" x14ac:dyDescent="0.25">
      <c r="A603" s="9" t="s">
        <v>1301</v>
      </c>
      <c r="B603" s="2">
        <v>45243</v>
      </c>
      <c r="C603" s="1" t="s">
        <v>335</v>
      </c>
      <c r="D603" s="1" t="s">
        <v>147</v>
      </c>
      <c r="E603" s="1" t="s">
        <v>41</v>
      </c>
      <c r="F603" s="1" t="s">
        <v>82</v>
      </c>
      <c r="G603" s="1" t="s">
        <v>42</v>
      </c>
      <c r="H603" s="1" t="s">
        <v>61</v>
      </c>
      <c r="I603" s="1" t="s">
        <v>632</v>
      </c>
      <c r="J603" s="1">
        <v>8</v>
      </c>
      <c r="K603" s="3">
        <v>22769.5</v>
      </c>
      <c r="L603" s="1">
        <v>20</v>
      </c>
      <c r="M603" s="1" t="s">
        <v>69</v>
      </c>
      <c r="N603" s="10" t="s">
        <v>37</v>
      </c>
    </row>
    <row r="604" spans="1:14" x14ac:dyDescent="0.25">
      <c r="A604" s="9" t="s">
        <v>1302</v>
      </c>
      <c r="B604" s="2">
        <v>45559</v>
      </c>
      <c r="C604" s="1" t="s">
        <v>711</v>
      </c>
      <c r="D604" s="1" t="s">
        <v>26</v>
      </c>
      <c r="E604" s="1" t="s">
        <v>17</v>
      </c>
      <c r="F604" s="1" t="s">
        <v>60</v>
      </c>
      <c r="G604" s="1" t="s">
        <v>19</v>
      </c>
      <c r="H604" s="1" t="s">
        <v>20</v>
      </c>
      <c r="I604" s="1" t="s">
        <v>254</v>
      </c>
      <c r="J604" s="1">
        <v>4</v>
      </c>
      <c r="K604" s="3">
        <v>10815.75</v>
      </c>
      <c r="L604" s="1">
        <v>15</v>
      </c>
      <c r="M604" s="1" t="s">
        <v>63</v>
      </c>
      <c r="N604" s="10" t="s">
        <v>74</v>
      </c>
    </row>
    <row r="605" spans="1:14" x14ac:dyDescent="0.25">
      <c r="A605" s="9" t="s">
        <v>1303</v>
      </c>
      <c r="B605" s="2">
        <v>45187</v>
      </c>
      <c r="C605" s="1" t="s">
        <v>1304</v>
      </c>
      <c r="D605" s="1" t="s">
        <v>33</v>
      </c>
      <c r="E605" s="1" t="s">
        <v>59</v>
      </c>
      <c r="F605" s="1" t="s">
        <v>99</v>
      </c>
      <c r="G605" s="1" t="s">
        <v>53</v>
      </c>
      <c r="H605" s="1" t="s">
        <v>54</v>
      </c>
      <c r="I605" s="1" t="s">
        <v>173</v>
      </c>
      <c r="J605" s="1">
        <v>3</v>
      </c>
      <c r="K605" s="3">
        <v>11050.56</v>
      </c>
      <c r="L605" s="1">
        <v>10</v>
      </c>
      <c r="M605" s="1" t="s">
        <v>36</v>
      </c>
      <c r="N605" s="10" t="s">
        <v>23</v>
      </c>
    </row>
    <row r="606" spans="1:14" x14ac:dyDescent="0.25">
      <c r="A606" s="9" t="s">
        <v>1305</v>
      </c>
      <c r="B606" s="2">
        <v>45603</v>
      </c>
      <c r="C606" s="1" t="s">
        <v>1306</v>
      </c>
      <c r="D606" s="1" t="s">
        <v>26</v>
      </c>
      <c r="E606" s="1" t="s">
        <v>17</v>
      </c>
      <c r="F606" s="1" t="s">
        <v>28</v>
      </c>
      <c r="G606" s="1" t="s">
        <v>19</v>
      </c>
      <c r="H606" s="1" t="s">
        <v>20</v>
      </c>
      <c r="I606" s="1" t="s">
        <v>187</v>
      </c>
      <c r="J606" s="1">
        <v>1</v>
      </c>
      <c r="K606" s="3">
        <v>1774.04</v>
      </c>
      <c r="L606" s="1">
        <v>5</v>
      </c>
      <c r="M606" s="1" t="s">
        <v>56</v>
      </c>
      <c r="N606" s="10" t="s">
        <v>64</v>
      </c>
    </row>
    <row r="607" spans="1:14" x14ac:dyDescent="0.25">
      <c r="A607" s="9" t="s">
        <v>1307</v>
      </c>
      <c r="B607" s="2">
        <v>44969</v>
      </c>
      <c r="C607" s="1" t="s">
        <v>528</v>
      </c>
      <c r="D607" s="1" t="s">
        <v>52</v>
      </c>
      <c r="E607" s="1" t="s">
        <v>17</v>
      </c>
      <c r="F607" s="1" t="s">
        <v>60</v>
      </c>
      <c r="G607" s="1" t="s">
        <v>53</v>
      </c>
      <c r="H607" s="1" t="s">
        <v>54</v>
      </c>
      <c r="I607" s="1" t="s">
        <v>608</v>
      </c>
      <c r="J607" s="1">
        <v>8</v>
      </c>
      <c r="K607" s="3">
        <v>20409.36</v>
      </c>
      <c r="L607" s="1">
        <v>0</v>
      </c>
      <c r="M607" s="1" t="s">
        <v>93</v>
      </c>
      <c r="N607" s="10" t="s">
        <v>45</v>
      </c>
    </row>
    <row r="608" spans="1:14" x14ac:dyDescent="0.25">
      <c r="A608" s="9" t="s">
        <v>1308</v>
      </c>
      <c r="B608" s="2">
        <v>45195</v>
      </c>
      <c r="C608" s="1" t="s">
        <v>536</v>
      </c>
      <c r="D608" s="1" t="s">
        <v>33</v>
      </c>
      <c r="E608" s="1" t="s">
        <v>27</v>
      </c>
      <c r="F608" s="1" t="s">
        <v>60</v>
      </c>
      <c r="G608" s="1" t="s">
        <v>53</v>
      </c>
      <c r="H608" s="1" t="s">
        <v>54</v>
      </c>
      <c r="I608" s="1" t="s">
        <v>548</v>
      </c>
      <c r="J608" s="1">
        <v>6</v>
      </c>
      <c r="K608" s="3">
        <v>29671.759999999998</v>
      </c>
      <c r="L608" s="1">
        <v>10</v>
      </c>
      <c r="M608" s="1" t="s">
        <v>69</v>
      </c>
      <c r="N608" s="10" t="s">
        <v>37</v>
      </c>
    </row>
    <row r="609" spans="1:14" x14ac:dyDescent="0.25">
      <c r="A609" s="9" t="s">
        <v>1309</v>
      </c>
      <c r="B609" s="2">
        <v>45198</v>
      </c>
      <c r="C609" s="1" t="s">
        <v>1023</v>
      </c>
      <c r="D609" s="1" t="s">
        <v>81</v>
      </c>
      <c r="E609" s="1" t="s">
        <v>27</v>
      </c>
      <c r="F609" s="1" t="s">
        <v>28</v>
      </c>
      <c r="G609" s="1" t="s">
        <v>19</v>
      </c>
      <c r="H609" s="1" t="s">
        <v>20</v>
      </c>
      <c r="I609" s="1" t="s">
        <v>239</v>
      </c>
      <c r="J609" s="1">
        <v>9</v>
      </c>
      <c r="K609" s="3">
        <v>36625.980000000003</v>
      </c>
      <c r="L609" s="1">
        <v>10</v>
      </c>
      <c r="M609" s="1" t="s">
        <v>22</v>
      </c>
      <c r="N609" s="10" t="s">
        <v>45</v>
      </c>
    </row>
    <row r="610" spans="1:14" x14ac:dyDescent="0.25">
      <c r="A610" s="9" t="s">
        <v>1310</v>
      </c>
      <c r="B610" s="2">
        <v>45168</v>
      </c>
      <c r="C610" s="1" t="s">
        <v>779</v>
      </c>
      <c r="D610" s="1" t="s">
        <v>26</v>
      </c>
      <c r="E610" s="1" t="s">
        <v>17</v>
      </c>
      <c r="F610" s="1" t="s">
        <v>82</v>
      </c>
      <c r="G610" s="1" t="s">
        <v>53</v>
      </c>
      <c r="H610" s="1" t="s">
        <v>54</v>
      </c>
      <c r="I610" s="1" t="s">
        <v>73</v>
      </c>
      <c r="J610" s="1">
        <v>10</v>
      </c>
      <c r="K610" s="3">
        <v>33026.99</v>
      </c>
      <c r="L610" s="1">
        <v>10</v>
      </c>
      <c r="M610" s="1" t="s">
        <v>22</v>
      </c>
      <c r="N610" s="10" t="s">
        <v>45</v>
      </c>
    </row>
    <row r="611" spans="1:14" x14ac:dyDescent="0.25">
      <c r="A611" s="9" t="s">
        <v>1311</v>
      </c>
      <c r="B611" s="2">
        <v>45329</v>
      </c>
      <c r="C611" s="1" t="s">
        <v>1312</v>
      </c>
      <c r="D611" s="1" t="s">
        <v>87</v>
      </c>
      <c r="E611" s="1" t="s">
        <v>34</v>
      </c>
      <c r="F611" s="1" t="s">
        <v>60</v>
      </c>
      <c r="G611" s="1" t="s">
        <v>19</v>
      </c>
      <c r="H611" s="1" t="s">
        <v>29</v>
      </c>
      <c r="I611" s="1" t="s">
        <v>374</v>
      </c>
      <c r="J611" s="1">
        <v>9</v>
      </c>
      <c r="K611" s="3">
        <v>34205.379999999997</v>
      </c>
      <c r="L611" s="1" t="s">
        <v>110</v>
      </c>
      <c r="M611" s="1" t="s">
        <v>22</v>
      </c>
      <c r="N611" s="10" t="s">
        <v>64</v>
      </c>
    </row>
    <row r="612" spans="1:14" x14ac:dyDescent="0.25">
      <c r="A612" s="9" t="s">
        <v>1313</v>
      </c>
      <c r="B612" s="2">
        <v>45483</v>
      </c>
      <c r="C612" s="1" t="s">
        <v>984</v>
      </c>
      <c r="D612" s="1" t="s">
        <v>26</v>
      </c>
      <c r="E612" s="1" t="s">
        <v>41</v>
      </c>
      <c r="F612" s="1" t="s">
        <v>82</v>
      </c>
      <c r="G612" s="1" t="s">
        <v>83</v>
      </c>
      <c r="H612" s="1" t="s">
        <v>43</v>
      </c>
      <c r="I612" s="1" t="s">
        <v>84</v>
      </c>
      <c r="J612" s="1">
        <v>10</v>
      </c>
      <c r="K612" s="3">
        <v>31389.16</v>
      </c>
      <c r="L612" s="1">
        <v>10</v>
      </c>
      <c r="M612" s="1" t="s">
        <v>63</v>
      </c>
      <c r="N612" s="10" t="s">
        <v>45</v>
      </c>
    </row>
    <row r="613" spans="1:14" x14ac:dyDescent="0.25">
      <c r="A613" s="9" t="s">
        <v>1314</v>
      </c>
      <c r="B613" s="2">
        <v>45047</v>
      </c>
      <c r="C613" s="1" t="s">
        <v>1300</v>
      </c>
      <c r="D613" s="1" t="s">
        <v>67</v>
      </c>
      <c r="E613" s="1" t="s">
        <v>27</v>
      </c>
      <c r="F613" s="1" t="s">
        <v>82</v>
      </c>
      <c r="G613" s="1" t="s">
        <v>83</v>
      </c>
      <c r="H613" s="1" t="s">
        <v>43</v>
      </c>
      <c r="I613" s="1" t="s">
        <v>488</v>
      </c>
      <c r="J613" s="1">
        <v>10</v>
      </c>
      <c r="K613" s="3">
        <v>42484.57</v>
      </c>
      <c r="L613" s="1">
        <v>0</v>
      </c>
      <c r="M613" s="1" t="s">
        <v>63</v>
      </c>
      <c r="N613" s="10" t="s">
        <v>37</v>
      </c>
    </row>
    <row r="614" spans="1:14" x14ac:dyDescent="0.25">
      <c r="A614" s="9" t="s">
        <v>1315</v>
      </c>
      <c r="B614" s="2">
        <v>45148</v>
      </c>
      <c r="C614" s="1" t="s">
        <v>1316</v>
      </c>
      <c r="D614" s="1" t="s">
        <v>71</v>
      </c>
      <c r="E614" s="1" t="s">
        <v>41</v>
      </c>
      <c r="F614" s="1" t="s">
        <v>18</v>
      </c>
      <c r="G614" s="1" t="s">
        <v>19</v>
      </c>
      <c r="H614" s="1" t="s">
        <v>20</v>
      </c>
      <c r="I614" s="1" t="s">
        <v>563</v>
      </c>
      <c r="J614" s="1">
        <v>5</v>
      </c>
      <c r="K614" s="3">
        <v>13686.64</v>
      </c>
      <c r="L614" s="1">
        <v>5</v>
      </c>
      <c r="M614" s="1" t="s">
        <v>69</v>
      </c>
      <c r="N614" s="10" t="s">
        <v>37</v>
      </c>
    </row>
    <row r="615" spans="1:14" x14ac:dyDescent="0.25">
      <c r="A615" s="9" t="s">
        <v>1317</v>
      </c>
      <c r="B615" s="2">
        <v>44968</v>
      </c>
      <c r="C615" s="1" t="s">
        <v>1318</v>
      </c>
      <c r="D615" s="1" t="s">
        <v>81</v>
      </c>
      <c r="E615" s="1" t="s">
        <v>41</v>
      </c>
      <c r="F615" s="1" t="s">
        <v>18</v>
      </c>
      <c r="G615" s="1" t="s">
        <v>19</v>
      </c>
      <c r="H615" s="1" t="s">
        <v>29</v>
      </c>
      <c r="I615" s="1" t="s">
        <v>445</v>
      </c>
      <c r="J615" s="1">
        <v>8</v>
      </c>
      <c r="K615" s="3">
        <v>24580.52</v>
      </c>
      <c r="L615" s="1">
        <v>10</v>
      </c>
      <c r="M615" s="1" t="s">
        <v>22</v>
      </c>
      <c r="N615" s="10" t="s">
        <v>64</v>
      </c>
    </row>
    <row r="616" spans="1:14" x14ac:dyDescent="0.25">
      <c r="A616" s="9" t="s">
        <v>1319</v>
      </c>
      <c r="B616" s="2">
        <v>45594</v>
      </c>
      <c r="C616" s="1" t="s">
        <v>1320</v>
      </c>
      <c r="D616" s="1" t="s">
        <v>33</v>
      </c>
      <c r="E616" s="1" t="s">
        <v>59</v>
      </c>
      <c r="F616" s="1" t="s">
        <v>18</v>
      </c>
      <c r="G616" s="1" t="s">
        <v>19</v>
      </c>
      <c r="H616" s="1" t="s">
        <v>20</v>
      </c>
      <c r="I616" s="1" t="s">
        <v>226</v>
      </c>
      <c r="J616" s="1">
        <v>4</v>
      </c>
      <c r="K616" s="3">
        <v>17497.41</v>
      </c>
      <c r="L616" s="1">
        <v>10</v>
      </c>
      <c r="M616" s="1" t="s">
        <v>36</v>
      </c>
      <c r="N616" s="10" t="s">
        <v>64</v>
      </c>
    </row>
    <row r="617" spans="1:14" x14ac:dyDescent="0.25">
      <c r="A617" s="9" t="s">
        <v>1321</v>
      </c>
      <c r="B617" s="2">
        <v>45028</v>
      </c>
      <c r="C617" s="1" t="s">
        <v>1322</v>
      </c>
      <c r="D617" s="1" t="s">
        <v>71</v>
      </c>
      <c r="E617" s="1" t="s">
        <v>59</v>
      </c>
      <c r="F617" s="1" t="s">
        <v>88</v>
      </c>
      <c r="G617" s="1" t="s">
        <v>42</v>
      </c>
      <c r="H617" s="1" t="s">
        <v>61</v>
      </c>
      <c r="I617" s="1" t="s">
        <v>388</v>
      </c>
      <c r="J617" s="1">
        <v>1</v>
      </c>
      <c r="K617" s="3">
        <v>4878.66</v>
      </c>
      <c r="L617" s="1">
        <v>15</v>
      </c>
      <c r="M617" s="1" t="s">
        <v>69</v>
      </c>
      <c r="N617" s="10" t="s">
        <v>31</v>
      </c>
    </row>
    <row r="618" spans="1:14" x14ac:dyDescent="0.25">
      <c r="A618" s="9" t="s">
        <v>1323</v>
      </c>
      <c r="B618" s="2">
        <v>45640</v>
      </c>
      <c r="C618" s="1" t="s">
        <v>1324</v>
      </c>
      <c r="D618" s="1" t="s">
        <v>16</v>
      </c>
      <c r="E618" s="1" t="s">
        <v>72</v>
      </c>
      <c r="F618" s="1" t="s">
        <v>49</v>
      </c>
      <c r="G618" s="1" t="s">
        <v>42</v>
      </c>
      <c r="H618" s="1" t="s">
        <v>61</v>
      </c>
      <c r="I618" s="1" t="s">
        <v>317</v>
      </c>
      <c r="J618" s="1">
        <v>2</v>
      </c>
      <c r="K618" s="3">
        <v>1288.83</v>
      </c>
      <c r="L618" s="1">
        <v>0</v>
      </c>
      <c r="M618" s="1" t="s">
        <v>63</v>
      </c>
      <c r="N618" s="10" t="s">
        <v>64</v>
      </c>
    </row>
    <row r="619" spans="1:14" x14ac:dyDescent="0.25">
      <c r="A619" s="9" t="s">
        <v>1325</v>
      </c>
      <c r="B619" s="2">
        <v>45325</v>
      </c>
      <c r="C619" s="1" t="s">
        <v>1326</v>
      </c>
      <c r="D619" s="1" t="s">
        <v>67</v>
      </c>
      <c r="E619" s="1" t="s">
        <v>41</v>
      </c>
      <c r="F619" s="1" t="s">
        <v>28</v>
      </c>
      <c r="G619" s="1" t="s">
        <v>42</v>
      </c>
      <c r="H619" s="1" t="s">
        <v>43</v>
      </c>
      <c r="I619" s="1" t="s">
        <v>50</v>
      </c>
      <c r="J619" s="1">
        <v>6</v>
      </c>
      <c r="K619" s="3">
        <v>23909.02</v>
      </c>
      <c r="L619" s="1" t="s">
        <v>110</v>
      </c>
      <c r="M619" s="1" t="s">
        <v>56</v>
      </c>
      <c r="N619" s="10" t="s">
        <v>74</v>
      </c>
    </row>
    <row r="620" spans="1:14" x14ac:dyDescent="0.25">
      <c r="A620" s="9" t="s">
        <v>1327</v>
      </c>
      <c r="B620" s="2">
        <v>44955</v>
      </c>
      <c r="C620" s="1" t="s">
        <v>971</v>
      </c>
      <c r="D620" s="1" t="s">
        <v>118</v>
      </c>
      <c r="E620" s="1" t="s">
        <v>72</v>
      </c>
      <c r="F620" s="1" t="s">
        <v>18</v>
      </c>
      <c r="G620" s="1" t="s">
        <v>42</v>
      </c>
      <c r="H620" s="1" t="s">
        <v>61</v>
      </c>
      <c r="I620" s="1" t="s">
        <v>317</v>
      </c>
      <c r="J620" s="1">
        <v>8</v>
      </c>
      <c r="K620" s="3">
        <v>10899.54</v>
      </c>
      <c r="L620" s="1">
        <v>0</v>
      </c>
      <c r="M620" s="1" t="s">
        <v>36</v>
      </c>
      <c r="N620" s="10" t="s">
        <v>31</v>
      </c>
    </row>
    <row r="621" spans="1:14" x14ac:dyDescent="0.25">
      <c r="A621" s="9" t="s">
        <v>1328</v>
      </c>
      <c r="B621" s="2">
        <v>44986</v>
      </c>
      <c r="C621" s="1" t="s">
        <v>278</v>
      </c>
      <c r="D621" s="1" t="s">
        <v>33</v>
      </c>
      <c r="E621" s="1" t="s">
        <v>34</v>
      </c>
      <c r="F621" s="1" t="s">
        <v>28</v>
      </c>
      <c r="G621" s="1" t="s">
        <v>19</v>
      </c>
      <c r="H621" s="1" t="s">
        <v>29</v>
      </c>
      <c r="I621" s="1" t="s">
        <v>475</v>
      </c>
      <c r="J621" s="1">
        <v>7</v>
      </c>
      <c r="K621" s="3">
        <v>32245.99</v>
      </c>
      <c r="L621" s="1">
        <v>15</v>
      </c>
      <c r="M621" s="1" t="s">
        <v>63</v>
      </c>
      <c r="N621" s="10" t="s">
        <v>23</v>
      </c>
    </row>
    <row r="622" spans="1:14" x14ac:dyDescent="0.25">
      <c r="A622" s="9" t="s">
        <v>1329</v>
      </c>
      <c r="B622" s="2">
        <v>45154</v>
      </c>
      <c r="C622" s="1" t="s">
        <v>1330</v>
      </c>
      <c r="D622" s="1" t="s">
        <v>26</v>
      </c>
      <c r="E622" s="1" t="s">
        <v>41</v>
      </c>
      <c r="F622" s="1" t="s">
        <v>28</v>
      </c>
      <c r="G622" s="1" t="s">
        <v>83</v>
      </c>
      <c r="H622" s="1" t="s">
        <v>43</v>
      </c>
      <c r="I622" s="1" t="s">
        <v>274</v>
      </c>
      <c r="J622" s="1">
        <v>1</v>
      </c>
      <c r="K622" s="3">
        <v>1439.57</v>
      </c>
      <c r="L622" s="1" t="s">
        <v>110</v>
      </c>
      <c r="M622" s="1" t="s">
        <v>56</v>
      </c>
      <c r="N622" s="10" t="s">
        <v>23</v>
      </c>
    </row>
    <row r="623" spans="1:14" x14ac:dyDescent="0.25">
      <c r="A623" s="9" t="s">
        <v>1331</v>
      </c>
      <c r="B623" s="2">
        <v>44979</v>
      </c>
      <c r="C623" s="1" t="s">
        <v>219</v>
      </c>
      <c r="D623" s="1" t="s">
        <v>52</v>
      </c>
      <c r="E623" s="1" t="s">
        <v>41</v>
      </c>
      <c r="F623" s="1" t="s">
        <v>82</v>
      </c>
      <c r="G623" s="1" t="s">
        <v>42</v>
      </c>
      <c r="H623" s="1" t="s">
        <v>61</v>
      </c>
      <c r="I623" s="1" t="s">
        <v>185</v>
      </c>
      <c r="J623" s="1">
        <v>9</v>
      </c>
      <c r="K623" s="3">
        <v>18611.97</v>
      </c>
      <c r="L623" s="1">
        <v>0</v>
      </c>
      <c r="M623" s="1" t="s">
        <v>22</v>
      </c>
      <c r="N623" s="10" t="s">
        <v>64</v>
      </c>
    </row>
    <row r="624" spans="1:14" x14ac:dyDescent="0.25">
      <c r="A624" s="9" t="s">
        <v>1332</v>
      </c>
      <c r="B624" s="2">
        <v>45512</v>
      </c>
      <c r="C624" s="1" t="s">
        <v>1333</v>
      </c>
      <c r="D624" s="1" t="s">
        <v>87</v>
      </c>
      <c r="E624" s="1" t="s">
        <v>17</v>
      </c>
      <c r="F624" s="1" t="s">
        <v>99</v>
      </c>
      <c r="G624" s="1" t="s">
        <v>53</v>
      </c>
      <c r="H624" s="1" t="s">
        <v>54</v>
      </c>
      <c r="I624" s="1" t="s">
        <v>1334</v>
      </c>
      <c r="J624" s="1">
        <v>7</v>
      </c>
      <c r="K624" s="3">
        <v>25398.47</v>
      </c>
      <c r="L624" s="1">
        <v>5</v>
      </c>
      <c r="M624" s="1" t="s">
        <v>69</v>
      </c>
      <c r="N624" s="10" t="s">
        <v>64</v>
      </c>
    </row>
    <row r="625" spans="1:14" x14ac:dyDescent="0.25">
      <c r="A625" s="9" t="s">
        <v>1335</v>
      </c>
      <c r="B625" s="2">
        <v>45129</v>
      </c>
      <c r="C625" s="1" t="s">
        <v>872</v>
      </c>
      <c r="D625" s="1" t="s">
        <v>33</v>
      </c>
      <c r="E625" s="1" t="s">
        <v>72</v>
      </c>
      <c r="F625" s="1" t="s">
        <v>28</v>
      </c>
      <c r="G625" s="1" t="s">
        <v>19</v>
      </c>
      <c r="H625" s="1" t="s">
        <v>29</v>
      </c>
      <c r="I625" s="1" t="s">
        <v>445</v>
      </c>
      <c r="J625" s="1">
        <v>2</v>
      </c>
      <c r="K625" s="3">
        <v>4673.05</v>
      </c>
      <c r="L625" s="1" t="s">
        <v>110</v>
      </c>
      <c r="M625" s="1" t="s">
        <v>56</v>
      </c>
      <c r="N625" s="10" t="s">
        <v>23</v>
      </c>
    </row>
    <row r="626" spans="1:14" x14ac:dyDescent="0.25">
      <c r="A626" s="9" t="s">
        <v>1336</v>
      </c>
      <c r="B626" s="2">
        <v>44929</v>
      </c>
      <c r="C626" s="1" t="s">
        <v>595</v>
      </c>
      <c r="D626" s="1" t="s">
        <v>52</v>
      </c>
      <c r="E626" s="1" t="s">
        <v>34</v>
      </c>
      <c r="F626" s="1" t="s">
        <v>49</v>
      </c>
      <c r="G626" s="1" t="s">
        <v>19</v>
      </c>
      <c r="H626" s="1" t="s">
        <v>20</v>
      </c>
      <c r="I626" s="1" t="s">
        <v>213</v>
      </c>
      <c r="J626" s="1">
        <v>6</v>
      </c>
      <c r="K626" s="3">
        <v>14229.29</v>
      </c>
      <c r="L626" s="1">
        <v>20</v>
      </c>
      <c r="M626" s="1" t="s">
        <v>63</v>
      </c>
      <c r="N626" s="10" t="s">
        <v>23</v>
      </c>
    </row>
    <row r="627" spans="1:14" x14ac:dyDescent="0.25">
      <c r="A627" s="9" t="s">
        <v>1337</v>
      </c>
      <c r="B627" s="2">
        <v>44991</v>
      </c>
      <c r="C627" s="1" t="s">
        <v>696</v>
      </c>
      <c r="D627" s="1" t="s">
        <v>16</v>
      </c>
      <c r="E627" s="1" t="s">
        <v>34</v>
      </c>
      <c r="F627" s="1" t="s">
        <v>18</v>
      </c>
      <c r="G627" s="1" t="s">
        <v>42</v>
      </c>
      <c r="H627" s="1" t="s">
        <v>61</v>
      </c>
      <c r="I627" s="1" t="s">
        <v>1020</v>
      </c>
      <c r="J627" s="1">
        <v>3</v>
      </c>
      <c r="K627" s="3">
        <v>4460.5</v>
      </c>
      <c r="L627" s="1">
        <v>20</v>
      </c>
      <c r="M627" s="1" t="s">
        <v>63</v>
      </c>
      <c r="N627" s="10" t="s">
        <v>31</v>
      </c>
    </row>
    <row r="628" spans="1:14" x14ac:dyDescent="0.25">
      <c r="A628" s="9" t="s">
        <v>1338</v>
      </c>
      <c r="B628" s="2">
        <v>45538</v>
      </c>
      <c r="C628" s="1" t="s">
        <v>599</v>
      </c>
      <c r="D628" s="1" t="s">
        <v>33</v>
      </c>
      <c r="E628" s="1" t="s">
        <v>41</v>
      </c>
      <c r="F628" s="1" t="s">
        <v>49</v>
      </c>
      <c r="G628" s="1" t="s">
        <v>19</v>
      </c>
      <c r="H628" s="1" t="s">
        <v>20</v>
      </c>
      <c r="I628" s="1" t="s">
        <v>187</v>
      </c>
      <c r="J628" s="1">
        <v>6</v>
      </c>
      <c r="K628" s="3">
        <v>17340.22</v>
      </c>
      <c r="L628" s="1" t="s">
        <v>110</v>
      </c>
      <c r="M628" s="1" t="s">
        <v>22</v>
      </c>
      <c r="N628" s="10" t="s">
        <v>31</v>
      </c>
    </row>
    <row r="629" spans="1:14" x14ac:dyDescent="0.25">
      <c r="A629" s="9" t="s">
        <v>1339</v>
      </c>
      <c r="B629" s="2">
        <v>45252</v>
      </c>
      <c r="C629" s="1" t="s">
        <v>926</v>
      </c>
      <c r="D629" s="1" t="s">
        <v>40</v>
      </c>
      <c r="E629" s="1" t="s">
        <v>41</v>
      </c>
      <c r="F629" s="1" t="s">
        <v>28</v>
      </c>
      <c r="G629" s="1" t="s">
        <v>53</v>
      </c>
      <c r="H629" s="1" t="s">
        <v>54</v>
      </c>
      <c r="I629" s="1" t="s">
        <v>132</v>
      </c>
      <c r="J629" s="1">
        <v>3</v>
      </c>
      <c r="K629" s="3">
        <v>3829.36</v>
      </c>
      <c r="L629" s="1" t="s">
        <v>110</v>
      </c>
      <c r="M629" s="1" t="s">
        <v>56</v>
      </c>
      <c r="N629" s="10" t="s">
        <v>74</v>
      </c>
    </row>
    <row r="630" spans="1:14" x14ac:dyDescent="0.25">
      <c r="A630" s="9" t="s">
        <v>1340</v>
      </c>
      <c r="B630" s="2">
        <v>45406</v>
      </c>
      <c r="C630" s="1" t="s">
        <v>410</v>
      </c>
      <c r="D630" s="1" t="s">
        <v>40</v>
      </c>
      <c r="E630" s="1" t="s">
        <v>17</v>
      </c>
      <c r="F630" s="1" t="s">
        <v>28</v>
      </c>
      <c r="G630" s="1" t="s">
        <v>83</v>
      </c>
      <c r="H630" s="1" t="s">
        <v>43</v>
      </c>
      <c r="I630" s="1" t="s">
        <v>339</v>
      </c>
      <c r="J630" s="1">
        <v>8</v>
      </c>
      <c r="K630" s="3">
        <v>7489.78</v>
      </c>
      <c r="L630" s="1">
        <v>5</v>
      </c>
      <c r="M630" s="1" t="s">
        <v>69</v>
      </c>
      <c r="N630" s="10" t="s">
        <v>31</v>
      </c>
    </row>
    <row r="631" spans="1:14" x14ac:dyDescent="0.25">
      <c r="A631" s="9" t="s">
        <v>1341</v>
      </c>
      <c r="B631" s="2">
        <v>45466</v>
      </c>
      <c r="C631" s="1" t="s">
        <v>1342</v>
      </c>
      <c r="D631" s="1" t="s">
        <v>33</v>
      </c>
      <c r="E631" s="1" t="s">
        <v>17</v>
      </c>
      <c r="F631" s="1" t="s">
        <v>99</v>
      </c>
      <c r="G631" s="1" t="s">
        <v>53</v>
      </c>
      <c r="H631" s="1" t="s">
        <v>54</v>
      </c>
      <c r="I631" s="1" t="s">
        <v>73</v>
      </c>
      <c r="J631" s="1">
        <v>7</v>
      </c>
      <c r="K631" s="3">
        <v>28140.15</v>
      </c>
      <c r="L631" s="1">
        <v>0</v>
      </c>
      <c r="M631" s="1" t="s">
        <v>69</v>
      </c>
      <c r="N631" s="10" t="s">
        <v>74</v>
      </c>
    </row>
    <row r="632" spans="1:14" x14ac:dyDescent="0.25">
      <c r="A632" s="9" t="s">
        <v>1343</v>
      </c>
      <c r="B632" s="2">
        <v>45589</v>
      </c>
      <c r="C632" s="1" t="s">
        <v>191</v>
      </c>
      <c r="D632" s="1" t="s">
        <v>26</v>
      </c>
      <c r="E632" s="1" t="s">
        <v>72</v>
      </c>
      <c r="F632" s="1" t="s">
        <v>99</v>
      </c>
      <c r="G632" s="1" t="s">
        <v>42</v>
      </c>
      <c r="H632" s="1" t="s">
        <v>43</v>
      </c>
      <c r="I632" s="1" t="s">
        <v>348</v>
      </c>
      <c r="J632" s="1">
        <v>9</v>
      </c>
      <c r="K632" s="3">
        <v>4579.21</v>
      </c>
      <c r="L632" s="1">
        <v>0</v>
      </c>
      <c r="M632" s="1" t="s">
        <v>22</v>
      </c>
      <c r="N632" s="10" t="s">
        <v>31</v>
      </c>
    </row>
    <row r="633" spans="1:14" x14ac:dyDescent="0.25">
      <c r="A633" s="9" t="s">
        <v>1344</v>
      </c>
      <c r="B633" s="2">
        <v>45075</v>
      </c>
      <c r="C633" s="1" t="s">
        <v>396</v>
      </c>
      <c r="D633" s="1" t="s">
        <v>26</v>
      </c>
      <c r="E633" s="1" t="s">
        <v>72</v>
      </c>
      <c r="F633" s="1" t="s">
        <v>60</v>
      </c>
      <c r="G633" s="1" t="s">
        <v>19</v>
      </c>
      <c r="H633" s="1" t="s">
        <v>20</v>
      </c>
      <c r="I633" s="1" t="s">
        <v>213</v>
      </c>
      <c r="J633" s="1">
        <v>7</v>
      </c>
      <c r="K633" s="3">
        <v>21021.279999999999</v>
      </c>
      <c r="L633" s="1">
        <v>0</v>
      </c>
      <c r="M633" s="1" t="s">
        <v>69</v>
      </c>
      <c r="N633" s="10" t="s">
        <v>74</v>
      </c>
    </row>
    <row r="634" spans="1:14" x14ac:dyDescent="0.25">
      <c r="A634" s="9" t="s">
        <v>1345</v>
      </c>
      <c r="B634" s="2">
        <v>45476</v>
      </c>
      <c r="C634" s="1" t="s">
        <v>200</v>
      </c>
      <c r="D634" s="1" t="s">
        <v>52</v>
      </c>
      <c r="E634" s="1" t="s">
        <v>41</v>
      </c>
      <c r="F634" s="1" t="s">
        <v>82</v>
      </c>
      <c r="G634" s="1" t="s">
        <v>19</v>
      </c>
      <c r="H634" s="1" t="s">
        <v>29</v>
      </c>
      <c r="I634" s="1" t="s">
        <v>515</v>
      </c>
      <c r="J634" s="1">
        <v>5</v>
      </c>
      <c r="K634" s="3">
        <v>19013.8</v>
      </c>
      <c r="L634" s="1">
        <v>5</v>
      </c>
      <c r="M634" s="1" t="s">
        <v>63</v>
      </c>
      <c r="N634" s="10" t="s">
        <v>74</v>
      </c>
    </row>
    <row r="635" spans="1:14" x14ac:dyDescent="0.25">
      <c r="A635" s="9" t="s">
        <v>1346</v>
      </c>
      <c r="B635" s="2">
        <v>45584</v>
      </c>
      <c r="C635" s="1" t="s">
        <v>1347</v>
      </c>
      <c r="D635" s="1" t="s">
        <v>71</v>
      </c>
      <c r="E635" s="1" t="s">
        <v>72</v>
      </c>
      <c r="F635" s="1" t="s">
        <v>88</v>
      </c>
      <c r="G635" s="1" t="s">
        <v>42</v>
      </c>
      <c r="H635" s="1" t="s">
        <v>61</v>
      </c>
      <c r="I635" s="1" t="s">
        <v>529</v>
      </c>
      <c r="J635" s="1">
        <v>2</v>
      </c>
      <c r="K635" s="3">
        <v>9820.48</v>
      </c>
      <c r="L635" s="1">
        <v>0</v>
      </c>
      <c r="M635" s="1" t="s">
        <v>69</v>
      </c>
      <c r="N635" s="10" t="s">
        <v>31</v>
      </c>
    </row>
    <row r="636" spans="1:14" x14ac:dyDescent="0.25">
      <c r="A636" s="9" t="s">
        <v>1348</v>
      </c>
      <c r="B636" s="2">
        <v>45000</v>
      </c>
      <c r="C636" s="1" t="s">
        <v>711</v>
      </c>
      <c r="D636" s="1" t="s">
        <v>87</v>
      </c>
      <c r="E636" s="1" t="s">
        <v>34</v>
      </c>
      <c r="F636" s="1" t="s">
        <v>82</v>
      </c>
      <c r="G636" s="1" t="s">
        <v>83</v>
      </c>
      <c r="H636" s="1" t="s">
        <v>43</v>
      </c>
      <c r="I636" s="1" t="s">
        <v>380</v>
      </c>
      <c r="J636" s="1">
        <v>1</v>
      </c>
      <c r="K636" s="3">
        <v>4544.12</v>
      </c>
      <c r="L636" s="1">
        <v>20</v>
      </c>
      <c r="M636" s="1" t="s">
        <v>93</v>
      </c>
      <c r="N636" s="10" t="s">
        <v>37</v>
      </c>
    </row>
    <row r="637" spans="1:14" x14ac:dyDescent="0.25">
      <c r="A637" s="9" t="s">
        <v>1349</v>
      </c>
      <c r="B637" s="2">
        <v>45009</v>
      </c>
      <c r="C637" s="1" t="s">
        <v>1021</v>
      </c>
      <c r="D637" s="1" t="s">
        <v>52</v>
      </c>
      <c r="E637" s="1" t="s">
        <v>72</v>
      </c>
      <c r="F637" s="1" t="s">
        <v>88</v>
      </c>
      <c r="G637" s="1" t="s">
        <v>19</v>
      </c>
      <c r="H637" s="1" t="s">
        <v>29</v>
      </c>
      <c r="I637" s="1" t="s">
        <v>320</v>
      </c>
      <c r="J637" s="1">
        <v>7</v>
      </c>
      <c r="K637" s="3">
        <v>5249.2</v>
      </c>
      <c r="L637" s="1" t="s">
        <v>110</v>
      </c>
      <c r="M637" s="1" t="s">
        <v>36</v>
      </c>
      <c r="N637" s="10" t="s">
        <v>74</v>
      </c>
    </row>
    <row r="638" spans="1:14" x14ac:dyDescent="0.25">
      <c r="A638" s="9" t="s">
        <v>1350</v>
      </c>
      <c r="B638" s="2">
        <v>45351</v>
      </c>
      <c r="C638" s="1" t="s">
        <v>1351</v>
      </c>
      <c r="D638" s="1" t="s">
        <v>33</v>
      </c>
      <c r="E638" s="1" t="s">
        <v>41</v>
      </c>
      <c r="F638" s="1" t="s">
        <v>18</v>
      </c>
      <c r="G638" s="1" t="s">
        <v>42</v>
      </c>
      <c r="H638" s="1" t="s">
        <v>43</v>
      </c>
      <c r="I638" s="1" t="s">
        <v>84</v>
      </c>
      <c r="J638" s="1">
        <v>6</v>
      </c>
      <c r="K638" s="3">
        <v>23380.25</v>
      </c>
      <c r="L638" s="1">
        <v>15</v>
      </c>
      <c r="M638" s="1" t="s">
        <v>63</v>
      </c>
      <c r="N638" s="10" t="s">
        <v>74</v>
      </c>
    </row>
    <row r="639" spans="1:14" x14ac:dyDescent="0.25">
      <c r="A639" s="9" t="s">
        <v>1352</v>
      </c>
      <c r="B639" s="2">
        <v>45263</v>
      </c>
      <c r="C639" s="1" t="s">
        <v>1353</v>
      </c>
      <c r="D639" s="1" t="s">
        <v>40</v>
      </c>
      <c r="E639" s="1" t="s">
        <v>59</v>
      </c>
      <c r="F639" s="1" t="s">
        <v>60</v>
      </c>
      <c r="G639" s="1" t="s">
        <v>42</v>
      </c>
      <c r="H639" s="1" t="s">
        <v>61</v>
      </c>
      <c r="I639" s="1" t="s">
        <v>217</v>
      </c>
      <c r="J639" s="1">
        <v>10</v>
      </c>
      <c r="K639" s="3">
        <v>16114.68</v>
      </c>
      <c r="L639" s="1">
        <v>10</v>
      </c>
      <c r="M639" s="1" t="s">
        <v>63</v>
      </c>
      <c r="N639" s="10" t="s">
        <v>45</v>
      </c>
    </row>
    <row r="640" spans="1:14" x14ac:dyDescent="0.25">
      <c r="A640" s="9" t="s">
        <v>1354</v>
      </c>
      <c r="B640" s="2">
        <v>45082</v>
      </c>
      <c r="C640" s="1" t="s">
        <v>1355</v>
      </c>
      <c r="D640" s="1" t="s">
        <v>118</v>
      </c>
      <c r="E640" s="1" t="s">
        <v>59</v>
      </c>
      <c r="F640" s="1" t="s">
        <v>18</v>
      </c>
      <c r="G640" s="1" t="s">
        <v>19</v>
      </c>
      <c r="H640" s="1" t="s">
        <v>20</v>
      </c>
      <c r="I640" s="1" t="s">
        <v>21</v>
      </c>
      <c r="J640" s="1">
        <v>8</v>
      </c>
      <c r="K640" s="3">
        <v>32792.42</v>
      </c>
      <c r="L640" s="1">
        <v>20</v>
      </c>
      <c r="M640" s="1" t="s">
        <v>56</v>
      </c>
      <c r="N640" s="10" t="s">
        <v>64</v>
      </c>
    </row>
    <row r="641" spans="1:14" x14ac:dyDescent="0.25">
      <c r="A641" s="9" t="s">
        <v>1356</v>
      </c>
      <c r="B641" s="2">
        <v>45567</v>
      </c>
      <c r="C641" s="1" t="s">
        <v>839</v>
      </c>
      <c r="D641" s="1" t="s">
        <v>87</v>
      </c>
      <c r="E641" s="1" t="s">
        <v>72</v>
      </c>
      <c r="F641" s="1" t="s">
        <v>18</v>
      </c>
      <c r="G641" s="1" t="s">
        <v>42</v>
      </c>
      <c r="H641" s="1" t="s">
        <v>43</v>
      </c>
      <c r="I641" s="1" t="s">
        <v>323</v>
      </c>
      <c r="J641" s="1">
        <v>3</v>
      </c>
      <c r="K641" s="3">
        <v>5081.91</v>
      </c>
      <c r="L641" s="1">
        <v>0</v>
      </c>
      <c r="M641" s="1" t="s">
        <v>69</v>
      </c>
      <c r="N641" s="10" t="s">
        <v>45</v>
      </c>
    </row>
    <row r="642" spans="1:14" x14ac:dyDescent="0.25">
      <c r="A642" s="9" t="s">
        <v>1357</v>
      </c>
      <c r="B642" s="2">
        <v>44996</v>
      </c>
      <c r="C642" s="1" t="s">
        <v>1358</v>
      </c>
      <c r="D642" s="1" t="s">
        <v>40</v>
      </c>
      <c r="E642" s="1" t="s">
        <v>17</v>
      </c>
      <c r="F642" s="1" t="s">
        <v>82</v>
      </c>
      <c r="G642" s="1" t="s">
        <v>19</v>
      </c>
      <c r="H642" s="1" t="s">
        <v>29</v>
      </c>
      <c r="I642" s="1" t="s">
        <v>475</v>
      </c>
      <c r="J642" s="1">
        <v>3</v>
      </c>
      <c r="K642" s="3">
        <v>13204.21</v>
      </c>
      <c r="L642" s="1">
        <v>10</v>
      </c>
      <c r="M642" s="1" t="s">
        <v>93</v>
      </c>
      <c r="N642" s="10" t="s">
        <v>23</v>
      </c>
    </row>
    <row r="643" spans="1:14" x14ac:dyDescent="0.25">
      <c r="A643" s="9" t="s">
        <v>1359</v>
      </c>
      <c r="B643" s="2">
        <v>45296</v>
      </c>
      <c r="C643" s="1" t="s">
        <v>926</v>
      </c>
      <c r="D643" s="1" t="s">
        <v>52</v>
      </c>
      <c r="E643" s="1" t="s">
        <v>59</v>
      </c>
      <c r="F643" s="1" t="s">
        <v>82</v>
      </c>
      <c r="G643" s="1" t="s">
        <v>42</v>
      </c>
      <c r="H643" s="1" t="s">
        <v>61</v>
      </c>
      <c r="I643" s="1" t="s">
        <v>294</v>
      </c>
      <c r="J643" s="1">
        <v>7</v>
      </c>
      <c r="K643" s="3">
        <v>10308.33</v>
      </c>
      <c r="L643" s="1">
        <v>0</v>
      </c>
      <c r="M643" s="1" t="s">
        <v>36</v>
      </c>
      <c r="N643" s="10" t="s">
        <v>23</v>
      </c>
    </row>
    <row r="644" spans="1:14" x14ac:dyDescent="0.25">
      <c r="A644" s="9" t="s">
        <v>1360</v>
      </c>
      <c r="B644" s="2">
        <v>45330</v>
      </c>
      <c r="C644" s="1" t="s">
        <v>1098</v>
      </c>
      <c r="D644" s="1" t="s">
        <v>81</v>
      </c>
      <c r="E644" s="1" t="s">
        <v>59</v>
      </c>
      <c r="F644" s="1" t="s">
        <v>28</v>
      </c>
      <c r="G644" s="1" t="s">
        <v>19</v>
      </c>
      <c r="H644" s="1" t="s">
        <v>29</v>
      </c>
      <c r="I644" s="1" t="s">
        <v>475</v>
      </c>
      <c r="J644" s="1">
        <v>4</v>
      </c>
      <c r="K644" s="3">
        <v>6038.49</v>
      </c>
      <c r="L644" s="1">
        <v>15</v>
      </c>
      <c r="M644" s="1" t="s">
        <v>93</v>
      </c>
      <c r="N644" s="10" t="s">
        <v>37</v>
      </c>
    </row>
    <row r="645" spans="1:14" x14ac:dyDescent="0.25">
      <c r="A645" s="9" t="s">
        <v>804</v>
      </c>
      <c r="B645" s="2">
        <v>45042</v>
      </c>
      <c r="C645" s="1" t="s">
        <v>690</v>
      </c>
      <c r="D645" s="1" t="s">
        <v>67</v>
      </c>
      <c r="E645" s="1" t="s">
        <v>41</v>
      </c>
      <c r="F645" s="1" t="s">
        <v>49</v>
      </c>
      <c r="G645" s="1" t="s">
        <v>19</v>
      </c>
      <c r="H645" s="1" t="s">
        <v>20</v>
      </c>
      <c r="I645" s="1" t="s">
        <v>230</v>
      </c>
      <c r="J645" s="1">
        <v>4</v>
      </c>
      <c r="K645" s="3">
        <v>7597.09</v>
      </c>
      <c r="L645" s="1">
        <v>15</v>
      </c>
      <c r="M645" s="1" t="s">
        <v>69</v>
      </c>
      <c r="N645" s="10" t="s">
        <v>31</v>
      </c>
    </row>
    <row r="646" spans="1:14" x14ac:dyDescent="0.25">
      <c r="A646" s="9" t="s">
        <v>1361</v>
      </c>
      <c r="B646" s="2">
        <v>44973</v>
      </c>
      <c r="C646" s="1" t="s">
        <v>1362</v>
      </c>
      <c r="D646" s="1" t="s">
        <v>33</v>
      </c>
      <c r="E646" s="1" t="s">
        <v>17</v>
      </c>
      <c r="F646" s="1" t="s">
        <v>82</v>
      </c>
      <c r="G646" s="1" t="s">
        <v>42</v>
      </c>
      <c r="H646" s="1" t="s">
        <v>43</v>
      </c>
      <c r="I646" s="1" t="s">
        <v>154</v>
      </c>
      <c r="J646" s="1">
        <v>3</v>
      </c>
      <c r="K646" s="3">
        <v>9635.77</v>
      </c>
      <c r="L646" s="1">
        <v>10</v>
      </c>
      <c r="M646" s="1" t="s">
        <v>36</v>
      </c>
      <c r="N646" s="10" t="s">
        <v>23</v>
      </c>
    </row>
    <row r="647" spans="1:14" x14ac:dyDescent="0.25">
      <c r="A647" s="9" t="s">
        <v>1363</v>
      </c>
      <c r="B647" s="2">
        <v>44930</v>
      </c>
      <c r="C647" s="1" t="s">
        <v>1261</v>
      </c>
      <c r="D647" s="1" t="s">
        <v>147</v>
      </c>
      <c r="E647" s="1" t="s">
        <v>41</v>
      </c>
      <c r="F647" s="1" t="s">
        <v>18</v>
      </c>
      <c r="G647" s="1" t="s">
        <v>19</v>
      </c>
      <c r="H647" s="1" t="s">
        <v>29</v>
      </c>
      <c r="I647" s="1" t="s">
        <v>472</v>
      </c>
      <c r="J647" s="1">
        <v>1</v>
      </c>
      <c r="K647" s="3">
        <v>3431.88</v>
      </c>
      <c r="L647" s="1" t="s">
        <v>110</v>
      </c>
      <c r="M647" s="1" t="s">
        <v>63</v>
      </c>
      <c r="N647" s="10" t="s">
        <v>45</v>
      </c>
    </row>
    <row r="648" spans="1:14" x14ac:dyDescent="0.25">
      <c r="A648" s="9" t="s">
        <v>1364</v>
      </c>
      <c r="B648" s="2">
        <v>45346</v>
      </c>
      <c r="C648" s="1" t="s">
        <v>1365</v>
      </c>
      <c r="D648" s="1" t="s">
        <v>52</v>
      </c>
      <c r="E648" s="1" t="s">
        <v>59</v>
      </c>
      <c r="F648" s="1" t="s">
        <v>28</v>
      </c>
      <c r="G648" s="1" t="s">
        <v>53</v>
      </c>
      <c r="H648" s="1" t="s">
        <v>54</v>
      </c>
      <c r="I648" s="1" t="s">
        <v>92</v>
      </c>
      <c r="J648" s="1">
        <v>1</v>
      </c>
      <c r="K648" s="3">
        <v>4078.77</v>
      </c>
      <c r="L648" s="1">
        <v>15</v>
      </c>
      <c r="M648" s="1" t="s">
        <v>93</v>
      </c>
      <c r="N648" s="10" t="s">
        <v>23</v>
      </c>
    </row>
    <row r="649" spans="1:14" x14ac:dyDescent="0.25">
      <c r="A649" s="9" t="s">
        <v>1366</v>
      </c>
      <c r="B649" s="2">
        <v>45126</v>
      </c>
      <c r="C649" s="1" t="s">
        <v>1367</v>
      </c>
      <c r="D649" s="1" t="s">
        <v>40</v>
      </c>
      <c r="E649" s="1" t="s">
        <v>41</v>
      </c>
      <c r="F649" s="1" t="s">
        <v>28</v>
      </c>
      <c r="G649" s="1" t="s">
        <v>42</v>
      </c>
      <c r="H649" s="1" t="s">
        <v>61</v>
      </c>
      <c r="I649" s="1" t="s">
        <v>357</v>
      </c>
      <c r="J649" s="1">
        <v>10</v>
      </c>
      <c r="K649" s="3">
        <v>21903.19</v>
      </c>
      <c r="L649" s="1">
        <v>10</v>
      </c>
      <c r="M649" s="1" t="s">
        <v>93</v>
      </c>
      <c r="N649" s="10" t="s">
        <v>23</v>
      </c>
    </row>
    <row r="650" spans="1:14" x14ac:dyDescent="0.25">
      <c r="A650" s="9" t="s">
        <v>1368</v>
      </c>
      <c r="B650" s="2">
        <v>45443</v>
      </c>
      <c r="C650" s="1" t="s">
        <v>943</v>
      </c>
      <c r="D650" s="1" t="s">
        <v>67</v>
      </c>
      <c r="E650" s="1" t="s">
        <v>59</v>
      </c>
      <c r="F650" s="1" t="s">
        <v>88</v>
      </c>
      <c r="G650" s="1" t="s">
        <v>42</v>
      </c>
      <c r="H650" s="1" t="s">
        <v>43</v>
      </c>
      <c r="I650" s="1" t="s">
        <v>348</v>
      </c>
      <c r="J650" s="1">
        <v>9</v>
      </c>
      <c r="K650" s="3">
        <v>18940.439999999999</v>
      </c>
      <c r="L650" s="1">
        <v>20</v>
      </c>
      <c r="M650" s="1" t="s">
        <v>93</v>
      </c>
      <c r="N650" s="10" t="s">
        <v>23</v>
      </c>
    </row>
    <row r="651" spans="1:14" x14ac:dyDescent="0.25">
      <c r="A651" s="9" t="s">
        <v>1369</v>
      </c>
      <c r="B651" s="2">
        <v>45446</v>
      </c>
      <c r="C651" s="1" t="s">
        <v>354</v>
      </c>
      <c r="D651" s="1" t="s">
        <v>71</v>
      </c>
      <c r="E651" s="1" t="s">
        <v>72</v>
      </c>
      <c r="F651" s="1" t="s">
        <v>82</v>
      </c>
      <c r="G651" s="1" t="s">
        <v>19</v>
      </c>
      <c r="H651" s="1" t="s">
        <v>20</v>
      </c>
      <c r="I651" s="1" t="s">
        <v>263</v>
      </c>
      <c r="J651" s="1">
        <v>4</v>
      </c>
      <c r="K651" s="3">
        <v>13320.25</v>
      </c>
      <c r="L651" s="1">
        <v>20</v>
      </c>
      <c r="M651" s="1" t="s">
        <v>63</v>
      </c>
      <c r="N651" s="10" t="s">
        <v>31</v>
      </c>
    </row>
    <row r="652" spans="1:14" x14ac:dyDescent="0.25">
      <c r="A652" s="9" t="s">
        <v>1370</v>
      </c>
      <c r="B652" s="2">
        <v>45591</v>
      </c>
      <c r="C652" s="1" t="s">
        <v>1371</v>
      </c>
      <c r="D652" s="1" t="s">
        <v>87</v>
      </c>
      <c r="E652" s="1" t="s">
        <v>72</v>
      </c>
      <c r="F652" s="1" t="s">
        <v>99</v>
      </c>
      <c r="G652" s="1" t="s">
        <v>42</v>
      </c>
      <c r="H652" s="1" t="s">
        <v>61</v>
      </c>
      <c r="I652" s="1" t="s">
        <v>632</v>
      </c>
      <c r="J652" s="1">
        <v>8</v>
      </c>
      <c r="K652" s="3">
        <v>39045</v>
      </c>
      <c r="L652" s="1">
        <v>0</v>
      </c>
      <c r="M652" s="1" t="s">
        <v>63</v>
      </c>
      <c r="N652" s="10" t="s">
        <v>74</v>
      </c>
    </row>
    <row r="653" spans="1:14" x14ac:dyDescent="0.25">
      <c r="A653" s="9" t="s">
        <v>1372</v>
      </c>
      <c r="B653" s="2">
        <v>45629</v>
      </c>
      <c r="C653" s="1" t="s">
        <v>1347</v>
      </c>
      <c r="D653" s="1" t="s">
        <v>52</v>
      </c>
      <c r="E653" s="1" t="s">
        <v>34</v>
      </c>
      <c r="F653" s="1" t="s">
        <v>82</v>
      </c>
      <c r="G653" s="1" t="s">
        <v>19</v>
      </c>
      <c r="H653" s="1" t="s">
        <v>29</v>
      </c>
      <c r="I653" s="1" t="s">
        <v>475</v>
      </c>
      <c r="J653" s="1">
        <v>8</v>
      </c>
      <c r="K653" s="3">
        <v>24820.09</v>
      </c>
      <c r="L653" s="1">
        <v>15</v>
      </c>
      <c r="M653" s="1" t="s">
        <v>63</v>
      </c>
      <c r="N653" s="10" t="s">
        <v>74</v>
      </c>
    </row>
    <row r="654" spans="1:14" x14ac:dyDescent="0.25">
      <c r="A654" s="9" t="s">
        <v>1373</v>
      </c>
      <c r="B654" s="2">
        <v>45311</v>
      </c>
      <c r="C654" s="1" t="s">
        <v>403</v>
      </c>
      <c r="D654" s="1" t="s">
        <v>16</v>
      </c>
      <c r="E654" s="1" t="s">
        <v>17</v>
      </c>
      <c r="F654" s="1" t="s">
        <v>49</v>
      </c>
      <c r="G654" s="1" t="s">
        <v>83</v>
      </c>
      <c r="H654" s="1" t="s">
        <v>43</v>
      </c>
      <c r="I654" s="1" t="s">
        <v>285</v>
      </c>
      <c r="J654" s="1">
        <v>2</v>
      </c>
      <c r="K654" s="3">
        <v>2518.9499999999998</v>
      </c>
      <c r="L654" s="1" t="s">
        <v>110</v>
      </c>
      <c r="M654" s="1" t="s">
        <v>36</v>
      </c>
      <c r="N654" s="10" t="s">
        <v>45</v>
      </c>
    </row>
    <row r="655" spans="1:14" x14ac:dyDescent="0.25">
      <c r="A655" s="9" t="s">
        <v>1374</v>
      </c>
      <c r="B655" s="2">
        <v>45011</v>
      </c>
      <c r="C655" s="1" t="s">
        <v>1375</v>
      </c>
      <c r="D655" s="1" t="s">
        <v>147</v>
      </c>
      <c r="E655" s="1" t="s">
        <v>34</v>
      </c>
      <c r="F655" s="1" t="s">
        <v>60</v>
      </c>
      <c r="G655" s="1" t="s">
        <v>19</v>
      </c>
      <c r="H655" s="1" t="s">
        <v>20</v>
      </c>
      <c r="I655" s="1" t="s">
        <v>731</v>
      </c>
      <c r="J655" s="1">
        <v>9</v>
      </c>
      <c r="K655" s="3">
        <v>20670.43</v>
      </c>
      <c r="L655" s="1">
        <v>5</v>
      </c>
      <c r="M655" s="1" t="s">
        <v>36</v>
      </c>
      <c r="N655" s="10" t="s">
        <v>74</v>
      </c>
    </row>
    <row r="656" spans="1:14" x14ac:dyDescent="0.25">
      <c r="A656" s="9" t="s">
        <v>1378</v>
      </c>
      <c r="B656" s="2">
        <v>45561</v>
      </c>
      <c r="C656" s="1" t="s">
        <v>1379</v>
      </c>
      <c r="D656" s="1" t="s">
        <v>26</v>
      </c>
      <c r="E656" s="1" t="s">
        <v>41</v>
      </c>
      <c r="F656" s="1" t="s">
        <v>18</v>
      </c>
      <c r="G656" s="1" t="s">
        <v>83</v>
      </c>
      <c r="H656" s="1" t="s">
        <v>43</v>
      </c>
      <c r="I656" s="1" t="s">
        <v>329</v>
      </c>
      <c r="J656" s="1">
        <v>2</v>
      </c>
      <c r="K656" s="3">
        <v>8444</v>
      </c>
      <c r="L656" s="1">
        <v>5</v>
      </c>
      <c r="M656" s="1" t="s">
        <v>63</v>
      </c>
      <c r="N656" s="10" t="s">
        <v>74</v>
      </c>
    </row>
    <row r="657" spans="1:14" x14ac:dyDescent="0.25">
      <c r="A657" s="9" t="s">
        <v>1380</v>
      </c>
      <c r="B657" s="2">
        <v>45267</v>
      </c>
      <c r="C657" s="1" t="s">
        <v>1381</v>
      </c>
      <c r="D657" s="1" t="s">
        <v>87</v>
      </c>
      <c r="E657" s="1" t="s">
        <v>27</v>
      </c>
      <c r="F657" s="1" t="s">
        <v>88</v>
      </c>
      <c r="G657" s="1" t="s">
        <v>83</v>
      </c>
      <c r="H657" s="1" t="s">
        <v>43</v>
      </c>
      <c r="I657" s="1" t="s">
        <v>154</v>
      </c>
      <c r="J657" s="1">
        <v>5</v>
      </c>
      <c r="K657" s="3">
        <v>22058.81</v>
      </c>
      <c r="L657" s="1">
        <v>0</v>
      </c>
      <c r="M657" s="1" t="s">
        <v>69</v>
      </c>
      <c r="N657" s="10" t="s">
        <v>23</v>
      </c>
    </row>
    <row r="658" spans="1:14" x14ac:dyDescent="0.25">
      <c r="A658" s="9" t="s">
        <v>1382</v>
      </c>
      <c r="B658" s="2">
        <v>45164</v>
      </c>
      <c r="C658" s="1" t="s">
        <v>933</v>
      </c>
      <c r="D658" s="1" t="s">
        <v>67</v>
      </c>
      <c r="E658" s="1" t="s">
        <v>41</v>
      </c>
      <c r="F658" s="1" t="s">
        <v>60</v>
      </c>
      <c r="G658" s="1" t="s">
        <v>53</v>
      </c>
      <c r="H658" s="1" t="s">
        <v>54</v>
      </c>
      <c r="I658" s="1" t="s">
        <v>1334</v>
      </c>
      <c r="J658" s="1">
        <v>9</v>
      </c>
      <c r="K658" s="3">
        <v>44645.86</v>
      </c>
      <c r="L658" s="1">
        <v>10</v>
      </c>
      <c r="M658" s="1" t="s">
        <v>69</v>
      </c>
      <c r="N658" s="10" t="s">
        <v>45</v>
      </c>
    </row>
    <row r="659" spans="1:14" x14ac:dyDescent="0.25">
      <c r="A659" s="9" t="s">
        <v>1383</v>
      </c>
      <c r="B659" s="2">
        <v>45167</v>
      </c>
      <c r="C659" s="1" t="s">
        <v>1276</v>
      </c>
      <c r="D659" s="1" t="s">
        <v>87</v>
      </c>
      <c r="E659" s="1" t="s">
        <v>72</v>
      </c>
      <c r="F659" s="1" t="s">
        <v>99</v>
      </c>
      <c r="G659" s="1" t="s">
        <v>83</v>
      </c>
      <c r="H659" s="1" t="s">
        <v>43</v>
      </c>
      <c r="I659" s="1" t="s">
        <v>572</v>
      </c>
      <c r="J659" s="1">
        <v>3</v>
      </c>
      <c r="K659" s="3">
        <v>8727.8700000000008</v>
      </c>
      <c r="L659" s="1">
        <v>5</v>
      </c>
      <c r="M659" s="1" t="s">
        <v>69</v>
      </c>
      <c r="N659" s="10" t="s">
        <v>31</v>
      </c>
    </row>
    <row r="660" spans="1:14" x14ac:dyDescent="0.25">
      <c r="A660" s="9" t="s">
        <v>1384</v>
      </c>
      <c r="B660" s="2">
        <v>44949</v>
      </c>
      <c r="C660" s="1" t="s">
        <v>1385</v>
      </c>
      <c r="D660" s="1" t="s">
        <v>16</v>
      </c>
      <c r="E660" s="1" t="s">
        <v>72</v>
      </c>
      <c r="F660" s="1" t="s">
        <v>49</v>
      </c>
      <c r="G660" s="1" t="s">
        <v>19</v>
      </c>
      <c r="H660" s="1" t="s">
        <v>20</v>
      </c>
      <c r="I660" s="1" t="s">
        <v>78</v>
      </c>
      <c r="J660" s="1">
        <v>4</v>
      </c>
      <c r="K660" s="3">
        <v>13069.82</v>
      </c>
      <c r="L660" s="1">
        <v>15</v>
      </c>
      <c r="M660" s="1" t="s">
        <v>56</v>
      </c>
      <c r="N660" s="10" t="s">
        <v>23</v>
      </c>
    </row>
    <row r="661" spans="1:14" x14ac:dyDescent="0.25">
      <c r="A661" s="9" t="s">
        <v>1386</v>
      </c>
      <c r="B661" s="2">
        <v>45387</v>
      </c>
      <c r="C661" s="1" t="s">
        <v>1326</v>
      </c>
      <c r="D661" s="1" t="s">
        <v>67</v>
      </c>
      <c r="E661" s="1" t="s">
        <v>41</v>
      </c>
      <c r="F661" s="1" t="s">
        <v>82</v>
      </c>
      <c r="G661" s="1" t="s">
        <v>42</v>
      </c>
      <c r="H661" s="1" t="s">
        <v>43</v>
      </c>
      <c r="I661" s="1" t="s">
        <v>336</v>
      </c>
      <c r="J661" s="1">
        <v>4</v>
      </c>
      <c r="K661" s="3">
        <v>12403.08</v>
      </c>
      <c r="L661" s="1" t="s">
        <v>110</v>
      </c>
      <c r="M661" s="1" t="s">
        <v>93</v>
      </c>
      <c r="N661" s="10" t="s">
        <v>45</v>
      </c>
    </row>
    <row r="662" spans="1:14" x14ac:dyDescent="0.25">
      <c r="A662" s="9" t="s">
        <v>1387</v>
      </c>
      <c r="B662" s="2">
        <v>45206</v>
      </c>
      <c r="C662" s="1" t="s">
        <v>1388</v>
      </c>
      <c r="D662" s="1" t="s">
        <v>52</v>
      </c>
      <c r="E662" s="1" t="s">
        <v>27</v>
      </c>
      <c r="F662" s="1" t="s">
        <v>60</v>
      </c>
      <c r="G662" s="1" t="s">
        <v>19</v>
      </c>
      <c r="H662" s="1" t="s">
        <v>20</v>
      </c>
      <c r="I662" s="1" t="s">
        <v>583</v>
      </c>
      <c r="J662" s="1">
        <v>8</v>
      </c>
      <c r="K662" s="3">
        <v>17409.89</v>
      </c>
      <c r="L662" s="1">
        <v>20</v>
      </c>
      <c r="M662" s="1" t="s">
        <v>56</v>
      </c>
      <c r="N662" s="10" t="s">
        <v>45</v>
      </c>
    </row>
    <row r="663" spans="1:14" x14ac:dyDescent="0.25">
      <c r="A663" s="9" t="s">
        <v>1389</v>
      </c>
      <c r="B663" s="2">
        <v>45286</v>
      </c>
      <c r="C663" s="1" t="s">
        <v>1390</v>
      </c>
      <c r="D663" s="1" t="s">
        <v>81</v>
      </c>
      <c r="E663" s="1" t="s">
        <v>41</v>
      </c>
      <c r="F663" s="1" t="s">
        <v>82</v>
      </c>
      <c r="G663" s="1" t="s">
        <v>42</v>
      </c>
      <c r="H663" s="1" t="s">
        <v>43</v>
      </c>
      <c r="I663" s="1" t="s">
        <v>154</v>
      </c>
      <c r="J663" s="1">
        <v>3</v>
      </c>
      <c r="K663" s="3">
        <v>12332.62</v>
      </c>
      <c r="L663" s="1" t="s">
        <v>110</v>
      </c>
      <c r="M663" s="1" t="s">
        <v>56</v>
      </c>
      <c r="N663" s="10" t="s">
        <v>45</v>
      </c>
    </row>
    <row r="664" spans="1:14" x14ac:dyDescent="0.25">
      <c r="A664" s="9" t="s">
        <v>1391</v>
      </c>
      <c r="B664" s="2">
        <v>45524</v>
      </c>
      <c r="C664" s="1" t="s">
        <v>1392</v>
      </c>
      <c r="D664" s="1" t="s">
        <v>81</v>
      </c>
      <c r="E664" s="1" t="s">
        <v>41</v>
      </c>
      <c r="F664" s="1" t="s">
        <v>60</v>
      </c>
      <c r="G664" s="1" t="s">
        <v>83</v>
      </c>
      <c r="H664" s="1" t="s">
        <v>43</v>
      </c>
      <c r="I664" s="1" t="s">
        <v>339</v>
      </c>
      <c r="J664" s="1">
        <v>10</v>
      </c>
      <c r="K664" s="3">
        <v>6507.18</v>
      </c>
      <c r="L664" s="1">
        <v>15</v>
      </c>
      <c r="M664" s="1" t="s">
        <v>69</v>
      </c>
      <c r="N664" s="10" t="s">
        <v>74</v>
      </c>
    </row>
    <row r="665" spans="1:14" x14ac:dyDescent="0.25">
      <c r="A665" s="9" t="s">
        <v>1393</v>
      </c>
      <c r="B665" s="2">
        <v>45076</v>
      </c>
      <c r="C665" s="1" t="s">
        <v>1394</v>
      </c>
      <c r="D665" s="1" t="s">
        <v>71</v>
      </c>
      <c r="E665" s="1" t="s">
        <v>59</v>
      </c>
      <c r="F665" s="1" t="s">
        <v>88</v>
      </c>
      <c r="G665" s="1" t="s">
        <v>42</v>
      </c>
      <c r="H665" s="1" t="s">
        <v>43</v>
      </c>
      <c r="I665" s="1" t="s">
        <v>244</v>
      </c>
      <c r="J665" s="1">
        <v>2</v>
      </c>
      <c r="K665" s="3">
        <v>6298.26</v>
      </c>
      <c r="L665" s="1">
        <v>10</v>
      </c>
      <c r="M665" s="1" t="s">
        <v>36</v>
      </c>
      <c r="N665" s="10" t="s">
        <v>37</v>
      </c>
    </row>
    <row r="666" spans="1:14" x14ac:dyDescent="0.25">
      <c r="A666" s="9" t="s">
        <v>1395</v>
      </c>
      <c r="B666" s="2">
        <v>45537</v>
      </c>
      <c r="C666" s="1" t="s">
        <v>1396</v>
      </c>
      <c r="D666" s="1" t="s">
        <v>71</v>
      </c>
      <c r="E666" s="1" t="s">
        <v>41</v>
      </c>
      <c r="F666" s="1" t="s">
        <v>82</v>
      </c>
      <c r="G666" s="1" t="s">
        <v>53</v>
      </c>
      <c r="H666" s="1" t="s">
        <v>54</v>
      </c>
      <c r="I666" s="1" t="s">
        <v>333</v>
      </c>
      <c r="J666" s="1">
        <v>10</v>
      </c>
      <c r="K666" s="3">
        <v>20744.78</v>
      </c>
      <c r="L666" s="1">
        <v>0</v>
      </c>
      <c r="M666" s="1" t="s">
        <v>22</v>
      </c>
      <c r="N666" s="10" t="s">
        <v>64</v>
      </c>
    </row>
    <row r="667" spans="1:14" x14ac:dyDescent="0.25">
      <c r="A667" s="9" t="s">
        <v>1397</v>
      </c>
      <c r="B667" s="2">
        <v>45467</v>
      </c>
      <c r="C667" s="1" t="s">
        <v>1398</v>
      </c>
      <c r="D667" s="1" t="s">
        <v>81</v>
      </c>
      <c r="E667" s="1" t="s">
        <v>27</v>
      </c>
      <c r="F667" s="1" t="s">
        <v>88</v>
      </c>
      <c r="G667" s="1" t="s">
        <v>19</v>
      </c>
      <c r="H667" s="1" t="s">
        <v>20</v>
      </c>
      <c r="I667" s="1" t="s">
        <v>928</v>
      </c>
      <c r="J667" s="1">
        <v>2</v>
      </c>
      <c r="K667" s="3">
        <v>3879.1</v>
      </c>
      <c r="L667" s="1" t="s">
        <v>110</v>
      </c>
      <c r="M667" s="1" t="s">
        <v>69</v>
      </c>
      <c r="N667" s="10" t="s">
        <v>74</v>
      </c>
    </row>
    <row r="668" spans="1:14" x14ac:dyDescent="0.25">
      <c r="A668" s="9" t="s">
        <v>1399</v>
      </c>
      <c r="B668" s="2">
        <v>45542</v>
      </c>
      <c r="C668" s="1" t="s">
        <v>1220</v>
      </c>
      <c r="D668" s="1" t="s">
        <v>81</v>
      </c>
      <c r="E668" s="1" t="s">
        <v>34</v>
      </c>
      <c r="F668" s="1" t="s">
        <v>99</v>
      </c>
      <c r="G668" s="1" t="s">
        <v>83</v>
      </c>
      <c r="H668" s="1" t="s">
        <v>43</v>
      </c>
      <c r="I668" s="1" t="s">
        <v>329</v>
      </c>
      <c r="J668" s="1">
        <v>10</v>
      </c>
      <c r="K668" s="3">
        <v>11276.63</v>
      </c>
      <c r="L668" s="1">
        <v>0</v>
      </c>
      <c r="M668" s="1" t="s">
        <v>22</v>
      </c>
      <c r="N668" s="10" t="s">
        <v>31</v>
      </c>
    </row>
    <row r="669" spans="1:14" x14ac:dyDescent="0.25">
      <c r="A669" s="9" t="s">
        <v>1400</v>
      </c>
      <c r="B669" s="2">
        <v>45273</v>
      </c>
      <c r="C669" s="1" t="s">
        <v>1401</v>
      </c>
      <c r="D669" s="1" t="s">
        <v>16</v>
      </c>
      <c r="E669" s="1" t="s">
        <v>17</v>
      </c>
      <c r="F669" s="1" t="s">
        <v>88</v>
      </c>
      <c r="G669" s="1" t="s">
        <v>42</v>
      </c>
      <c r="H669" s="1" t="s">
        <v>43</v>
      </c>
      <c r="I669" s="1" t="s">
        <v>566</v>
      </c>
      <c r="J669" s="1">
        <v>6</v>
      </c>
      <c r="K669" s="3">
        <v>6007.08</v>
      </c>
      <c r="L669" s="1">
        <v>15</v>
      </c>
      <c r="M669" s="1" t="s">
        <v>69</v>
      </c>
      <c r="N669" s="10" t="s">
        <v>74</v>
      </c>
    </row>
    <row r="670" spans="1:14" x14ac:dyDescent="0.25">
      <c r="A670" s="9" t="s">
        <v>1402</v>
      </c>
      <c r="B670" s="2">
        <v>44945</v>
      </c>
      <c r="C670" s="1" t="s">
        <v>1403</v>
      </c>
      <c r="D670" s="1" t="s">
        <v>40</v>
      </c>
      <c r="E670" s="1" t="s">
        <v>27</v>
      </c>
      <c r="F670" s="1" t="s">
        <v>60</v>
      </c>
      <c r="G670" s="1" t="s">
        <v>42</v>
      </c>
      <c r="H670" s="1" t="s">
        <v>61</v>
      </c>
      <c r="I670" s="1" t="s">
        <v>632</v>
      </c>
      <c r="J670" s="1">
        <v>1</v>
      </c>
      <c r="K670" s="3">
        <v>480</v>
      </c>
      <c r="L670" s="1">
        <v>15</v>
      </c>
      <c r="M670" s="1" t="s">
        <v>22</v>
      </c>
      <c r="N670" s="10" t="s">
        <v>64</v>
      </c>
    </row>
    <row r="671" spans="1:14" x14ac:dyDescent="0.25">
      <c r="A671" s="9" t="s">
        <v>1404</v>
      </c>
      <c r="B671" s="2">
        <v>44988</v>
      </c>
      <c r="C671" s="1" t="s">
        <v>1194</v>
      </c>
      <c r="D671" s="1" t="s">
        <v>81</v>
      </c>
      <c r="E671" s="1" t="s">
        <v>59</v>
      </c>
      <c r="F671" s="1" t="s">
        <v>49</v>
      </c>
      <c r="G671" s="1" t="s">
        <v>19</v>
      </c>
      <c r="H671" s="1" t="s">
        <v>29</v>
      </c>
      <c r="I671" s="1" t="s">
        <v>385</v>
      </c>
      <c r="J671" s="1">
        <v>2</v>
      </c>
      <c r="K671" s="3">
        <v>8758</v>
      </c>
      <c r="L671" s="1" t="s">
        <v>110</v>
      </c>
      <c r="M671" s="1" t="s">
        <v>93</v>
      </c>
      <c r="N671" s="10" t="s">
        <v>45</v>
      </c>
    </row>
    <row r="672" spans="1:14" x14ac:dyDescent="0.25">
      <c r="A672" s="9" t="s">
        <v>1405</v>
      </c>
      <c r="B672" s="2">
        <v>45391</v>
      </c>
      <c r="C672" s="1" t="s">
        <v>1406</v>
      </c>
      <c r="D672" s="1" t="s">
        <v>360</v>
      </c>
      <c r="E672" s="1" t="s">
        <v>27</v>
      </c>
      <c r="F672" s="1" t="s">
        <v>28</v>
      </c>
      <c r="G672" s="1" t="s">
        <v>83</v>
      </c>
      <c r="H672" s="1" t="s">
        <v>43</v>
      </c>
      <c r="I672" s="1" t="s">
        <v>182</v>
      </c>
      <c r="J672" s="1">
        <v>10</v>
      </c>
      <c r="K672" s="3">
        <v>20782.91</v>
      </c>
      <c r="L672" s="1">
        <v>10</v>
      </c>
      <c r="M672" s="1" t="s">
        <v>93</v>
      </c>
      <c r="N672" s="10" t="s">
        <v>74</v>
      </c>
    </row>
    <row r="673" spans="1:14" x14ac:dyDescent="0.25">
      <c r="A673" s="9" t="s">
        <v>1407</v>
      </c>
      <c r="B673" s="2">
        <v>45339</v>
      </c>
      <c r="C673" s="1" t="s">
        <v>1408</v>
      </c>
      <c r="D673" s="1" t="s">
        <v>81</v>
      </c>
      <c r="E673" s="1" t="s">
        <v>34</v>
      </c>
      <c r="F673" s="1" t="s">
        <v>18</v>
      </c>
      <c r="G673" s="1" t="s">
        <v>53</v>
      </c>
      <c r="H673" s="1" t="s">
        <v>54</v>
      </c>
      <c r="I673" s="1" t="s">
        <v>413</v>
      </c>
      <c r="J673" s="1">
        <v>7</v>
      </c>
      <c r="K673" s="3">
        <v>7426.27</v>
      </c>
      <c r="L673" s="1">
        <v>15</v>
      </c>
      <c r="M673" s="1" t="s">
        <v>69</v>
      </c>
      <c r="N673" s="10" t="s">
        <v>64</v>
      </c>
    </row>
    <row r="674" spans="1:14" x14ac:dyDescent="0.25">
      <c r="A674" s="9" t="s">
        <v>1409</v>
      </c>
      <c r="B674" s="2">
        <v>45003</v>
      </c>
      <c r="C674" s="1" t="s">
        <v>396</v>
      </c>
      <c r="D674" s="1" t="s">
        <v>147</v>
      </c>
      <c r="E674" s="1" t="s">
        <v>34</v>
      </c>
      <c r="F674" s="1" t="s">
        <v>28</v>
      </c>
      <c r="G674" s="1" t="s">
        <v>53</v>
      </c>
      <c r="H674" s="1" t="s">
        <v>54</v>
      </c>
      <c r="I674" s="1" t="s">
        <v>548</v>
      </c>
      <c r="J674" s="1">
        <v>3</v>
      </c>
      <c r="K674" s="3">
        <v>7989.84</v>
      </c>
      <c r="L674" s="1">
        <v>10</v>
      </c>
      <c r="M674" s="1" t="s">
        <v>63</v>
      </c>
      <c r="N674" s="10" t="s">
        <v>31</v>
      </c>
    </row>
    <row r="675" spans="1:14" x14ac:dyDescent="0.25">
      <c r="A675" s="9" t="s">
        <v>1410</v>
      </c>
      <c r="B675" s="2">
        <v>45598</v>
      </c>
      <c r="C675" s="1" t="s">
        <v>1411</v>
      </c>
      <c r="D675" s="1" t="s">
        <v>67</v>
      </c>
      <c r="E675" s="1" t="s">
        <v>27</v>
      </c>
      <c r="F675" s="1" t="s">
        <v>60</v>
      </c>
      <c r="G675" s="1" t="s">
        <v>19</v>
      </c>
      <c r="H675" s="1" t="s">
        <v>29</v>
      </c>
      <c r="I675" s="1" t="s">
        <v>320</v>
      </c>
      <c r="J675" s="1">
        <v>10</v>
      </c>
      <c r="K675" s="3">
        <v>22306.57</v>
      </c>
      <c r="L675" s="1">
        <v>20</v>
      </c>
      <c r="M675" s="1" t="s">
        <v>93</v>
      </c>
      <c r="N675" s="10" t="s">
        <v>74</v>
      </c>
    </row>
    <row r="676" spans="1:14" x14ac:dyDescent="0.25">
      <c r="A676" s="9" t="s">
        <v>1412</v>
      </c>
      <c r="B676" s="2">
        <v>45040</v>
      </c>
      <c r="C676" s="1" t="s">
        <v>570</v>
      </c>
      <c r="D676" s="1" t="s">
        <v>33</v>
      </c>
      <c r="E676" s="1" t="s">
        <v>17</v>
      </c>
      <c r="F676" s="1" t="s">
        <v>18</v>
      </c>
      <c r="G676" s="1" t="s">
        <v>53</v>
      </c>
      <c r="H676" s="1" t="s">
        <v>54</v>
      </c>
      <c r="I676" s="1" t="s">
        <v>132</v>
      </c>
      <c r="J676" s="1">
        <v>10</v>
      </c>
      <c r="K676" s="3">
        <v>3099.31</v>
      </c>
      <c r="L676" s="1">
        <v>15</v>
      </c>
      <c r="M676" s="1" t="s">
        <v>63</v>
      </c>
      <c r="N676" s="10" t="s">
        <v>74</v>
      </c>
    </row>
    <row r="677" spans="1:14" x14ac:dyDescent="0.25">
      <c r="A677" s="9" t="s">
        <v>1413</v>
      </c>
      <c r="B677" s="2">
        <v>45267</v>
      </c>
      <c r="C677" s="1" t="s">
        <v>1414</v>
      </c>
      <c r="D677" s="1" t="s">
        <v>71</v>
      </c>
      <c r="E677" s="1" t="s">
        <v>34</v>
      </c>
      <c r="F677" s="1" t="s">
        <v>28</v>
      </c>
      <c r="G677" s="1" t="s">
        <v>83</v>
      </c>
      <c r="H677" s="1" t="s">
        <v>43</v>
      </c>
      <c r="I677" s="1" t="s">
        <v>572</v>
      </c>
      <c r="J677" s="1">
        <v>1</v>
      </c>
      <c r="K677" s="3">
        <v>2909.55</v>
      </c>
      <c r="L677" s="1">
        <v>10</v>
      </c>
      <c r="M677" s="1" t="s">
        <v>93</v>
      </c>
      <c r="N677" s="10" t="s">
        <v>37</v>
      </c>
    </row>
    <row r="678" spans="1:14" x14ac:dyDescent="0.25">
      <c r="A678" s="9" t="s">
        <v>1415</v>
      </c>
      <c r="B678" s="2">
        <v>44928</v>
      </c>
      <c r="C678" s="1" t="s">
        <v>1017</v>
      </c>
      <c r="D678" s="1" t="s">
        <v>147</v>
      </c>
      <c r="E678" s="1" t="s">
        <v>27</v>
      </c>
      <c r="F678" s="1" t="s">
        <v>99</v>
      </c>
      <c r="G678" s="1" t="s">
        <v>19</v>
      </c>
      <c r="H678" s="1" t="s">
        <v>29</v>
      </c>
      <c r="I678" s="1" t="s">
        <v>113</v>
      </c>
      <c r="J678" s="1">
        <v>10</v>
      </c>
      <c r="K678" s="3">
        <v>5408.44</v>
      </c>
      <c r="L678" s="1">
        <v>15</v>
      </c>
      <c r="M678" s="1" t="s">
        <v>69</v>
      </c>
      <c r="N678" s="10" t="s">
        <v>37</v>
      </c>
    </row>
    <row r="679" spans="1:14" x14ac:dyDescent="0.25">
      <c r="A679" s="9" t="s">
        <v>1416</v>
      </c>
      <c r="B679" s="2">
        <v>45169</v>
      </c>
      <c r="C679" s="1" t="s">
        <v>692</v>
      </c>
      <c r="D679" s="1" t="s">
        <v>52</v>
      </c>
      <c r="E679" s="1" t="s">
        <v>34</v>
      </c>
      <c r="F679" s="1" t="s">
        <v>82</v>
      </c>
      <c r="G679" s="1" t="s">
        <v>19</v>
      </c>
      <c r="H679" s="1" t="s">
        <v>29</v>
      </c>
      <c r="I679" s="1" t="s">
        <v>141</v>
      </c>
      <c r="J679" s="1">
        <v>6</v>
      </c>
      <c r="K679" s="3">
        <v>25789.86</v>
      </c>
      <c r="L679" s="1">
        <v>20</v>
      </c>
      <c r="M679" s="1" t="s">
        <v>36</v>
      </c>
      <c r="N679" s="10" t="s">
        <v>74</v>
      </c>
    </row>
    <row r="680" spans="1:14" x14ac:dyDescent="0.25">
      <c r="A680" s="9" t="s">
        <v>1417</v>
      </c>
      <c r="B680" s="2">
        <v>44944</v>
      </c>
      <c r="C680" s="1" t="s">
        <v>1418</v>
      </c>
      <c r="D680" s="1" t="s">
        <v>52</v>
      </c>
      <c r="E680" s="1" t="s">
        <v>34</v>
      </c>
      <c r="F680" s="1" t="s">
        <v>99</v>
      </c>
      <c r="G680" s="1" t="s">
        <v>83</v>
      </c>
      <c r="H680" s="1" t="s">
        <v>43</v>
      </c>
      <c r="I680" s="1" t="s">
        <v>274</v>
      </c>
      <c r="J680" s="1">
        <v>5</v>
      </c>
      <c r="K680" s="3">
        <v>24777.9</v>
      </c>
      <c r="L680" s="1">
        <v>15</v>
      </c>
      <c r="M680" s="1" t="s">
        <v>69</v>
      </c>
      <c r="N680" s="10" t="s">
        <v>64</v>
      </c>
    </row>
    <row r="681" spans="1:14" x14ac:dyDescent="0.25">
      <c r="A681" s="9" t="s">
        <v>1419</v>
      </c>
      <c r="B681" s="2">
        <v>45019</v>
      </c>
      <c r="C681" s="1" t="s">
        <v>1420</v>
      </c>
      <c r="D681" s="1" t="s">
        <v>67</v>
      </c>
      <c r="E681" s="1" t="s">
        <v>59</v>
      </c>
      <c r="F681" s="1" t="s">
        <v>82</v>
      </c>
      <c r="G681" s="1" t="s">
        <v>19</v>
      </c>
      <c r="H681" s="1" t="s">
        <v>29</v>
      </c>
      <c r="I681" s="1" t="s">
        <v>693</v>
      </c>
      <c r="J681" s="1">
        <v>4</v>
      </c>
      <c r="K681" s="3">
        <v>15464.15</v>
      </c>
      <c r="L681" s="1" t="s">
        <v>110</v>
      </c>
      <c r="M681" s="1" t="s">
        <v>22</v>
      </c>
      <c r="N681" s="10" t="s">
        <v>74</v>
      </c>
    </row>
    <row r="682" spans="1:14" x14ac:dyDescent="0.25">
      <c r="A682" s="9" t="s">
        <v>1421</v>
      </c>
      <c r="B682" s="2">
        <v>44958</v>
      </c>
      <c r="C682" s="1" t="s">
        <v>1422</v>
      </c>
      <c r="D682" s="1" t="s">
        <v>67</v>
      </c>
      <c r="E682" s="1" t="s">
        <v>72</v>
      </c>
      <c r="F682" s="1" t="s">
        <v>82</v>
      </c>
      <c r="G682" s="1" t="s">
        <v>19</v>
      </c>
      <c r="H682" s="1" t="s">
        <v>20</v>
      </c>
      <c r="I682" s="1" t="s">
        <v>312</v>
      </c>
      <c r="J682" s="1">
        <v>10</v>
      </c>
      <c r="K682" s="3">
        <v>40067.760000000002</v>
      </c>
      <c r="L682" s="1">
        <v>0</v>
      </c>
      <c r="M682" s="1" t="s">
        <v>56</v>
      </c>
      <c r="N682" s="10" t="s">
        <v>74</v>
      </c>
    </row>
    <row r="683" spans="1:14" x14ac:dyDescent="0.25">
      <c r="A683" s="9" t="s">
        <v>1424</v>
      </c>
      <c r="B683" s="2">
        <v>45302</v>
      </c>
      <c r="C683" s="1" t="s">
        <v>1425</v>
      </c>
      <c r="D683" s="1" t="s">
        <v>147</v>
      </c>
      <c r="E683" s="1" t="s">
        <v>72</v>
      </c>
      <c r="F683" s="1" t="s">
        <v>82</v>
      </c>
      <c r="G683" s="1" t="s">
        <v>83</v>
      </c>
      <c r="H683" s="1" t="s">
        <v>43</v>
      </c>
      <c r="I683" s="1" t="s">
        <v>274</v>
      </c>
      <c r="J683" s="1">
        <v>2</v>
      </c>
      <c r="K683" s="3">
        <v>9680.09</v>
      </c>
      <c r="L683" s="1">
        <v>10</v>
      </c>
      <c r="M683" s="1" t="s">
        <v>69</v>
      </c>
      <c r="N683" s="10" t="s">
        <v>31</v>
      </c>
    </row>
    <row r="684" spans="1:14" x14ac:dyDescent="0.25">
      <c r="A684" s="9" t="s">
        <v>1426</v>
      </c>
      <c r="B684" s="2">
        <v>45521</v>
      </c>
      <c r="C684" s="1" t="s">
        <v>785</v>
      </c>
      <c r="D684" s="1" t="s">
        <v>26</v>
      </c>
      <c r="E684" s="1" t="s">
        <v>27</v>
      </c>
      <c r="F684" s="1" t="s">
        <v>18</v>
      </c>
      <c r="G684" s="1" t="s">
        <v>19</v>
      </c>
      <c r="H684" s="1" t="s">
        <v>29</v>
      </c>
      <c r="I684" s="1" t="s">
        <v>267</v>
      </c>
      <c r="J684" s="1">
        <v>10</v>
      </c>
      <c r="K684" s="3">
        <v>22293.4</v>
      </c>
      <c r="L684" s="1">
        <v>5</v>
      </c>
      <c r="M684" s="1" t="s">
        <v>93</v>
      </c>
      <c r="N684" s="10" t="s">
        <v>37</v>
      </c>
    </row>
    <row r="685" spans="1:14" x14ac:dyDescent="0.25">
      <c r="A685" s="9" t="s">
        <v>1427</v>
      </c>
      <c r="B685" s="2">
        <v>45623</v>
      </c>
      <c r="C685" s="1" t="s">
        <v>1428</v>
      </c>
      <c r="D685" s="1" t="s">
        <v>81</v>
      </c>
      <c r="E685" s="1" t="s">
        <v>27</v>
      </c>
      <c r="F685" s="1" t="s">
        <v>18</v>
      </c>
      <c r="G685" s="1" t="s">
        <v>42</v>
      </c>
      <c r="H685" s="1" t="s">
        <v>61</v>
      </c>
      <c r="I685" s="1" t="s">
        <v>402</v>
      </c>
      <c r="J685" s="1">
        <v>6</v>
      </c>
      <c r="K685" s="3">
        <v>9370.18</v>
      </c>
      <c r="L685" s="1">
        <v>0</v>
      </c>
      <c r="M685" s="1" t="s">
        <v>36</v>
      </c>
      <c r="N685" s="10" t="s">
        <v>45</v>
      </c>
    </row>
    <row r="686" spans="1:14" x14ac:dyDescent="0.25">
      <c r="A686" s="9" t="s">
        <v>1429</v>
      </c>
      <c r="B686" s="2">
        <v>45403</v>
      </c>
      <c r="C686" s="1" t="s">
        <v>1430</v>
      </c>
      <c r="D686" s="1" t="s">
        <v>81</v>
      </c>
      <c r="E686" s="1" t="s">
        <v>59</v>
      </c>
      <c r="F686" s="1" t="s">
        <v>60</v>
      </c>
      <c r="G686" s="1" t="s">
        <v>83</v>
      </c>
      <c r="H686" s="1" t="s">
        <v>43</v>
      </c>
      <c r="I686" s="1" t="s">
        <v>380</v>
      </c>
      <c r="J686" s="1">
        <v>9</v>
      </c>
      <c r="K686" s="3">
        <v>1681.97</v>
      </c>
      <c r="L686" s="1" t="s">
        <v>110</v>
      </c>
      <c r="M686" s="1" t="s">
        <v>36</v>
      </c>
      <c r="N686" s="10" t="s">
        <v>23</v>
      </c>
    </row>
    <row r="687" spans="1:14" x14ac:dyDescent="0.25">
      <c r="A687" s="9" t="s">
        <v>1431</v>
      </c>
      <c r="B687" s="2">
        <v>45164</v>
      </c>
      <c r="C687" s="1" t="s">
        <v>233</v>
      </c>
      <c r="D687" s="1" t="s">
        <v>16</v>
      </c>
      <c r="E687" s="1" t="s">
        <v>41</v>
      </c>
      <c r="F687" s="1" t="s">
        <v>88</v>
      </c>
      <c r="G687" s="1" t="s">
        <v>19</v>
      </c>
      <c r="H687" s="1" t="s">
        <v>29</v>
      </c>
      <c r="I687" s="1" t="s">
        <v>452</v>
      </c>
      <c r="J687" s="1">
        <v>7</v>
      </c>
      <c r="K687" s="3">
        <v>34261.599999999999</v>
      </c>
      <c r="L687" s="1" t="s">
        <v>110</v>
      </c>
      <c r="M687" s="1" t="s">
        <v>36</v>
      </c>
      <c r="N687" s="10" t="s">
        <v>23</v>
      </c>
    </row>
    <row r="688" spans="1:14" x14ac:dyDescent="0.25">
      <c r="A688" s="9" t="s">
        <v>1432</v>
      </c>
      <c r="B688" s="2">
        <v>45441</v>
      </c>
      <c r="C688" s="1" t="s">
        <v>1083</v>
      </c>
      <c r="D688" s="1" t="s">
        <v>147</v>
      </c>
      <c r="E688" s="1" t="s">
        <v>27</v>
      </c>
      <c r="F688" s="1" t="s">
        <v>99</v>
      </c>
      <c r="G688" s="1" t="s">
        <v>42</v>
      </c>
      <c r="H688" s="1" t="s">
        <v>61</v>
      </c>
      <c r="I688" s="1" t="s">
        <v>317</v>
      </c>
      <c r="J688" s="1">
        <v>4</v>
      </c>
      <c r="K688" s="3">
        <v>17542.330000000002</v>
      </c>
      <c r="L688" s="1">
        <v>5</v>
      </c>
      <c r="M688" s="1" t="s">
        <v>36</v>
      </c>
      <c r="N688" s="10" t="s">
        <v>23</v>
      </c>
    </row>
    <row r="689" spans="1:14" x14ac:dyDescent="0.25">
      <c r="A689" s="9" t="s">
        <v>1433</v>
      </c>
      <c r="B689" s="2">
        <v>45279</v>
      </c>
      <c r="C689" s="1" t="s">
        <v>1434</v>
      </c>
      <c r="D689" s="1" t="s">
        <v>26</v>
      </c>
      <c r="E689" s="1" t="s">
        <v>72</v>
      </c>
      <c r="F689" s="1" t="s">
        <v>88</v>
      </c>
      <c r="G689" s="1" t="s">
        <v>83</v>
      </c>
      <c r="H689" s="1" t="s">
        <v>43</v>
      </c>
      <c r="I689" s="1" t="s">
        <v>154</v>
      </c>
      <c r="J689" s="1">
        <v>1</v>
      </c>
      <c r="K689" s="3">
        <v>2009.86</v>
      </c>
      <c r="L689" s="1" t="s">
        <v>110</v>
      </c>
      <c r="M689" s="1" t="s">
        <v>56</v>
      </c>
      <c r="N689" s="10" t="s">
        <v>45</v>
      </c>
    </row>
    <row r="690" spans="1:14" x14ac:dyDescent="0.25">
      <c r="A690" s="9" t="s">
        <v>1435</v>
      </c>
      <c r="B690" s="2">
        <v>45127</v>
      </c>
      <c r="C690" s="1" t="s">
        <v>1365</v>
      </c>
      <c r="D690" s="1" t="s">
        <v>16</v>
      </c>
      <c r="E690" s="1" t="s">
        <v>27</v>
      </c>
      <c r="F690" s="1" t="s">
        <v>82</v>
      </c>
      <c r="G690" s="1" t="s">
        <v>19</v>
      </c>
      <c r="H690" s="1" t="s">
        <v>29</v>
      </c>
      <c r="I690" s="1" t="s">
        <v>320</v>
      </c>
      <c r="J690" s="1">
        <v>8</v>
      </c>
      <c r="K690" s="3">
        <v>29584.61</v>
      </c>
      <c r="L690" s="1">
        <v>5</v>
      </c>
      <c r="M690" s="1" t="s">
        <v>69</v>
      </c>
      <c r="N690" s="10" t="s">
        <v>74</v>
      </c>
    </row>
    <row r="691" spans="1:14" x14ac:dyDescent="0.25">
      <c r="A691" s="9" t="s">
        <v>1436</v>
      </c>
      <c r="B691" s="2">
        <v>45531</v>
      </c>
      <c r="C691" s="1" t="s">
        <v>1437</v>
      </c>
      <c r="D691" s="1" t="s">
        <v>436</v>
      </c>
      <c r="E691" s="1" t="s">
        <v>34</v>
      </c>
      <c r="F691" s="1" t="s">
        <v>99</v>
      </c>
      <c r="G691" s="1" t="s">
        <v>83</v>
      </c>
      <c r="H691" s="1" t="s">
        <v>43</v>
      </c>
      <c r="I691" s="1" t="s">
        <v>572</v>
      </c>
      <c r="J691" s="1">
        <v>5</v>
      </c>
      <c r="K691" s="3">
        <v>20728.38</v>
      </c>
      <c r="L691" s="1">
        <v>5</v>
      </c>
      <c r="M691" s="1" t="s">
        <v>69</v>
      </c>
      <c r="N691" s="10" t="s">
        <v>64</v>
      </c>
    </row>
    <row r="692" spans="1:14" x14ac:dyDescent="0.25">
      <c r="A692" s="9" t="s">
        <v>1439</v>
      </c>
      <c r="B692" s="2">
        <v>45390</v>
      </c>
      <c r="C692" s="1" t="s">
        <v>1440</v>
      </c>
      <c r="D692" s="1" t="s">
        <v>81</v>
      </c>
      <c r="E692" s="1" t="s">
        <v>27</v>
      </c>
      <c r="F692" s="1" t="s">
        <v>18</v>
      </c>
      <c r="G692" s="1" t="s">
        <v>53</v>
      </c>
      <c r="H692" s="1" t="s">
        <v>54</v>
      </c>
      <c r="I692" s="1" t="s">
        <v>73</v>
      </c>
      <c r="J692" s="1">
        <v>10</v>
      </c>
      <c r="K692" s="3">
        <v>47308.88</v>
      </c>
      <c r="L692" s="1">
        <v>15</v>
      </c>
      <c r="M692" s="1" t="s">
        <v>22</v>
      </c>
      <c r="N692" s="10" t="s">
        <v>23</v>
      </c>
    </row>
    <row r="693" spans="1:14" x14ac:dyDescent="0.25">
      <c r="A693" s="9" t="s">
        <v>1441</v>
      </c>
      <c r="B693" s="2">
        <v>45128</v>
      </c>
      <c r="C693" s="1" t="s">
        <v>98</v>
      </c>
      <c r="D693" s="1" t="s">
        <v>52</v>
      </c>
      <c r="E693" s="1" t="s">
        <v>34</v>
      </c>
      <c r="F693" s="1" t="s">
        <v>88</v>
      </c>
      <c r="G693" s="1" t="s">
        <v>19</v>
      </c>
      <c r="H693" s="1" t="s">
        <v>20</v>
      </c>
      <c r="I693" s="1" t="s">
        <v>193</v>
      </c>
      <c r="J693" s="1">
        <v>6</v>
      </c>
      <c r="K693" s="3">
        <v>1988.58</v>
      </c>
      <c r="L693" s="1">
        <v>10</v>
      </c>
      <c r="M693" s="1" t="s">
        <v>36</v>
      </c>
      <c r="N693" s="10" t="s">
        <v>31</v>
      </c>
    </row>
    <row r="694" spans="1:14" x14ac:dyDescent="0.25">
      <c r="A694" s="9" t="s">
        <v>1442</v>
      </c>
      <c r="B694" s="2">
        <v>45557</v>
      </c>
      <c r="C694" s="1" t="s">
        <v>1140</v>
      </c>
      <c r="D694" s="1" t="s">
        <v>40</v>
      </c>
      <c r="E694" s="1" t="s">
        <v>72</v>
      </c>
      <c r="F694" s="1" t="s">
        <v>18</v>
      </c>
      <c r="G694" s="1" t="s">
        <v>42</v>
      </c>
      <c r="H694" s="1" t="s">
        <v>43</v>
      </c>
      <c r="I694" s="1" t="s">
        <v>652</v>
      </c>
      <c r="J694" s="1">
        <v>4</v>
      </c>
      <c r="K694" s="3">
        <v>6391.2</v>
      </c>
      <c r="L694" s="1">
        <v>0</v>
      </c>
      <c r="M694" s="1" t="s">
        <v>69</v>
      </c>
      <c r="N694" s="10" t="s">
        <v>74</v>
      </c>
    </row>
    <row r="695" spans="1:14" x14ac:dyDescent="0.25">
      <c r="A695" s="9" t="s">
        <v>1443</v>
      </c>
      <c r="B695" s="2">
        <v>45617</v>
      </c>
      <c r="C695" s="1" t="s">
        <v>1444</v>
      </c>
      <c r="D695" s="1" t="s">
        <v>16</v>
      </c>
      <c r="E695" s="1" t="s">
        <v>72</v>
      </c>
      <c r="F695" s="1" t="s">
        <v>28</v>
      </c>
      <c r="G695" s="1" t="s">
        <v>83</v>
      </c>
      <c r="H695" s="1" t="s">
        <v>43</v>
      </c>
      <c r="I695" s="1" t="s">
        <v>144</v>
      </c>
      <c r="J695" s="1">
        <v>3</v>
      </c>
      <c r="K695" s="3">
        <v>2669.1</v>
      </c>
      <c r="L695" s="1">
        <v>20</v>
      </c>
      <c r="M695" s="1" t="s">
        <v>22</v>
      </c>
      <c r="N695" s="10" t="s">
        <v>31</v>
      </c>
    </row>
    <row r="696" spans="1:14" x14ac:dyDescent="0.25">
      <c r="A696" s="9" t="s">
        <v>1445</v>
      </c>
      <c r="B696" s="2">
        <v>45558</v>
      </c>
      <c r="C696" s="1" t="s">
        <v>1446</v>
      </c>
      <c r="D696" s="1" t="s">
        <v>48</v>
      </c>
      <c r="E696" s="1" t="s">
        <v>41</v>
      </c>
      <c r="F696" s="1" t="s">
        <v>88</v>
      </c>
      <c r="G696" s="1" t="s">
        <v>19</v>
      </c>
      <c r="H696" s="1" t="s">
        <v>20</v>
      </c>
      <c r="I696" s="1" t="s">
        <v>187</v>
      </c>
      <c r="J696" s="1">
        <v>8</v>
      </c>
      <c r="K696" s="3">
        <v>30641.05</v>
      </c>
      <c r="L696" s="1">
        <v>15</v>
      </c>
      <c r="M696" s="1" t="s">
        <v>93</v>
      </c>
      <c r="N696" s="10" t="s">
        <v>74</v>
      </c>
    </row>
    <row r="697" spans="1:14" x14ac:dyDescent="0.25">
      <c r="A697" s="9" t="s">
        <v>1447</v>
      </c>
      <c r="B697" s="2">
        <v>45177</v>
      </c>
      <c r="C697" s="1" t="s">
        <v>1448</v>
      </c>
      <c r="D697" s="1" t="s">
        <v>81</v>
      </c>
      <c r="E697" s="1" t="s">
        <v>41</v>
      </c>
      <c r="F697" s="1" t="s">
        <v>88</v>
      </c>
      <c r="G697" s="1" t="s">
        <v>19</v>
      </c>
      <c r="H697" s="1" t="s">
        <v>29</v>
      </c>
      <c r="I697" s="1" t="s">
        <v>1449</v>
      </c>
      <c r="J697" s="1">
        <v>3</v>
      </c>
      <c r="K697" s="3">
        <v>7995.69</v>
      </c>
      <c r="L697" s="1">
        <v>5</v>
      </c>
      <c r="M697" s="1" t="s">
        <v>22</v>
      </c>
      <c r="N697" s="10" t="s">
        <v>64</v>
      </c>
    </row>
    <row r="698" spans="1:14" x14ac:dyDescent="0.25">
      <c r="A698" s="9" t="s">
        <v>1450</v>
      </c>
      <c r="B698" s="2">
        <v>45542</v>
      </c>
      <c r="C698" s="1" t="s">
        <v>1296</v>
      </c>
      <c r="D698" s="1" t="s">
        <v>40</v>
      </c>
      <c r="E698" s="1" t="s">
        <v>17</v>
      </c>
      <c r="F698" s="1" t="s">
        <v>82</v>
      </c>
      <c r="G698" s="1" t="s">
        <v>19</v>
      </c>
      <c r="H698" s="1" t="s">
        <v>20</v>
      </c>
      <c r="I698" s="1" t="s">
        <v>326</v>
      </c>
      <c r="J698" s="1">
        <v>4</v>
      </c>
      <c r="K698" s="3">
        <v>19089.27</v>
      </c>
      <c r="L698" s="1">
        <v>15</v>
      </c>
      <c r="M698" s="1" t="s">
        <v>56</v>
      </c>
      <c r="N698" s="10" t="s">
        <v>45</v>
      </c>
    </row>
    <row r="699" spans="1:14" x14ac:dyDescent="0.25">
      <c r="A699" s="9" t="s">
        <v>1451</v>
      </c>
      <c r="B699" s="2">
        <v>45545</v>
      </c>
      <c r="C699" s="1" t="s">
        <v>1452</v>
      </c>
      <c r="D699" s="1" t="s">
        <v>40</v>
      </c>
      <c r="E699" s="1" t="s">
        <v>34</v>
      </c>
      <c r="F699" s="1" t="s">
        <v>18</v>
      </c>
      <c r="G699" s="1" t="s">
        <v>42</v>
      </c>
      <c r="H699" s="1" t="s">
        <v>43</v>
      </c>
      <c r="I699" s="1" t="s">
        <v>274</v>
      </c>
      <c r="J699" s="1">
        <v>3</v>
      </c>
      <c r="K699" s="3">
        <v>4593.22</v>
      </c>
      <c r="L699" s="1">
        <v>10</v>
      </c>
      <c r="M699" s="1" t="s">
        <v>36</v>
      </c>
      <c r="N699" s="10" t="s">
        <v>45</v>
      </c>
    </row>
    <row r="700" spans="1:14" x14ac:dyDescent="0.25">
      <c r="A700" s="9" t="s">
        <v>1453</v>
      </c>
      <c r="B700" s="2">
        <v>44954</v>
      </c>
      <c r="C700" s="1" t="s">
        <v>98</v>
      </c>
      <c r="D700" s="1" t="s">
        <v>40</v>
      </c>
      <c r="E700" s="1" t="s">
        <v>17</v>
      </c>
      <c r="F700" s="1" t="s">
        <v>60</v>
      </c>
      <c r="G700" s="1" t="s">
        <v>42</v>
      </c>
      <c r="H700" s="1" t="s">
        <v>61</v>
      </c>
      <c r="I700" s="1" t="s">
        <v>196</v>
      </c>
      <c r="J700" s="1">
        <v>4</v>
      </c>
      <c r="K700" s="3">
        <v>10092.14</v>
      </c>
      <c r="L700" s="1">
        <v>10</v>
      </c>
      <c r="M700" s="1" t="s">
        <v>22</v>
      </c>
      <c r="N700" s="10" t="s">
        <v>37</v>
      </c>
    </row>
    <row r="701" spans="1:14" x14ac:dyDescent="0.25">
      <c r="A701" s="9" t="s">
        <v>1454</v>
      </c>
      <c r="B701" s="2">
        <v>45145</v>
      </c>
      <c r="C701" s="1" t="s">
        <v>1455</v>
      </c>
      <c r="D701" s="1" t="s">
        <v>81</v>
      </c>
      <c r="E701" s="1" t="s">
        <v>41</v>
      </c>
      <c r="F701" s="1" t="s">
        <v>49</v>
      </c>
      <c r="G701" s="1" t="s">
        <v>42</v>
      </c>
      <c r="H701" s="1" t="s">
        <v>61</v>
      </c>
      <c r="I701" s="1" t="s">
        <v>247</v>
      </c>
      <c r="J701" s="1">
        <v>3</v>
      </c>
      <c r="K701" s="3">
        <v>6642.99</v>
      </c>
      <c r="L701" s="1">
        <v>10</v>
      </c>
      <c r="M701" s="1" t="s">
        <v>22</v>
      </c>
      <c r="N701" s="10" t="s">
        <v>23</v>
      </c>
    </row>
    <row r="702" spans="1:14" x14ac:dyDescent="0.25">
      <c r="A702" s="9" t="s">
        <v>1457</v>
      </c>
      <c r="B702" s="2">
        <v>45460</v>
      </c>
      <c r="C702" s="1" t="s">
        <v>262</v>
      </c>
      <c r="D702" s="1" t="s">
        <v>147</v>
      </c>
      <c r="E702" s="1" t="s">
        <v>27</v>
      </c>
      <c r="F702" s="1" t="s">
        <v>82</v>
      </c>
      <c r="G702" s="1" t="s">
        <v>19</v>
      </c>
      <c r="H702" s="1" t="s">
        <v>20</v>
      </c>
      <c r="I702" s="1" t="s">
        <v>230</v>
      </c>
      <c r="J702" s="1">
        <v>9</v>
      </c>
      <c r="K702" s="3">
        <v>20557.53</v>
      </c>
      <c r="L702" s="1">
        <v>5</v>
      </c>
      <c r="M702" s="1" t="s">
        <v>56</v>
      </c>
      <c r="N702" s="10" t="s">
        <v>23</v>
      </c>
    </row>
    <row r="703" spans="1:14" x14ac:dyDescent="0.25">
      <c r="A703" s="9" t="s">
        <v>1459</v>
      </c>
      <c r="B703" s="2">
        <v>45457</v>
      </c>
      <c r="C703" s="1" t="s">
        <v>362</v>
      </c>
      <c r="D703" s="1" t="s">
        <v>16</v>
      </c>
      <c r="E703" s="1" t="s">
        <v>17</v>
      </c>
      <c r="F703" s="1" t="s">
        <v>82</v>
      </c>
      <c r="G703" s="1" t="s">
        <v>19</v>
      </c>
      <c r="H703" s="1" t="s">
        <v>29</v>
      </c>
      <c r="I703" s="1" t="s">
        <v>452</v>
      </c>
      <c r="J703" s="1">
        <v>4</v>
      </c>
      <c r="K703" s="3">
        <v>4638.04</v>
      </c>
      <c r="L703" s="1">
        <v>0</v>
      </c>
      <c r="M703" s="1" t="s">
        <v>63</v>
      </c>
      <c r="N703" s="10" t="s">
        <v>64</v>
      </c>
    </row>
    <row r="704" spans="1:14" x14ac:dyDescent="0.25">
      <c r="A704" s="9" t="s">
        <v>1460</v>
      </c>
      <c r="B704" s="2">
        <v>45333</v>
      </c>
      <c r="C704" s="1" t="s">
        <v>1461</v>
      </c>
      <c r="D704" s="1" t="s">
        <v>52</v>
      </c>
      <c r="E704" s="1" t="s">
        <v>59</v>
      </c>
      <c r="F704" s="1" t="s">
        <v>82</v>
      </c>
      <c r="G704" s="1" t="s">
        <v>19</v>
      </c>
      <c r="H704" s="1" t="s">
        <v>20</v>
      </c>
      <c r="I704" s="1" t="s">
        <v>731</v>
      </c>
      <c r="J704" s="1">
        <v>1</v>
      </c>
      <c r="K704" s="3">
        <v>1232.1600000000001</v>
      </c>
      <c r="L704" s="1">
        <v>20</v>
      </c>
      <c r="M704" s="1" t="s">
        <v>56</v>
      </c>
      <c r="N704" s="10" t="s">
        <v>64</v>
      </c>
    </row>
    <row r="705" spans="1:14" x14ac:dyDescent="0.25">
      <c r="A705" s="9" t="s">
        <v>1462</v>
      </c>
      <c r="B705" s="2">
        <v>45576</v>
      </c>
      <c r="C705" s="1" t="s">
        <v>839</v>
      </c>
      <c r="D705" s="1" t="s">
        <v>67</v>
      </c>
      <c r="E705" s="1" t="s">
        <v>59</v>
      </c>
      <c r="F705" s="1" t="s">
        <v>99</v>
      </c>
      <c r="G705" s="1" t="s">
        <v>42</v>
      </c>
      <c r="H705" s="1" t="s">
        <v>43</v>
      </c>
      <c r="I705" s="1" t="s">
        <v>365</v>
      </c>
      <c r="J705" s="1">
        <v>8</v>
      </c>
      <c r="K705" s="3">
        <v>15640.32</v>
      </c>
      <c r="L705" s="1">
        <v>5</v>
      </c>
      <c r="M705" s="1" t="s">
        <v>56</v>
      </c>
      <c r="N705" s="10" t="s">
        <v>45</v>
      </c>
    </row>
    <row r="706" spans="1:14" x14ac:dyDescent="0.25">
      <c r="A706" s="9" t="s">
        <v>1463</v>
      </c>
      <c r="B706" s="2">
        <v>45438</v>
      </c>
      <c r="C706" s="1" t="s">
        <v>377</v>
      </c>
      <c r="D706" s="1" t="s">
        <v>81</v>
      </c>
      <c r="E706" s="1" t="s">
        <v>59</v>
      </c>
      <c r="F706" s="1" t="s">
        <v>60</v>
      </c>
      <c r="G706" s="1" t="s">
        <v>19</v>
      </c>
      <c r="H706" s="1" t="s">
        <v>29</v>
      </c>
      <c r="I706" s="1" t="s">
        <v>885</v>
      </c>
      <c r="J706" s="1">
        <v>4</v>
      </c>
      <c r="K706" s="3">
        <v>8513.9699999999993</v>
      </c>
      <c r="L706" s="1">
        <v>20</v>
      </c>
      <c r="M706" s="1" t="s">
        <v>69</v>
      </c>
      <c r="N706" s="10" t="s">
        <v>31</v>
      </c>
    </row>
    <row r="707" spans="1:14" x14ac:dyDescent="0.25">
      <c r="A707" s="9" t="s">
        <v>1464</v>
      </c>
      <c r="B707" s="2">
        <v>45058</v>
      </c>
      <c r="C707" s="1" t="s">
        <v>1250</v>
      </c>
      <c r="D707" s="1" t="s">
        <v>33</v>
      </c>
      <c r="E707" s="1" t="s">
        <v>27</v>
      </c>
      <c r="F707" s="1" t="s">
        <v>99</v>
      </c>
      <c r="G707" s="1" t="s">
        <v>19</v>
      </c>
      <c r="H707" s="1" t="s">
        <v>20</v>
      </c>
      <c r="I707" s="1" t="s">
        <v>928</v>
      </c>
      <c r="J707" s="1">
        <v>7</v>
      </c>
      <c r="K707" s="3">
        <v>30949.63</v>
      </c>
      <c r="L707" s="1">
        <v>10</v>
      </c>
      <c r="M707" s="1" t="s">
        <v>56</v>
      </c>
      <c r="N707" s="10" t="s">
        <v>37</v>
      </c>
    </row>
    <row r="708" spans="1:14" x14ac:dyDescent="0.25">
      <c r="A708" s="9" t="s">
        <v>1465</v>
      </c>
      <c r="B708" s="2">
        <v>45386</v>
      </c>
      <c r="C708" s="1" t="s">
        <v>1112</v>
      </c>
      <c r="D708" s="1" t="s">
        <v>26</v>
      </c>
      <c r="E708" s="1" t="s">
        <v>17</v>
      </c>
      <c r="F708" s="1" t="s">
        <v>99</v>
      </c>
      <c r="G708" s="1" t="s">
        <v>19</v>
      </c>
      <c r="H708" s="1" t="s">
        <v>20</v>
      </c>
      <c r="I708" s="1" t="s">
        <v>1234</v>
      </c>
      <c r="J708" s="1">
        <v>2</v>
      </c>
      <c r="K708" s="3">
        <v>4924.7</v>
      </c>
      <c r="L708" s="1">
        <v>5</v>
      </c>
      <c r="M708" s="1" t="s">
        <v>69</v>
      </c>
      <c r="N708" s="10" t="s">
        <v>31</v>
      </c>
    </row>
    <row r="709" spans="1:14" x14ac:dyDescent="0.25">
      <c r="A709" s="9" t="s">
        <v>1466</v>
      </c>
      <c r="B709" s="2">
        <v>45512</v>
      </c>
      <c r="C709" s="1" t="s">
        <v>123</v>
      </c>
      <c r="D709" s="1" t="s">
        <v>33</v>
      </c>
      <c r="E709" s="1" t="s">
        <v>27</v>
      </c>
      <c r="F709" s="1" t="s">
        <v>18</v>
      </c>
      <c r="G709" s="1" t="s">
        <v>19</v>
      </c>
      <c r="H709" s="1" t="s">
        <v>29</v>
      </c>
      <c r="I709" s="1" t="s">
        <v>515</v>
      </c>
      <c r="J709" s="1">
        <v>2</v>
      </c>
      <c r="K709" s="3">
        <v>4301.7</v>
      </c>
      <c r="L709" s="1">
        <v>20</v>
      </c>
      <c r="M709" s="1" t="s">
        <v>69</v>
      </c>
      <c r="N709" s="10" t="s">
        <v>23</v>
      </c>
    </row>
    <row r="710" spans="1:14" x14ac:dyDescent="0.25">
      <c r="A710" s="9" t="s">
        <v>1467</v>
      </c>
      <c r="B710" s="2">
        <v>45322</v>
      </c>
      <c r="C710" s="1" t="s">
        <v>1381</v>
      </c>
      <c r="D710" s="1" t="s">
        <v>81</v>
      </c>
      <c r="E710" s="1" t="s">
        <v>59</v>
      </c>
      <c r="F710" s="1" t="s">
        <v>49</v>
      </c>
      <c r="G710" s="1" t="s">
        <v>19</v>
      </c>
      <c r="H710" s="1" t="s">
        <v>29</v>
      </c>
      <c r="I710" s="1" t="s">
        <v>162</v>
      </c>
      <c r="J710" s="1">
        <v>8</v>
      </c>
      <c r="K710" s="3">
        <v>29889.07</v>
      </c>
      <c r="L710" s="1">
        <v>0</v>
      </c>
      <c r="M710" s="1" t="s">
        <v>69</v>
      </c>
      <c r="N710" s="10" t="s">
        <v>23</v>
      </c>
    </row>
    <row r="711" spans="1:14" x14ac:dyDescent="0.25">
      <c r="A711" s="9" t="s">
        <v>1468</v>
      </c>
      <c r="B711" s="2">
        <v>45650</v>
      </c>
      <c r="C711" s="1" t="s">
        <v>1469</v>
      </c>
      <c r="D711" s="1" t="s">
        <v>147</v>
      </c>
      <c r="E711" s="1" t="s">
        <v>59</v>
      </c>
      <c r="F711" s="1" t="s">
        <v>60</v>
      </c>
      <c r="G711" s="1" t="s">
        <v>42</v>
      </c>
      <c r="H711" s="1" t="s">
        <v>43</v>
      </c>
      <c r="I711" s="1" t="s">
        <v>154</v>
      </c>
      <c r="J711" s="1">
        <v>3</v>
      </c>
      <c r="K711" s="3">
        <v>12762.84</v>
      </c>
      <c r="L711" s="1" t="s">
        <v>110</v>
      </c>
      <c r="M711" s="1" t="s">
        <v>93</v>
      </c>
      <c r="N711" s="10" t="s">
        <v>31</v>
      </c>
    </row>
    <row r="712" spans="1:14" x14ac:dyDescent="0.25">
      <c r="A712" s="9" t="s">
        <v>1470</v>
      </c>
      <c r="B712" s="2">
        <v>45103</v>
      </c>
      <c r="C712" s="1" t="s">
        <v>15</v>
      </c>
      <c r="D712" s="1" t="s">
        <v>33</v>
      </c>
      <c r="E712" s="1" t="s">
        <v>41</v>
      </c>
      <c r="F712" s="1" t="s">
        <v>49</v>
      </c>
      <c r="G712" s="1" t="s">
        <v>83</v>
      </c>
      <c r="H712" s="1" t="s">
        <v>43</v>
      </c>
      <c r="I712" s="1" t="s">
        <v>89</v>
      </c>
      <c r="J712" s="1">
        <v>7</v>
      </c>
      <c r="K712" s="3">
        <v>9711.86</v>
      </c>
      <c r="L712" s="1">
        <v>15</v>
      </c>
      <c r="M712" s="1" t="s">
        <v>56</v>
      </c>
      <c r="N712" s="10" t="s">
        <v>31</v>
      </c>
    </row>
    <row r="713" spans="1:14" x14ac:dyDescent="0.25">
      <c r="A713" s="9" t="s">
        <v>1471</v>
      </c>
      <c r="B713" s="2">
        <v>45228</v>
      </c>
      <c r="C713" s="1" t="s">
        <v>645</v>
      </c>
      <c r="D713" s="1" t="s">
        <v>71</v>
      </c>
      <c r="E713" s="1" t="s">
        <v>59</v>
      </c>
      <c r="F713" s="1" t="s">
        <v>99</v>
      </c>
      <c r="G713" s="1" t="s">
        <v>53</v>
      </c>
      <c r="H713" s="1" t="s">
        <v>54</v>
      </c>
      <c r="I713" s="1" t="s">
        <v>55</v>
      </c>
      <c r="J713" s="1">
        <v>6</v>
      </c>
      <c r="K713" s="3">
        <v>2056</v>
      </c>
      <c r="L713" s="1">
        <v>0</v>
      </c>
      <c r="M713" s="1" t="s">
        <v>69</v>
      </c>
      <c r="N713" s="10" t="s">
        <v>31</v>
      </c>
    </row>
    <row r="714" spans="1:14" x14ac:dyDescent="0.25">
      <c r="A714" s="9" t="s">
        <v>1472</v>
      </c>
      <c r="B714" s="2">
        <v>45625</v>
      </c>
      <c r="C714" s="1" t="s">
        <v>1007</v>
      </c>
      <c r="D714" s="1" t="s">
        <v>40</v>
      </c>
      <c r="E714" s="1" t="s">
        <v>27</v>
      </c>
      <c r="F714" s="1" t="s">
        <v>18</v>
      </c>
      <c r="G714" s="1" t="s">
        <v>19</v>
      </c>
      <c r="H714" s="1" t="s">
        <v>20</v>
      </c>
      <c r="I714" s="1" t="s">
        <v>280</v>
      </c>
      <c r="J714" s="1">
        <v>5</v>
      </c>
      <c r="K714" s="3">
        <v>23364.9</v>
      </c>
      <c r="L714" s="1">
        <v>5</v>
      </c>
      <c r="M714" s="1" t="s">
        <v>63</v>
      </c>
      <c r="N714" s="10" t="s">
        <v>64</v>
      </c>
    </row>
    <row r="715" spans="1:14" x14ac:dyDescent="0.25">
      <c r="A715" s="9" t="s">
        <v>1473</v>
      </c>
      <c r="B715" s="2">
        <v>45071</v>
      </c>
      <c r="C715" s="1" t="s">
        <v>1474</v>
      </c>
      <c r="D715" s="1" t="s">
        <v>71</v>
      </c>
      <c r="E715" s="1" t="s">
        <v>59</v>
      </c>
      <c r="F715" s="1" t="s">
        <v>88</v>
      </c>
      <c r="G715" s="1" t="s">
        <v>83</v>
      </c>
      <c r="H715" s="1" t="s">
        <v>43</v>
      </c>
      <c r="I715" s="1" t="s">
        <v>274</v>
      </c>
      <c r="J715" s="1">
        <v>6</v>
      </c>
      <c r="K715" s="3">
        <v>24290.92</v>
      </c>
      <c r="L715" s="1">
        <v>15</v>
      </c>
      <c r="M715" s="1" t="s">
        <v>63</v>
      </c>
      <c r="N715" s="10" t="s">
        <v>45</v>
      </c>
    </row>
    <row r="716" spans="1:14" x14ac:dyDescent="0.25">
      <c r="A716" s="9" t="s">
        <v>1475</v>
      </c>
      <c r="B716" s="2">
        <v>45186</v>
      </c>
      <c r="C716" s="1" t="s">
        <v>1476</v>
      </c>
      <c r="D716" s="1" t="s">
        <v>40</v>
      </c>
      <c r="E716" s="1" t="s">
        <v>59</v>
      </c>
      <c r="F716" s="1" t="s">
        <v>88</v>
      </c>
      <c r="G716" s="1" t="s">
        <v>53</v>
      </c>
      <c r="H716" s="1" t="s">
        <v>54</v>
      </c>
      <c r="I716" s="1" t="s">
        <v>437</v>
      </c>
      <c r="J716" s="1">
        <v>7</v>
      </c>
      <c r="K716" s="3">
        <v>25027.61</v>
      </c>
      <c r="L716" s="1">
        <v>15</v>
      </c>
      <c r="M716" s="1" t="s">
        <v>93</v>
      </c>
      <c r="N716" s="10" t="s">
        <v>74</v>
      </c>
    </row>
    <row r="717" spans="1:14" x14ac:dyDescent="0.25">
      <c r="A717" s="9" t="s">
        <v>1478</v>
      </c>
      <c r="B717" s="2">
        <v>45004</v>
      </c>
      <c r="C717" s="1" t="s">
        <v>1479</v>
      </c>
      <c r="D717" s="1" t="s">
        <v>33</v>
      </c>
      <c r="E717" s="1" t="s">
        <v>34</v>
      </c>
      <c r="F717" s="1" t="s">
        <v>49</v>
      </c>
      <c r="G717" s="1" t="s">
        <v>19</v>
      </c>
      <c r="H717" s="1" t="s">
        <v>29</v>
      </c>
      <c r="I717" s="1" t="s">
        <v>475</v>
      </c>
      <c r="J717" s="1">
        <v>5</v>
      </c>
      <c r="K717" s="3">
        <v>18720.12</v>
      </c>
      <c r="L717" s="1">
        <v>5</v>
      </c>
      <c r="M717" s="1" t="s">
        <v>63</v>
      </c>
      <c r="N717" s="10" t="s">
        <v>74</v>
      </c>
    </row>
    <row r="718" spans="1:14" x14ac:dyDescent="0.25">
      <c r="A718" s="9" t="s">
        <v>1481</v>
      </c>
      <c r="B718" s="2">
        <v>45581</v>
      </c>
      <c r="C718" s="1" t="s">
        <v>1245</v>
      </c>
      <c r="D718" s="1" t="s">
        <v>26</v>
      </c>
      <c r="E718" s="1" t="s">
        <v>34</v>
      </c>
      <c r="F718" s="1" t="s">
        <v>88</v>
      </c>
      <c r="G718" s="1" t="s">
        <v>53</v>
      </c>
      <c r="H718" s="1" t="s">
        <v>54</v>
      </c>
      <c r="I718" s="1" t="s">
        <v>253</v>
      </c>
      <c r="J718" s="1">
        <v>10</v>
      </c>
      <c r="K718" s="3">
        <v>49253.08</v>
      </c>
      <c r="L718" s="1" t="s">
        <v>110</v>
      </c>
      <c r="M718" s="1" t="s">
        <v>36</v>
      </c>
      <c r="N718" s="10" t="s">
        <v>45</v>
      </c>
    </row>
    <row r="719" spans="1:14" x14ac:dyDescent="0.25">
      <c r="A719" s="9" t="s">
        <v>1482</v>
      </c>
      <c r="B719" s="2">
        <v>44972</v>
      </c>
      <c r="C719" s="1" t="s">
        <v>1422</v>
      </c>
      <c r="D719" s="1" t="s">
        <v>87</v>
      </c>
      <c r="E719" s="1" t="s">
        <v>27</v>
      </c>
      <c r="F719" s="1" t="s">
        <v>18</v>
      </c>
      <c r="G719" s="1" t="s">
        <v>53</v>
      </c>
      <c r="H719" s="1" t="s">
        <v>54</v>
      </c>
      <c r="I719" s="1" t="s">
        <v>1066</v>
      </c>
      <c r="J719" s="1">
        <v>1</v>
      </c>
      <c r="K719" s="3">
        <v>3387.16</v>
      </c>
      <c r="L719" s="1" t="s">
        <v>110</v>
      </c>
      <c r="M719" s="1" t="s">
        <v>22</v>
      </c>
      <c r="N719" s="10" t="s">
        <v>23</v>
      </c>
    </row>
    <row r="720" spans="1:14" x14ac:dyDescent="0.25">
      <c r="A720" s="9" t="s">
        <v>1483</v>
      </c>
      <c r="B720" s="2">
        <v>45121</v>
      </c>
      <c r="C720" s="1" t="s">
        <v>757</v>
      </c>
      <c r="D720" s="1" t="s">
        <v>52</v>
      </c>
      <c r="E720" s="1" t="s">
        <v>17</v>
      </c>
      <c r="F720" s="1" t="s">
        <v>82</v>
      </c>
      <c r="G720" s="1" t="s">
        <v>19</v>
      </c>
      <c r="H720" s="1" t="s">
        <v>20</v>
      </c>
      <c r="I720" s="1" t="s">
        <v>391</v>
      </c>
      <c r="J720" s="1">
        <v>2</v>
      </c>
      <c r="K720" s="3">
        <v>3699.3</v>
      </c>
      <c r="L720" s="1">
        <v>20</v>
      </c>
      <c r="M720" s="1" t="s">
        <v>69</v>
      </c>
      <c r="N720" s="10" t="s">
        <v>23</v>
      </c>
    </row>
    <row r="721" spans="1:14" x14ac:dyDescent="0.25">
      <c r="A721" s="9" t="s">
        <v>1484</v>
      </c>
      <c r="B721" s="2">
        <v>45489</v>
      </c>
      <c r="C721" s="1" t="s">
        <v>1485</v>
      </c>
      <c r="D721" s="1" t="s">
        <v>87</v>
      </c>
      <c r="E721" s="1" t="s">
        <v>34</v>
      </c>
      <c r="F721" s="1" t="s">
        <v>18</v>
      </c>
      <c r="G721" s="1" t="s">
        <v>42</v>
      </c>
      <c r="H721" s="1" t="s">
        <v>61</v>
      </c>
      <c r="I721" s="1" t="s">
        <v>357</v>
      </c>
      <c r="J721" s="1">
        <v>2</v>
      </c>
      <c r="K721" s="3">
        <v>9235.8700000000008</v>
      </c>
      <c r="L721" s="1">
        <v>5</v>
      </c>
      <c r="M721" s="1" t="s">
        <v>36</v>
      </c>
      <c r="N721" s="10" t="s">
        <v>64</v>
      </c>
    </row>
    <row r="722" spans="1:14" x14ac:dyDescent="0.25">
      <c r="A722" s="9" t="s">
        <v>1486</v>
      </c>
      <c r="B722" s="2">
        <v>45347</v>
      </c>
      <c r="C722" s="1" t="s">
        <v>967</v>
      </c>
      <c r="D722" s="1" t="s">
        <v>33</v>
      </c>
      <c r="E722" s="1" t="s">
        <v>59</v>
      </c>
      <c r="F722" s="1" t="s">
        <v>28</v>
      </c>
      <c r="G722" s="1" t="s">
        <v>83</v>
      </c>
      <c r="H722" s="1" t="s">
        <v>43</v>
      </c>
      <c r="I722" s="1" t="s">
        <v>89</v>
      </c>
      <c r="J722" s="1">
        <v>5</v>
      </c>
      <c r="K722" s="3">
        <v>9627.77</v>
      </c>
      <c r="L722" s="1">
        <v>15</v>
      </c>
      <c r="M722" s="1" t="s">
        <v>22</v>
      </c>
      <c r="N722" s="10" t="s">
        <v>45</v>
      </c>
    </row>
    <row r="723" spans="1:14" x14ac:dyDescent="0.25">
      <c r="A723" s="9" t="s">
        <v>1487</v>
      </c>
      <c r="B723" s="2">
        <v>45457</v>
      </c>
      <c r="C723" s="1" t="s">
        <v>1488</v>
      </c>
      <c r="D723" s="1" t="s">
        <v>26</v>
      </c>
      <c r="E723" s="1" t="s">
        <v>72</v>
      </c>
      <c r="F723" s="1" t="s">
        <v>49</v>
      </c>
      <c r="G723" s="1" t="s">
        <v>42</v>
      </c>
      <c r="H723" s="1" t="s">
        <v>43</v>
      </c>
      <c r="I723" s="1" t="s">
        <v>157</v>
      </c>
      <c r="J723" s="1">
        <v>8</v>
      </c>
      <c r="K723" s="3">
        <v>2842.45</v>
      </c>
      <c r="L723" s="1">
        <v>5</v>
      </c>
      <c r="M723" s="1" t="s">
        <v>56</v>
      </c>
      <c r="N723" s="10" t="s">
        <v>23</v>
      </c>
    </row>
    <row r="724" spans="1:14" x14ac:dyDescent="0.25">
      <c r="A724" s="9" t="s">
        <v>1489</v>
      </c>
      <c r="B724" s="2">
        <v>45438</v>
      </c>
      <c r="C724" s="1" t="s">
        <v>1351</v>
      </c>
      <c r="D724" s="1" t="s">
        <v>16</v>
      </c>
      <c r="E724" s="1" t="s">
        <v>34</v>
      </c>
      <c r="F724" s="1" t="s">
        <v>49</v>
      </c>
      <c r="G724" s="1" t="s">
        <v>42</v>
      </c>
      <c r="H724" s="1" t="s">
        <v>61</v>
      </c>
      <c r="I724" s="1" t="s">
        <v>151</v>
      </c>
      <c r="J724" s="1">
        <v>4</v>
      </c>
      <c r="K724" s="3">
        <v>13418.29</v>
      </c>
      <c r="L724" s="1" t="s">
        <v>110</v>
      </c>
      <c r="M724" s="1" t="s">
        <v>22</v>
      </c>
      <c r="N724" s="10" t="s">
        <v>45</v>
      </c>
    </row>
    <row r="725" spans="1:14" x14ac:dyDescent="0.25">
      <c r="A725" s="9" t="s">
        <v>1490</v>
      </c>
      <c r="B725" s="2">
        <v>45363</v>
      </c>
      <c r="C725" s="1" t="s">
        <v>1080</v>
      </c>
      <c r="D725" s="1" t="s">
        <v>67</v>
      </c>
      <c r="E725" s="1" t="s">
        <v>17</v>
      </c>
      <c r="F725" s="1" t="s">
        <v>28</v>
      </c>
      <c r="G725" s="1" t="s">
        <v>53</v>
      </c>
      <c r="H725" s="1" t="s">
        <v>54</v>
      </c>
      <c r="I725" s="1" t="s">
        <v>427</v>
      </c>
      <c r="J725" s="1">
        <v>8</v>
      </c>
      <c r="K725" s="3">
        <v>12783.93</v>
      </c>
      <c r="L725" s="1" t="s">
        <v>110</v>
      </c>
      <c r="M725" s="1" t="s">
        <v>22</v>
      </c>
      <c r="N725" s="10" t="s">
        <v>74</v>
      </c>
    </row>
    <row r="726" spans="1:14" x14ac:dyDescent="0.25">
      <c r="A726" s="9" t="s">
        <v>1491</v>
      </c>
      <c r="B726" s="2">
        <v>45296</v>
      </c>
      <c r="C726" s="1" t="s">
        <v>1355</v>
      </c>
      <c r="D726" s="1" t="s">
        <v>52</v>
      </c>
      <c r="E726" s="1" t="s">
        <v>72</v>
      </c>
      <c r="F726" s="1" t="s">
        <v>88</v>
      </c>
      <c r="G726" s="1" t="s">
        <v>42</v>
      </c>
      <c r="H726" s="1" t="s">
        <v>43</v>
      </c>
      <c r="I726" s="1" t="s">
        <v>244</v>
      </c>
      <c r="J726" s="1">
        <v>2</v>
      </c>
      <c r="K726" s="3">
        <v>4359.4399999999996</v>
      </c>
      <c r="L726" s="1">
        <v>10</v>
      </c>
      <c r="M726" s="1" t="s">
        <v>22</v>
      </c>
      <c r="N726" s="10" t="s">
        <v>64</v>
      </c>
    </row>
    <row r="727" spans="1:14" x14ac:dyDescent="0.25">
      <c r="A727" s="9" t="s">
        <v>1492</v>
      </c>
      <c r="B727" s="2">
        <v>45602</v>
      </c>
      <c r="C727" s="1" t="s">
        <v>447</v>
      </c>
      <c r="D727" s="1" t="s">
        <v>52</v>
      </c>
      <c r="E727" s="1" t="s">
        <v>34</v>
      </c>
      <c r="F727" s="1" t="s">
        <v>88</v>
      </c>
      <c r="G727" s="1" t="s">
        <v>53</v>
      </c>
      <c r="H727" s="1" t="s">
        <v>54</v>
      </c>
      <c r="I727" s="1" t="s">
        <v>109</v>
      </c>
      <c r="J727" s="1">
        <v>3</v>
      </c>
      <c r="K727" s="3">
        <v>8602.02</v>
      </c>
      <c r="L727" s="1">
        <v>0</v>
      </c>
      <c r="M727" s="1" t="s">
        <v>63</v>
      </c>
      <c r="N727" s="10" t="s">
        <v>74</v>
      </c>
    </row>
    <row r="728" spans="1:14" x14ac:dyDescent="0.25">
      <c r="A728" s="9" t="s">
        <v>1493</v>
      </c>
      <c r="B728" s="2">
        <v>45031</v>
      </c>
      <c r="C728" s="1" t="s">
        <v>338</v>
      </c>
      <c r="D728" s="1" t="s">
        <v>52</v>
      </c>
      <c r="E728" s="1" t="s">
        <v>17</v>
      </c>
      <c r="F728" s="1" t="s">
        <v>18</v>
      </c>
      <c r="G728" s="1" t="s">
        <v>42</v>
      </c>
      <c r="H728" s="1" t="s">
        <v>61</v>
      </c>
      <c r="I728" s="1" t="s">
        <v>185</v>
      </c>
      <c r="J728" s="1">
        <v>9</v>
      </c>
      <c r="K728" s="3">
        <v>16295.4</v>
      </c>
      <c r="L728" s="1">
        <v>0</v>
      </c>
      <c r="M728" s="1" t="s">
        <v>69</v>
      </c>
      <c r="N728" s="10" t="s">
        <v>31</v>
      </c>
    </row>
    <row r="729" spans="1:14" x14ac:dyDescent="0.25">
      <c r="A729" s="9" t="s">
        <v>1494</v>
      </c>
      <c r="B729" s="2">
        <v>45375</v>
      </c>
      <c r="C729" s="1" t="s">
        <v>701</v>
      </c>
      <c r="D729" s="1" t="s">
        <v>67</v>
      </c>
      <c r="E729" s="1" t="s">
        <v>59</v>
      </c>
      <c r="F729" s="1" t="s">
        <v>49</v>
      </c>
      <c r="G729" s="1" t="s">
        <v>19</v>
      </c>
      <c r="H729" s="1" t="s">
        <v>20</v>
      </c>
      <c r="I729" s="1" t="s">
        <v>193</v>
      </c>
      <c r="J729" s="1">
        <v>1</v>
      </c>
      <c r="K729" s="3">
        <v>1644.07</v>
      </c>
      <c r="L729" s="1" t="s">
        <v>110</v>
      </c>
      <c r="M729" s="1" t="s">
        <v>93</v>
      </c>
      <c r="N729" s="10" t="s">
        <v>45</v>
      </c>
    </row>
    <row r="730" spans="1:14" x14ac:dyDescent="0.25">
      <c r="A730" s="9" t="s">
        <v>1495</v>
      </c>
      <c r="B730" s="2">
        <v>45629</v>
      </c>
      <c r="C730" s="1" t="s">
        <v>860</v>
      </c>
      <c r="D730" s="1" t="s">
        <v>33</v>
      </c>
      <c r="E730" s="1" t="s">
        <v>59</v>
      </c>
      <c r="F730" s="1" t="s">
        <v>49</v>
      </c>
      <c r="G730" s="1" t="s">
        <v>42</v>
      </c>
      <c r="H730" s="1" t="s">
        <v>43</v>
      </c>
      <c r="I730" s="1" t="s">
        <v>274</v>
      </c>
      <c r="J730" s="1">
        <v>9</v>
      </c>
      <c r="K730" s="3">
        <v>40594.69</v>
      </c>
      <c r="L730" s="1">
        <v>20</v>
      </c>
      <c r="M730" s="1" t="s">
        <v>63</v>
      </c>
      <c r="N730" s="10" t="s">
        <v>45</v>
      </c>
    </row>
    <row r="731" spans="1:14" x14ac:dyDescent="0.25">
      <c r="A731" s="9" t="s">
        <v>1496</v>
      </c>
      <c r="B731" s="2">
        <v>45547</v>
      </c>
      <c r="C731" s="1" t="s">
        <v>1376</v>
      </c>
      <c r="D731" s="1" t="s">
        <v>378</v>
      </c>
      <c r="E731" s="1" t="s">
        <v>17</v>
      </c>
      <c r="F731" s="1" t="s">
        <v>88</v>
      </c>
      <c r="G731" s="1" t="s">
        <v>42</v>
      </c>
      <c r="H731" s="1" t="s">
        <v>61</v>
      </c>
      <c r="I731" s="1" t="s">
        <v>529</v>
      </c>
      <c r="J731" s="1">
        <v>1</v>
      </c>
      <c r="K731" s="3">
        <v>1470.34</v>
      </c>
      <c r="L731" s="1">
        <v>15</v>
      </c>
      <c r="M731" s="1" t="s">
        <v>63</v>
      </c>
      <c r="N731" s="10" t="s">
        <v>45</v>
      </c>
    </row>
    <row r="732" spans="1:14" x14ac:dyDescent="0.25">
      <c r="A732" s="9" t="s">
        <v>1497</v>
      </c>
      <c r="B732" s="2">
        <v>45565</v>
      </c>
      <c r="C732" s="1" t="s">
        <v>1498</v>
      </c>
      <c r="D732" s="1" t="s">
        <v>360</v>
      </c>
      <c r="E732" s="1" t="s">
        <v>59</v>
      </c>
      <c r="F732" s="1" t="s">
        <v>18</v>
      </c>
      <c r="G732" s="1" t="s">
        <v>53</v>
      </c>
      <c r="H732" s="1" t="s">
        <v>54</v>
      </c>
      <c r="I732" s="1" t="s">
        <v>73</v>
      </c>
      <c r="J732" s="1">
        <v>7</v>
      </c>
      <c r="K732" s="3">
        <v>3671.45</v>
      </c>
      <c r="L732" s="1">
        <v>10</v>
      </c>
      <c r="M732" s="1" t="s">
        <v>22</v>
      </c>
      <c r="N732" s="10" t="s">
        <v>45</v>
      </c>
    </row>
    <row r="733" spans="1:14" x14ac:dyDescent="0.25">
      <c r="A733" s="9" t="s">
        <v>1499</v>
      </c>
      <c r="B733" s="2">
        <v>45186</v>
      </c>
      <c r="C733" s="1" t="s">
        <v>1500</v>
      </c>
      <c r="D733" s="1" t="s">
        <v>26</v>
      </c>
      <c r="E733" s="1" t="s">
        <v>59</v>
      </c>
      <c r="F733" s="1" t="s">
        <v>18</v>
      </c>
      <c r="G733" s="1" t="s">
        <v>19</v>
      </c>
      <c r="H733" s="1" t="s">
        <v>29</v>
      </c>
      <c r="I733" s="1" t="s">
        <v>830</v>
      </c>
      <c r="J733" s="1">
        <v>10</v>
      </c>
      <c r="K733" s="3">
        <v>32382.66</v>
      </c>
      <c r="L733" s="1" t="s">
        <v>110</v>
      </c>
      <c r="M733" s="1" t="s">
        <v>22</v>
      </c>
      <c r="N733" s="10" t="s">
        <v>74</v>
      </c>
    </row>
    <row r="734" spans="1:14" x14ac:dyDescent="0.25">
      <c r="A734" s="9" t="s">
        <v>1501</v>
      </c>
      <c r="B734" s="2">
        <v>45327</v>
      </c>
      <c r="C734" s="1" t="s">
        <v>873</v>
      </c>
      <c r="D734" s="1" t="s">
        <v>67</v>
      </c>
      <c r="E734" s="1" t="s">
        <v>17</v>
      </c>
      <c r="F734" s="1" t="s">
        <v>28</v>
      </c>
      <c r="G734" s="1" t="s">
        <v>42</v>
      </c>
      <c r="H734" s="1" t="s">
        <v>61</v>
      </c>
      <c r="I734" s="1" t="s">
        <v>247</v>
      </c>
      <c r="J734" s="1">
        <v>9</v>
      </c>
      <c r="K734" s="3">
        <v>23947.69</v>
      </c>
      <c r="L734" s="1">
        <v>0</v>
      </c>
      <c r="M734" s="1" t="s">
        <v>36</v>
      </c>
      <c r="N734" s="10" t="s">
        <v>23</v>
      </c>
    </row>
    <row r="735" spans="1:14" x14ac:dyDescent="0.25">
      <c r="A735" s="9" t="s">
        <v>1502</v>
      </c>
      <c r="B735" s="2">
        <v>45534</v>
      </c>
      <c r="C735" s="1" t="s">
        <v>629</v>
      </c>
      <c r="D735" s="1" t="s">
        <v>40</v>
      </c>
      <c r="E735" s="1" t="s">
        <v>41</v>
      </c>
      <c r="F735" s="1" t="s">
        <v>18</v>
      </c>
      <c r="G735" s="1" t="s">
        <v>83</v>
      </c>
      <c r="H735" s="1" t="s">
        <v>43</v>
      </c>
      <c r="I735" s="1" t="s">
        <v>157</v>
      </c>
      <c r="J735" s="1">
        <v>2</v>
      </c>
      <c r="K735" s="3">
        <v>4219.24</v>
      </c>
      <c r="L735" s="1">
        <v>15</v>
      </c>
      <c r="M735" s="1" t="s">
        <v>36</v>
      </c>
      <c r="N735" s="10" t="s">
        <v>31</v>
      </c>
    </row>
    <row r="736" spans="1:14" x14ac:dyDescent="0.25">
      <c r="A736" s="9" t="s">
        <v>1503</v>
      </c>
      <c r="B736" s="2">
        <v>44954</v>
      </c>
      <c r="C736" s="1" t="s">
        <v>1394</v>
      </c>
      <c r="D736" s="1" t="s">
        <v>26</v>
      </c>
      <c r="E736" s="1" t="s">
        <v>41</v>
      </c>
      <c r="F736" s="1" t="s">
        <v>18</v>
      </c>
      <c r="G736" s="1" t="s">
        <v>42</v>
      </c>
      <c r="H736" s="1" t="s">
        <v>61</v>
      </c>
      <c r="I736" s="1" t="s">
        <v>294</v>
      </c>
      <c r="J736" s="1">
        <v>4</v>
      </c>
      <c r="K736" s="3">
        <v>7319.07</v>
      </c>
      <c r="L736" s="1">
        <v>20</v>
      </c>
      <c r="M736" s="1" t="s">
        <v>56</v>
      </c>
      <c r="N736" s="10" t="s">
        <v>23</v>
      </c>
    </row>
    <row r="737" spans="1:14" x14ac:dyDescent="0.25">
      <c r="A737" s="9" t="s">
        <v>1504</v>
      </c>
      <c r="B737" s="2">
        <v>45075</v>
      </c>
      <c r="C737" s="1" t="s">
        <v>175</v>
      </c>
      <c r="D737" s="1" t="s">
        <v>71</v>
      </c>
      <c r="E737" s="1" t="s">
        <v>34</v>
      </c>
      <c r="F737" s="1" t="s">
        <v>49</v>
      </c>
      <c r="G737" s="1" t="s">
        <v>83</v>
      </c>
      <c r="H737" s="1" t="s">
        <v>43</v>
      </c>
      <c r="I737" s="1" t="s">
        <v>50</v>
      </c>
      <c r="J737" s="1">
        <v>7</v>
      </c>
      <c r="K737" s="3">
        <v>34248.949999999997</v>
      </c>
      <c r="L737" s="1">
        <v>0</v>
      </c>
      <c r="M737" s="1" t="s">
        <v>56</v>
      </c>
      <c r="N737" s="10" t="s">
        <v>23</v>
      </c>
    </row>
    <row r="738" spans="1:14" x14ac:dyDescent="0.25">
      <c r="A738" s="9" t="s">
        <v>1505</v>
      </c>
      <c r="B738" s="2">
        <v>45611</v>
      </c>
      <c r="C738" s="1" t="s">
        <v>872</v>
      </c>
      <c r="D738" s="1" t="s">
        <v>67</v>
      </c>
      <c r="E738" s="1" t="s">
        <v>59</v>
      </c>
      <c r="F738" s="1" t="s">
        <v>88</v>
      </c>
      <c r="G738" s="1" t="s">
        <v>42</v>
      </c>
      <c r="H738" s="1" t="s">
        <v>61</v>
      </c>
      <c r="I738" s="1" t="s">
        <v>115</v>
      </c>
      <c r="J738" s="1">
        <v>6</v>
      </c>
      <c r="K738" s="3">
        <v>11235.33</v>
      </c>
      <c r="L738" s="1">
        <v>20</v>
      </c>
      <c r="M738" s="1" t="s">
        <v>93</v>
      </c>
      <c r="N738" s="10" t="s">
        <v>37</v>
      </c>
    </row>
    <row r="739" spans="1:14" x14ac:dyDescent="0.25">
      <c r="A739" s="9" t="s">
        <v>1506</v>
      </c>
      <c r="B739" s="2">
        <v>45245</v>
      </c>
      <c r="C739" s="1" t="s">
        <v>965</v>
      </c>
      <c r="D739" s="1" t="s">
        <v>67</v>
      </c>
      <c r="E739" s="1" t="s">
        <v>41</v>
      </c>
      <c r="F739" s="1" t="s">
        <v>60</v>
      </c>
      <c r="G739" s="1" t="s">
        <v>19</v>
      </c>
      <c r="H739" s="1" t="s">
        <v>29</v>
      </c>
      <c r="I739" s="1" t="s">
        <v>30</v>
      </c>
      <c r="J739" s="1">
        <v>7</v>
      </c>
      <c r="K739" s="3">
        <v>22074.83</v>
      </c>
      <c r="L739" s="1">
        <v>15</v>
      </c>
      <c r="M739" s="1" t="s">
        <v>22</v>
      </c>
      <c r="N739" s="10" t="s">
        <v>64</v>
      </c>
    </row>
    <row r="740" spans="1:14" x14ac:dyDescent="0.25">
      <c r="A740" s="9" t="s">
        <v>1507</v>
      </c>
      <c r="B740" s="2">
        <v>45236</v>
      </c>
      <c r="C740" s="1" t="s">
        <v>882</v>
      </c>
      <c r="D740" s="1" t="s">
        <v>16</v>
      </c>
      <c r="E740" s="1" t="s">
        <v>27</v>
      </c>
      <c r="F740" s="1" t="s">
        <v>99</v>
      </c>
      <c r="G740" s="1" t="s">
        <v>42</v>
      </c>
      <c r="H740" s="1" t="s">
        <v>61</v>
      </c>
      <c r="I740" s="1" t="s">
        <v>302</v>
      </c>
      <c r="J740" s="1">
        <v>8</v>
      </c>
      <c r="K740" s="3">
        <v>19682.650000000001</v>
      </c>
      <c r="L740" s="1">
        <v>20</v>
      </c>
      <c r="M740" s="1" t="s">
        <v>36</v>
      </c>
      <c r="N740" s="10" t="s">
        <v>64</v>
      </c>
    </row>
    <row r="741" spans="1:14" x14ac:dyDescent="0.25">
      <c r="A741" s="9" t="s">
        <v>1508</v>
      </c>
      <c r="B741" s="2">
        <v>45196</v>
      </c>
      <c r="C741" s="1" t="s">
        <v>943</v>
      </c>
      <c r="D741" s="1" t="s">
        <v>81</v>
      </c>
      <c r="E741" s="1" t="s">
        <v>72</v>
      </c>
      <c r="F741" s="1" t="s">
        <v>99</v>
      </c>
      <c r="G741" s="1" t="s">
        <v>42</v>
      </c>
      <c r="H741" s="1" t="s">
        <v>61</v>
      </c>
      <c r="I741" s="1" t="s">
        <v>1096</v>
      </c>
      <c r="J741" s="1">
        <v>10</v>
      </c>
      <c r="K741" s="3">
        <v>42019.15</v>
      </c>
      <c r="L741" s="1">
        <v>20</v>
      </c>
      <c r="M741" s="1" t="s">
        <v>56</v>
      </c>
      <c r="N741" s="10" t="s">
        <v>45</v>
      </c>
    </row>
    <row r="742" spans="1:14" x14ac:dyDescent="0.25">
      <c r="A742" s="9" t="s">
        <v>1509</v>
      </c>
      <c r="B742" s="2">
        <v>45643</v>
      </c>
      <c r="C742" s="1" t="s">
        <v>1510</v>
      </c>
      <c r="D742" s="1" t="s">
        <v>81</v>
      </c>
      <c r="E742" s="1" t="s">
        <v>59</v>
      </c>
      <c r="F742" s="1" t="s">
        <v>60</v>
      </c>
      <c r="G742" s="1" t="s">
        <v>83</v>
      </c>
      <c r="H742" s="1" t="s">
        <v>43</v>
      </c>
      <c r="I742" s="1" t="s">
        <v>100</v>
      </c>
      <c r="J742" s="1">
        <v>3</v>
      </c>
      <c r="K742" s="3">
        <v>3920.07</v>
      </c>
      <c r="L742" s="1">
        <v>0</v>
      </c>
      <c r="M742" s="1" t="s">
        <v>36</v>
      </c>
      <c r="N742" s="10" t="s">
        <v>31</v>
      </c>
    </row>
    <row r="743" spans="1:14" x14ac:dyDescent="0.25">
      <c r="A743" s="9" t="s">
        <v>1512</v>
      </c>
      <c r="B743" s="2">
        <v>45037</v>
      </c>
      <c r="C743" s="1" t="s">
        <v>753</v>
      </c>
      <c r="D743" s="1" t="s">
        <v>16</v>
      </c>
      <c r="E743" s="1" t="s">
        <v>41</v>
      </c>
      <c r="F743" s="1" t="s">
        <v>18</v>
      </c>
      <c r="G743" s="1" t="s">
        <v>53</v>
      </c>
      <c r="H743" s="1" t="s">
        <v>54</v>
      </c>
      <c r="I743" s="1" t="s">
        <v>121</v>
      </c>
      <c r="J743" s="1">
        <v>1</v>
      </c>
      <c r="K743" s="3">
        <v>203.68</v>
      </c>
      <c r="L743" s="1">
        <v>5</v>
      </c>
      <c r="M743" s="1" t="s">
        <v>56</v>
      </c>
      <c r="N743" s="10" t="s">
        <v>74</v>
      </c>
    </row>
    <row r="744" spans="1:14" x14ac:dyDescent="0.25">
      <c r="A744" s="9" t="s">
        <v>1513</v>
      </c>
      <c r="B744" s="2">
        <v>45426</v>
      </c>
      <c r="C744" s="1" t="s">
        <v>1514</v>
      </c>
      <c r="D744" s="1" t="s">
        <v>52</v>
      </c>
      <c r="E744" s="1" t="s">
        <v>41</v>
      </c>
      <c r="F744" s="1" t="s">
        <v>18</v>
      </c>
      <c r="G744" s="1" t="s">
        <v>42</v>
      </c>
      <c r="H744" s="1" t="s">
        <v>61</v>
      </c>
      <c r="I744" s="1" t="s">
        <v>151</v>
      </c>
      <c r="J744" s="1">
        <v>10</v>
      </c>
      <c r="K744" s="3">
        <v>14863.15</v>
      </c>
      <c r="L744" s="1">
        <v>0</v>
      </c>
      <c r="M744" s="1" t="s">
        <v>22</v>
      </c>
      <c r="N744" s="10" t="s">
        <v>31</v>
      </c>
    </row>
    <row r="745" spans="1:14" x14ac:dyDescent="0.25">
      <c r="A745" s="9" t="s">
        <v>1515</v>
      </c>
      <c r="B745" s="2">
        <v>45358</v>
      </c>
      <c r="C745" s="1" t="s">
        <v>679</v>
      </c>
      <c r="D745" s="1" t="s">
        <v>67</v>
      </c>
      <c r="E745" s="1" t="s">
        <v>72</v>
      </c>
      <c r="F745" s="1" t="s">
        <v>49</v>
      </c>
      <c r="G745" s="1" t="s">
        <v>83</v>
      </c>
      <c r="H745" s="1" t="s">
        <v>43</v>
      </c>
      <c r="I745" s="1" t="s">
        <v>84</v>
      </c>
      <c r="J745" s="1">
        <v>7</v>
      </c>
      <c r="K745" s="3">
        <v>28901.07</v>
      </c>
      <c r="L745" s="1">
        <v>5</v>
      </c>
      <c r="M745" s="1" t="s">
        <v>93</v>
      </c>
      <c r="N745" s="10" t="s">
        <v>64</v>
      </c>
    </row>
    <row r="746" spans="1:14" x14ac:dyDescent="0.25">
      <c r="A746" s="9" t="s">
        <v>1516</v>
      </c>
      <c r="B746" s="2">
        <v>45228</v>
      </c>
      <c r="C746" s="1" t="s">
        <v>504</v>
      </c>
      <c r="D746" s="1" t="s">
        <v>81</v>
      </c>
      <c r="E746" s="1" t="s">
        <v>27</v>
      </c>
      <c r="F746" s="1" t="s">
        <v>99</v>
      </c>
      <c r="G746" s="1" t="s">
        <v>83</v>
      </c>
      <c r="H746" s="1" t="s">
        <v>43</v>
      </c>
      <c r="I746" s="1" t="s">
        <v>244</v>
      </c>
      <c r="J746" s="1">
        <v>2</v>
      </c>
      <c r="K746" s="3">
        <v>2850.86</v>
      </c>
      <c r="L746" s="1">
        <v>10</v>
      </c>
      <c r="M746" s="1" t="s">
        <v>36</v>
      </c>
      <c r="N746" s="10" t="s">
        <v>64</v>
      </c>
    </row>
    <row r="747" spans="1:14" x14ac:dyDescent="0.25">
      <c r="A747" s="9" t="s">
        <v>1517</v>
      </c>
      <c r="B747" s="2">
        <v>45407</v>
      </c>
      <c r="C747" s="1" t="s">
        <v>872</v>
      </c>
      <c r="D747" s="1" t="s">
        <v>71</v>
      </c>
      <c r="E747" s="1" t="s">
        <v>41</v>
      </c>
      <c r="F747" s="1" t="s">
        <v>88</v>
      </c>
      <c r="G747" s="1" t="s">
        <v>53</v>
      </c>
      <c r="H747" s="1" t="s">
        <v>54</v>
      </c>
      <c r="I747" s="1" t="s">
        <v>427</v>
      </c>
      <c r="J747" s="1">
        <v>7</v>
      </c>
      <c r="K747" s="3">
        <v>24705.42</v>
      </c>
      <c r="L747" s="1" t="s">
        <v>110</v>
      </c>
      <c r="M747" s="1" t="s">
        <v>56</v>
      </c>
      <c r="N747" s="10" t="s">
        <v>23</v>
      </c>
    </row>
    <row r="748" spans="1:14" x14ac:dyDescent="0.25">
      <c r="A748" s="9" t="s">
        <v>1518</v>
      </c>
      <c r="B748" s="2">
        <v>45082</v>
      </c>
      <c r="C748" s="1" t="s">
        <v>1085</v>
      </c>
      <c r="D748" s="1" t="s">
        <v>67</v>
      </c>
      <c r="E748" s="1" t="s">
        <v>17</v>
      </c>
      <c r="F748" s="1" t="s">
        <v>28</v>
      </c>
      <c r="G748" s="1" t="s">
        <v>83</v>
      </c>
      <c r="H748" s="1" t="s">
        <v>43</v>
      </c>
      <c r="I748" s="1" t="s">
        <v>154</v>
      </c>
      <c r="J748" s="1">
        <v>4</v>
      </c>
      <c r="K748" s="3">
        <v>11608.07</v>
      </c>
      <c r="L748" s="1">
        <v>15</v>
      </c>
      <c r="M748" s="1" t="s">
        <v>22</v>
      </c>
      <c r="N748" s="10" t="s">
        <v>31</v>
      </c>
    </row>
    <row r="749" spans="1:14" x14ac:dyDescent="0.25">
      <c r="A749" s="9" t="s">
        <v>1519</v>
      </c>
      <c r="B749" s="2">
        <v>45415</v>
      </c>
      <c r="C749" s="1" t="s">
        <v>1520</v>
      </c>
      <c r="D749" s="1" t="s">
        <v>81</v>
      </c>
      <c r="E749" s="1" t="s">
        <v>59</v>
      </c>
      <c r="F749" s="1" t="s">
        <v>88</v>
      </c>
      <c r="G749" s="1" t="s">
        <v>83</v>
      </c>
      <c r="H749" s="1" t="s">
        <v>43</v>
      </c>
      <c r="I749" s="1" t="s">
        <v>144</v>
      </c>
      <c r="J749" s="1">
        <v>10</v>
      </c>
      <c r="K749" s="3">
        <v>11923.38</v>
      </c>
      <c r="L749" s="1" t="s">
        <v>110</v>
      </c>
      <c r="M749" s="1" t="s">
        <v>56</v>
      </c>
      <c r="N749" s="10" t="s">
        <v>45</v>
      </c>
    </row>
    <row r="750" spans="1:14" x14ac:dyDescent="0.25">
      <c r="A750" s="9" t="s">
        <v>1521</v>
      </c>
      <c r="B750" s="2">
        <v>45582</v>
      </c>
      <c r="C750" s="1" t="s">
        <v>1522</v>
      </c>
      <c r="D750" s="1" t="s">
        <v>399</v>
      </c>
      <c r="E750" s="1" t="s">
        <v>59</v>
      </c>
      <c r="F750" s="1" t="s">
        <v>82</v>
      </c>
      <c r="G750" s="1" t="s">
        <v>42</v>
      </c>
      <c r="H750" s="1" t="s">
        <v>43</v>
      </c>
      <c r="I750" s="1" t="s">
        <v>394</v>
      </c>
      <c r="J750" s="1">
        <v>9</v>
      </c>
      <c r="K750" s="3">
        <v>7323.06</v>
      </c>
      <c r="L750" s="1" t="s">
        <v>110</v>
      </c>
      <c r="M750" s="1" t="s">
        <v>22</v>
      </c>
      <c r="N750" s="10" t="s">
        <v>74</v>
      </c>
    </row>
    <row r="751" spans="1:14" x14ac:dyDescent="0.25">
      <c r="A751" s="9" t="s">
        <v>1523</v>
      </c>
      <c r="B751" s="2">
        <v>45364</v>
      </c>
      <c r="C751" s="1" t="s">
        <v>126</v>
      </c>
      <c r="D751" s="1" t="s">
        <v>26</v>
      </c>
      <c r="E751" s="1" t="s">
        <v>72</v>
      </c>
      <c r="F751" s="1" t="s">
        <v>88</v>
      </c>
      <c r="G751" s="1" t="s">
        <v>19</v>
      </c>
      <c r="H751" s="1" t="s">
        <v>29</v>
      </c>
      <c r="I751" s="1" t="s">
        <v>830</v>
      </c>
      <c r="J751" s="1">
        <v>3</v>
      </c>
      <c r="K751" s="3">
        <v>2080.25</v>
      </c>
      <c r="L751" s="1">
        <v>0</v>
      </c>
      <c r="M751" s="1" t="s">
        <v>36</v>
      </c>
      <c r="N751" s="10" t="s">
        <v>45</v>
      </c>
    </row>
    <row r="752" spans="1:14" x14ac:dyDescent="0.25">
      <c r="A752" s="9" t="s">
        <v>1524</v>
      </c>
      <c r="B752" s="2">
        <v>45498</v>
      </c>
      <c r="C752" s="1" t="s">
        <v>711</v>
      </c>
      <c r="D752" s="1" t="s">
        <v>71</v>
      </c>
      <c r="E752" s="1" t="s">
        <v>59</v>
      </c>
      <c r="F752" s="1" t="s">
        <v>49</v>
      </c>
      <c r="G752" s="1" t="s">
        <v>83</v>
      </c>
      <c r="H752" s="1" t="s">
        <v>43</v>
      </c>
      <c r="I752" s="1" t="s">
        <v>44</v>
      </c>
      <c r="J752" s="1">
        <v>10</v>
      </c>
      <c r="K752" s="3">
        <v>33814.22</v>
      </c>
      <c r="L752" s="1">
        <v>10</v>
      </c>
      <c r="M752" s="1" t="s">
        <v>93</v>
      </c>
      <c r="N752" s="10" t="s">
        <v>37</v>
      </c>
    </row>
    <row r="753" spans="1:14" x14ac:dyDescent="0.25">
      <c r="A753" s="9" t="s">
        <v>1525</v>
      </c>
      <c r="B753" s="2">
        <v>45013</v>
      </c>
      <c r="C753" s="1" t="s">
        <v>1526</v>
      </c>
      <c r="D753" s="1" t="s">
        <v>16</v>
      </c>
      <c r="E753" s="1" t="s">
        <v>72</v>
      </c>
      <c r="F753" s="1" t="s">
        <v>28</v>
      </c>
      <c r="G753" s="1" t="s">
        <v>42</v>
      </c>
      <c r="H753" s="1" t="s">
        <v>61</v>
      </c>
      <c r="I753" s="1" t="s">
        <v>302</v>
      </c>
      <c r="J753" s="1">
        <v>8</v>
      </c>
      <c r="K753" s="3">
        <v>18347.28</v>
      </c>
      <c r="L753" s="1">
        <v>5</v>
      </c>
      <c r="M753" s="1" t="s">
        <v>93</v>
      </c>
      <c r="N753" s="10" t="s">
        <v>74</v>
      </c>
    </row>
    <row r="754" spans="1:14" x14ac:dyDescent="0.25">
      <c r="A754" s="9" t="s">
        <v>1527</v>
      </c>
      <c r="B754" s="2">
        <v>45276</v>
      </c>
      <c r="C754" s="1" t="s">
        <v>1094</v>
      </c>
      <c r="D754" s="1" t="s">
        <v>87</v>
      </c>
      <c r="E754" s="1" t="s">
        <v>34</v>
      </c>
      <c r="F754" s="1" t="s">
        <v>99</v>
      </c>
      <c r="G754" s="1" t="s">
        <v>42</v>
      </c>
      <c r="H754" s="1" t="s">
        <v>43</v>
      </c>
      <c r="I754" s="1" t="s">
        <v>154</v>
      </c>
      <c r="J754" s="1">
        <v>3</v>
      </c>
      <c r="K754" s="3">
        <v>11284.47</v>
      </c>
      <c r="L754" s="1" t="s">
        <v>110</v>
      </c>
      <c r="M754" s="1" t="s">
        <v>36</v>
      </c>
      <c r="N754" s="10" t="s">
        <v>23</v>
      </c>
    </row>
    <row r="755" spans="1:14" x14ac:dyDescent="0.25">
      <c r="A755" s="9" t="s">
        <v>1528</v>
      </c>
      <c r="B755" s="2">
        <v>45197</v>
      </c>
      <c r="C755" s="1" t="s">
        <v>86</v>
      </c>
      <c r="D755" s="1" t="s">
        <v>87</v>
      </c>
      <c r="E755" s="1" t="s">
        <v>41</v>
      </c>
      <c r="F755" s="1" t="s">
        <v>49</v>
      </c>
      <c r="G755" s="1" t="s">
        <v>19</v>
      </c>
      <c r="H755" s="1" t="s">
        <v>29</v>
      </c>
      <c r="I755" s="1" t="s">
        <v>141</v>
      </c>
      <c r="J755" s="1">
        <v>9</v>
      </c>
      <c r="K755" s="3">
        <v>9037.69</v>
      </c>
      <c r="L755" s="1">
        <v>5</v>
      </c>
      <c r="M755" s="1" t="s">
        <v>36</v>
      </c>
      <c r="N755" s="10" t="s">
        <v>74</v>
      </c>
    </row>
    <row r="756" spans="1:14" x14ac:dyDescent="0.25">
      <c r="A756" s="9" t="s">
        <v>1529</v>
      </c>
      <c r="B756" s="2">
        <v>45041</v>
      </c>
      <c r="C756" s="1" t="s">
        <v>1530</v>
      </c>
      <c r="D756" s="1" t="s">
        <v>26</v>
      </c>
      <c r="E756" s="1" t="s">
        <v>34</v>
      </c>
      <c r="F756" s="1" t="s">
        <v>28</v>
      </c>
      <c r="G756" s="1" t="s">
        <v>83</v>
      </c>
      <c r="H756" s="1" t="s">
        <v>43</v>
      </c>
      <c r="I756" s="1" t="s">
        <v>365</v>
      </c>
      <c r="J756" s="1">
        <v>9</v>
      </c>
      <c r="K756" s="3">
        <v>5595.51</v>
      </c>
      <c r="L756" s="1" t="s">
        <v>110</v>
      </c>
      <c r="M756" s="1" t="s">
        <v>93</v>
      </c>
      <c r="N756" s="10" t="s">
        <v>31</v>
      </c>
    </row>
    <row r="757" spans="1:14" x14ac:dyDescent="0.25">
      <c r="A757" s="9" t="s">
        <v>1531</v>
      </c>
      <c r="B757" s="2">
        <v>45453</v>
      </c>
      <c r="C757" s="1" t="s">
        <v>1390</v>
      </c>
      <c r="D757" s="1" t="s">
        <v>360</v>
      </c>
      <c r="E757" s="1" t="s">
        <v>59</v>
      </c>
      <c r="F757" s="1" t="s">
        <v>18</v>
      </c>
      <c r="G757" s="1" t="s">
        <v>19</v>
      </c>
      <c r="H757" s="1" t="s">
        <v>29</v>
      </c>
      <c r="I757" s="1" t="s">
        <v>635</v>
      </c>
      <c r="J757" s="1">
        <v>10</v>
      </c>
      <c r="K757" s="3">
        <v>42843.17</v>
      </c>
      <c r="L757" s="1" t="s">
        <v>110</v>
      </c>
      <c r="M757" s="1" t="s">
        <v>36</v>
      </c>
      <c r="N757" s="10" t="s">
        <v>23</v>
      </c>
    </row>
    <row r="758" spans="1:14" x14ac:dyDescent="0.25">
      <c r="A758" s="9" t="s">
        <v>1532</v>
      </c>
      <c r="B758" s="2">
        <v>45371</v>
      </c>
      <c r="C758" s="1" t="s">
        <v>1004</v>
      </c>
      <c r="D758" s="1" t="s">
        <v>67</v>
      </c>
      <c r="E758" s="1" t="s">
        <v>41</v>
      </c>
      <c r="F758" s="1" t="s">
        <v>82</v>
      </c>
      <c r="G758" s="1" t="s">
        <v>42</v>
      </c>
      <c r="H758" s="1" t="s">
        <v>61</v>
      </c>
      <c r="I758" s="1" t="s">
        <v>68</v>
      </c>
      <c r="J758" s="1">
        <v>6</v>
      </c>
      <c r="K758" s="3">
        <v>4065.14</v>
      </c>
      <c r="L758" s="1">
        <v>15</v>
      </c>
      <c r="M758" s="1" t="s">
        <v>36</v>
      </c>
      <c r="N758" s="10" t="s">
        <v>64</v>
      </c>
    </row>
    <row r="759" spans="1:14" x14ac:dyDescent="0.25">
      <c r="A759" s="9" t="s">
        <v>1533</v>
      </c>
      <c r="B759" s="2">
        <v>45270</v>
      </c>
      <c r="C759" s="1" t="s">
        <v>377</v>
      </c>
      <c r="D759" s="1" t="s">
        <v>16</v>
      </c>
      <c r="E759" s="1" t="s">
        <v>27</v>
      </c>
      <c r="F759" s="1" t="s">
        <v>18</v>
      </c>
      <c r="G759" s="1" t="s">
        <v>42</v>
      </c>
      <c r="H759" s="1" t="s">
        <v>43</v>
      </c>
      <c r="I759" s="1" t="s">
        <v>182</v>
      </c>
      <c r="J759" s="1">
        <v>10</v>
      </c>
      <c r="K759" s="3">
        <v>27771.71</v>
      </c>
      <c r="L759" s="1">
        <v>0</v>
      </c>
      <c r="M759" s="1" t="s">
        <v>93</v>
      </c>
      <c r="N759" s="10" t="s">
        <v>37</v>
      </c>
    </row>
    <row r="760" spans="1:14" x14ac:dyDescent="0.25">
      <c r="A760" s="9" t="s">
        <v>1535</v>
      </c>
      <c r="B760" s="2">
        <v>45293</v>
      </c>
      <c r="C760" s="1" t="s">
        <v>852</v>
      </c>
      <c r="D760" s="1" t="s">
        <v>40</v>
      </c>
      <c r="E760" s="1" t="s">
        <v>59</v>
      </c>
      <c r="F760" s="1" t="s">
        <v>82</v>
      </c>
      <c r="G760" s="1" t="s">
        <v>83</v>
      </c>
      <c r="H760" s="1" t="s">
        <v>43</v>
      </c>
      <c r="I760" s="1" t="s">
        <v>154</v>
      </c>
      <c r="J760" s="1">
        <v>10</v>
      </c>
      <c r="K760" s="3">
        <v>4623.45</v>
      </c>
      <c r="L760" s="1">
        <v>15</v>
      </c>
      <c r="M760" s="1" t="s">
        <v>36</v>
      </c>
      <c r="N760" s="10" t="s">
        <v>64</v>
      </c>
    </row>
    <row r="761" spans="1:14" x14ac:dyDescent="0.25">
      <c r="A761" s="9" t="s">
        <v>1536</v>
      </c>
      <c r="B761" s="2">
        <v>45182</v>
      </c>
      <c r="C761" s="1" t="s">
        <v>137</v>
      </c>
      <c r="D761" s="1" t="s">
        <v>33</v>
      </c>
      <c r="E761" s="1" t="s">
        <v>34</v>
      </c>
      <c r="F761" s="1" t="s">
        <v>88</v>
      </c>
      <c r="G761" s="1" t="s">
        <v>83</v>
      </c>
      <c r="H761" s="1" t="s">
        <v>43</v>
      </c>
      <c r="I761" s="1" t="s">
        <v>365</v>
      </c>
      <c r="J761" s="1">
        <v>3</v>
      </c>
      <c r="K761" s="3">
        <v>7038.28</v>
      </c>
      <c r="L761" s="1">
        <v>15</v>
      </c>
      <c r="M761" s="1" t="s">
        <v>22</v>
      </c>
      <c r="N761" s="10" t="s">
        <v>64</v>
      </c>
    </row>
    <row r="762" spans="1:14" x14ac:dyDescent="0.25">
      <c r="A762" s="9" t="s">
        <v>1537</v>
      </c>
      <c r="B762" s="2">
        <v>45341</v>
      </c>
      <c r="C762" s="1" t="s">
        <v>1538</v>
      </c>
      <c r="D762" s="1" t="s">
        <v>71</v>
      </c>
      <c r="E762" s="1" t="s">
        <v>34</v>
      </c>
      <c r="F762" s="1" t="s">
        <v>49</v>
      </c>
      <c r="G762" s="1" t="s">
        <v>19</v>
      </c>
      <c r="H762" s="1" t="s">
        <v>29</v>
      </c>
      <c r="I762" s="1" t="s">
        <v>515</v>
      </c>
      <c r="J762" s="1">
        <v>10</v>
      </c>
      <c r="K762" s="3">
        <v>11839.93</v>
      </c>
      <c r="L762" s="1">
        <v>15</v>
      </c>
      <c r="M762" s="1" t="s">
        <v>56</v>
      </c>
      <c r="N762" s="10" t="s">
        <v>23</v>
      </c>
    </row>
    <row r="763" spans="1:14" x14ac:dyDescent="0.25">
      <c r="A763" s="9" t="s">
        <v>1539</v>
      </c>
      <c r="B763" s="2">
        <v>45092</v>
      </c>
      <c r="C763" s="1" t="s">
        <v>1540</v>
      </c>
      <c r="D763" s="1" t="s">
        <v>67</v>
      </c>
      <c r="E763" s="1" t="s">
        <v>27</v>
      </c>
      <c r="F763" s="1" t="s">
        <v>18</v>
      </c>
      <c r="G763" s="1" t="s">
        <v>19</v>
      </c>
      <c r="H763" s="1" t="s">
        <v>29</v>
      </c>
      <c r="I763" s="1" t="s">
        <v>472</v>
      </c>
      <c r="J763" s="1">
        <v>4</v>
      </c>
      <c r="K763" s="3">
        <v>16013.89</v>
      </c>
      <c r="L763" s="1">
        <v>20</v>
      </c>
      <c r="M763" s="1" t="s">
        <v>93</v>
      </c>
      <c r="N763" s="10" t="s">
        <v>31</v>
      </c>
    </row>
    <row r="764" spans="1:14" x14ac:dyDescent="0.25">
      <c r="A764" s="9" t="s">
        <v>1541</v>
      </c>
      <c r="B764" s="2">
        <v>45595</v>
      </c>
      <c r="C764" s="1" t="s">
        <v>1542</v>
      </c>
      <c r="D764" s="1" t="s">
        <v>67</v>
      </c>
      <c r="E764" s="1" t="s">
        <v>72</v>
      </c>
      <c r="F764" s="1" t="s">
        <v>88</v>
      </c>
      <c r="G764" s="1" t="s">
        <v>42</v>
      </c>
      <c r="H764" s="1" t="s">
        <v>61</v>
      </c>
      <c r="I764" s="1" t="s">
        <v>317</v>
      </c>
      <c r="J764" s="1">
        <v>4</v>
      </c>
      <c r="K764" s="3">
        <v>13264.44</v>
      </c>
      <c r="L764" s="1">
        <v>5</v>
      </c>
      <c r="M764" s="1" t="s">
        <v>69</v>
      </c>
      <c r="N764" s="10" t="s">
        <v>64</v>
      </c>
    </row>
    <row r="765" spans="1:14" x14ac:dyDescent="0.25">
      <c r="A765" s="9" t="s">
        <v>1543</v>
      </c>
      <c r="B765" s="2">
        <v>45381</v>
      </c>
      <c r="C765" s="1" t="s">
        <v>347</v>
      </c>
      <c r="D765" s="1" t="s">
        <v>360</v>
      </c>
      <c r="E765" s="1" t="s">
        <v>72</v>
      </c>
      <c r="F765" s="1" t="s">
        <v>88</v>
      </c>
      <c r="G765" s="1" t="s">
        <v>53</v>
      </c>
      <c r="H765" s="1" t="s">
        <v>54</v>
      </c>
      <c r="I765" s="1" t="s">
        <v>1272</v>
      </c>
      <c r="J765" s="1">
        <v>10</v>
      </c>
      <c r="K765" s="3">
        <v>39249.74</v>
      </c>
      <c r="L765" s="1">
        <v>10</v>
      </c>
      <c r="M765" s="1" t="s">
        <v>22</v>
      </c>
      <c r="N765" s="10" t="s">
        <v>74</v>
      </c>
    </row>
    <row r="766" spans="1:14" x14ac:dyDescent="0.25">
      <c r="A766" s="9" t="s">
        <v>1544</v>
      </c>
      <c r="B766" s="2">
        <v>45423</v>
      </c>
      <c r="C766" s="1" t="s">
        <v>1545</v>
      </c>
      <c r="D766" s="1" t="s">
        <v>161</v>
      </c>
      <c r="E766" s="1" t="s">
        <v>27</v>
      </c>
      <c r="F766" s="1" t="s">
        <v>49</v>
      </c>
      <c r="G766" s="1" t="s">
        <v>42</v>
      </c>
      <c r="H766" s="1" t="s">
        <v>61</v>
      </c>
      <c r="I766" s="1" t="s">
        <v>402</v>
      </c>
      <c r="J766" s="1">
        <v>9</v>
      </c>
      <c r="K766" s="3">
        <v>6266.4</v>
      </c>
      <c r="L766" s="1">
        <v>20</v>
      </c>
      <c r="M766" s="1" t="s">
        <v>36</v>
      </c>
      <c r="N766" s="10" t="s">
        <v>64</v>
      </c>
    </row>
    <row r="767" spans="1:14" x14ac:dyDescent="0.25">
      <c r="A767" s="9" t="s">
        <v>1546</v>
      </c>
      <c r="B767" s="2">
        <v>45295</v>
      </c>
      <c r="C767" s="1" t="s">
        <v>1547</v>
      </c>
      <c r="D767" s="1" t="s">
        <v>87</v>
      </c>
      <c r="E767" s="1" t="s">
        <v>41</v>
      </c>
      <c r="F767" s="1" t="s">
        <v>60</v>
      </c>
      <c r="G767" s="1" t="s">
        <v>42</v>
      </c>
      <c r="H767" s="1" t="s">
        <v>61</v>
      </c>
      <c r="I767" s="1" t="s">
        <v>250</v>
      </c>
      <c r="J767" s="1">
        <v>9</v>
      </c>
      <c r="K767" s="3">
        <v>26718.42</v>
      </c>
      <c r="L767" s="1">
        <v>10</v>
      </c>
      <c r="M767" s="1" t="s">
        <v>93</v>
      </c>
      <c r="N767" s="10" t="s">
        <v>64</v>
      </c>
    </row>
    <row r="768" spans="1:14" x14ac:dyDescent="0.25">
      <c r="A768" s="9" t="s">
        <v>1548</v>
      </c>
      <c r="B768" s="2">
        <v>45366</v>
      </c>
      <c r="C768" s="1" t="s">
        <v>1549</v>
      </c>
      <c r="D768" s="1" t="s">
        <v>147</v>
      </c>
      <c r="E768" s="1" t="s">
        <v>17</v>
      </c>
      <c r="F768" s="1" t="s">
        <v>99</v>
      </c>
      <c r="G768" s="1" t="s">
        <v>42</v>
      </c>
      <c r="H768" s="1" t="s">
        <v>43</v>
      </c>
      <c r="I768" s="1" t="s">
        <v>566</v>
      </c>
      <c r="J768" s="1">
        <v>1</v>
      </c>
      <c r="K768" s="3">
        <v>3153.82</v>
      </c>
      <c r="L768" s="1">
        <v>15</v>
      </c>
      <c r="M768" s="1" t="s">
        <v>22</v>
      </c>
      <c r="N768" s="10" t="s">
        <v>31</v>
      </c>
    </row>
    <row r="769" spans="1:14" x14ac:dyDescent="0.25">
      <c r="A769" s="9" t="s">
        <v>1550</v>
      </c>
      <c r="B769" s="2">
        <v>45311</v>
      </c>
      <c r="C769" s="1" t="s">
        <v>688</v>
      </c>
      <c r="D769" s="1" t="s">
        <v>26</v>
      </c>
      <c r="E769" s="1" t="s">
        <v>17</v>
      </c>
      <c r="F769" s="1" t="s">
        <v>88</v>
      </c>
      <c r="G769" s="1" t="s">
        <v>19</v>
      </c>
      <c r="H769" s="1" t="s">
        <v>29</v>
      </c>
      <c r="I769" s="1" t="s">
        <v>141</v>
      </c>
      <c r="J769" s="1">
        <v>8</v>
      </c>
      <c r="K769" s="3">
        <v>22623.08</v>
      </c>
      <c r="L769" s="1">
        <v>5</v>
      </c>
      <c r="M769" s="1" t="s">
        <v>36</v>
      </c>
      <c r="N769" s="10" t="s">
        <v>23</v>
      </c>
    </row>
    <row r="770" spans="1:14" x14ac:dyDescent="0.25">
      <c r="A770" s="9" t="s">
        <v>1551</v>
      </c>
      <c r="B770" s="2">
        <v>45512</v>
      </c>
      <c r="C770" s="1" t="s">
        <v>1007</v>
      </c>
      <c r="D770" s="1" t="s">
        <v>67</v>
      </c>
      <c r="E770" s="1" t="s">
        <v>34</v>
      </c>
      <c r="F770" s="1" t="s">
        <v>18</v>
      </c>
      <c r="G770" s="1" t="s">
        <v>19</v>
      </c>
      <c r="H770" s="1" t="s">
        <v>20</v>
      </c>
      <c r="I770" s="1" t="s">
        <v>1234</v>
      </c>
      <c r="J770" s="1">
        <v>4</v>
      </c>
      <c r="K770" s="3">
        <v>13100.97</v>
      </c>
      <c r="L770" s="1">
        <v>5</v>
      </c>
      <c r="M770" s="1" t="s">
        <v>93</v>
      </c>
      <c r="N770" s="10" t="s">
        <v>37</v>
      </c>
    </row>
    <row r="771" spans="1:14" x14ac:dyDescent="0.25">
      <c r="A771" s="9" t="s">
        <v>1552</v>
      </c>
      <c r="B771" s="2">
        <v>45170</v>
      </c>
      <c r="C771" s="1" t="s">
        <v>845</v>
      </c>
      <c r="D771" s="1" t="s">
        <v>52</v>
      </c>
      <c r="E771" s="1" t="s">
        <v>27</v>
      </c>
      <c r="F771" s="1" t="s">
        <v>49</v>
      </c>
      <c r="G771" s="1" t="s">
        <v>19</v>
      </c>
      <c r="H771" s="1" t="s">
        <v>29</v>
      </c>
      <c r="I771" s="1" t="s">
        <v>30</v>
      </c>
      <c r="J771" s="1">
        <v>5</v>
      </c>
      <c r="K771" s="3">
        <v>23499.4</v>
      </c>
      <c r="L771" s="1">
        <v>20</v>
      </c>
      <c r="M771" s="1" t="s">
        <v>22</v>
      </c>
      <c r="N771" s="10" t="s">
        <v>45</v>
      </c>
    </row>
    <row r="772" spans="1:14" x14ac:dyDescent="0.25">
      <c r="A772" s="9" t="s">
        <v>1553</v>
      </c>
      <c r="B772" s="2">
        <v>45404</v>
      </c>
      <c r="C772" s="1" t="s">
        <v>586</v>
      </c>
      <c r="D772" s="1" t="s">
        <v>33</v>
      </c>
      <c r="E772" s="1" t="s">
        <v>72</v>
      </c>
      <c r="F772" s="1" t="s">
        <v>82</v>
      </c>
      <c r="G772" s="1" t="s">
        <v>19</v>
      </c>
      <c r="H772" s="1" t="s">
        <v>20</v>
      </c>
      <c r="I772" s="1" t="s">
        <v>801</v>
      </c>
      <c r="J772" s="1">
        <v>8</v>
      </c>
      <c r="K772" s="3">
        <v>13225.53</v>
      </c>
      <c r="L772" s="1">
        <v>10</v>
      </c>
      <c r="M772" s="1" t="s">
        <v>36</v>
      </c>
      <c r="N772" s="10" t="s">
        <v>45</v>
      </c>
    </row>
    <row r="773" spans="1:14" x14ac:dyDescent="0.25">
      <c r="A773" s="9" t="s">
        <v>1554</v>
      </c>
      <c r="B773" s="2">
        <v>44951</v>
      </c>
      <c r="C773" s="1" t="s">
        <v>1222</v>
      </c>
      <c r="D773" s="1" t="s">
        <v>71</v>
      </c>
      <c r="E773" s="1" t="s">
        <v>17</v>
      </c>
      <c r="F773" s="1" t="s">
        <v>49</v>
      </c>
      <c r="G773" s="1" t="s">
        <v>42</v>
      </c>
      <c r="H773" s="1" t="s">
        <v>61</v>
      </c>
      <c r="I773" s="1" t="s">
        <v>234</v>
      </c>
      <c r="J773" s="1">
        <v>8</v>
      </c>
      <c r="K773" s="3">
        <v>31086.52</v>
      </c>
      <c r="L773" s="1">
        <v>5</v>
      </c>
      <c r="M773" s="1" t="s">
        <v>93</v>
      </c>
      <c r="N773" s="10" t="s">
        <v>74</v>
      </c>
    </row>
    <row r="774" spans="1:14" x14ac:dyDescent="0.25">
      <c r="A774" s="9" t="s">
        <v>1555</v>
      </c>
      <c r="B774" s="2">
        <v>45104</v>
      </c>
      <c r="C774" s="1" t="s">
        <v>168</v>
      </c>
      <c r="D774" s="1" t="s">
        <v>81</v>
      </c>
      <c r="E774" s="1" t="s">
        <v>41</v>
      </c>
      <c r="F774" s="1" t="s">
        <v>82</v>
      </c>
      <c r="G774" s="1" t="s">
        <v>83</v>
      </c>
      <c r="H774" s="1" t="s">
        <v>43</v>
      </c>
      <c r="I774" s="1" t="s">
        <v>339</v>
      </c>
      <c r="J774" s="1">
        <v>5</v>
      </c>
      <c r="K774" s="3">
        <v>3480.39</v>
      </c>
      <c r="L774" s="1" t="s">
        <v>110</v>
      </c>
      <c r="M774" s="1" t="s">
        <v>56</v>
      </c>
      <c r="N774" s="10" t="s">
        <v>45</v>
      </c>
    </row>
    <row r="775" spans="1:14" x14ac:dyDescent="0.25">
      <c r="A775" s="9" t="s">
        <v>1556</v>
      </c>
      <c r="B775" s="2">
        <v>44990</v>
      </c>
      <c r="C775" s="1" t="s">
        <v>1557</v>
      </c>
      <c r="D775" s="1" t="s">
        <v>26</v>
      </c>
      <c r="E775" s="1" t="s">
        <v>59</v>
      </c>
      <c r="F775" s="1" t="s">
        <v>18</v>
      </c>
      <c r="G775" s="1" t="s">
        <v>19</v>
      </c>
      <c r="H775" s="1" t="s">
        <v>29</v>
      </c>
      <c r="I775" s="1" t="s">
        <v>124</v>
      </c>
      <c r="J775" s="1">
        <v>4</v>
      </c>
      <c r="K775" s="3">
        <v>3530.86</v>
      </c>
      <c r="L775" s="1">
        <v>20</v>
      </c>
      <c r="M775" s="1" t="s">
        <v>22</v>
      </c>
      <c r="N775" s="10" t="s">
        <v>37</v>
      </c>
    </row>
    <row r="776" spans="1:14" x14ac:dyDescent="0.25">
      <c r="A776" s="9" t="s">
        <v>1559</v>
      </c>
      <c r="B776" s="2">
        <v>45192</v>
      </c>
      <c r="C776" s="1" t="s">
        <v>1222</v>
      </c>
      <c r="D776" s="1" t="s">
        <v>16</v>
      </c>
      <c r="E776" s="1" t="s">
        <v>17</v>
      </c>
      <c r="F776" s="1" t="s">
        <v>60</v>
      </c>
      <c r="G776" s="1" t="s">
        <v>83</v>
      </c>
      <c r="H776" s="1" t="s">
        <v>43</v>
      </c>
      <c r="I776" s="1" t="s">
        <v>329</v>
      </c>
      <c r="J776" s="1">
        <v>2</v>
      </c>
      <c r="K776" s="3">
        <v>6153.77</v>
      </c>
      <c r="L776" s="1" t="s">
        <v>110</v>
      </c>
      <c r="M776" s="1" t="s">
        <v>93</v>
      </c>
      <c r="N776" s="10" t="s">
        <v>37</v>
      </c>
    </row>
    <row r="777" spans="1:14" x14ac:dyDescent="0.25">
      <c r="A777" s="9" t="s">
        <v>1560</v>
      </c>
      <c r="B777" s="2">
        <v>45493</v>
      </c>
      <c r="C777" s="1" t="s">
        <v>1458</v>
      </c>
      <c r="D777" s="1" t="s">
        <v>399</v>
      </c>
      <c r="E777" s="1" t="s">
        <v>34</v>
      </c>
      <c r="F777" s="1" t="s">
        <v>28</v>
      </c>
      <c r="G777" s="1" t="s">
        <v>42</v>
      </c>
      <c r="H777" s="1" t="s">
        <v>43</v>
      </c>
      <c r="I777" s="1" t="s">
        <v>285</v>
      </c>
      <c r="J777" s="1">
        <v>2</v>
      </c>
      <c r="K777" s="3">
        <v>3176.34</v>
      </c>
      <c r="L777" s="1">
        <v>15</v>
      </c>
      <c r="M777" s="1" t="s">
        <v>69</v>
      </c>
      <c r="N777" s="10" t="s">
        <v>37</v>
      </c>
    </row>
    <row r="778" spans="1:14" x14ac:dyDescent="0.25">
      <c r="A778" s="9" t="s">
        <v>1561</v>
      </c>
      <c r="B778" s="2">
        <v>45410</v>
      </c>
      <c r="C778" s="1" t="s">
        <v>1562</v>
      </c>
      <c r="D778" s="1" t="s">
        <v>40</v>
      </c>
      <c r="E778" s="1" t="s">
        <v>27</v>
      </c>
      <c r="F778" s="1" t="s">
        <v>18</v>
      </c>
      <c r="G778" s="1" t="s">
        <v>42</v>
      </c>
      <c r="H778" s="1" t="s">
        <v>43</v>
      </c>
      <c r="I778" s="1" t="s">
        <v>157</v>
      </c>
      <c r="J778" s="1">
        <v>5</v>
      </c>
      <c r="K778" s="3">
        <v>24769.81</v>
      </c>
      <c r="L778" s="1">
        <v>5</v>
      </c>
      <c r="M778" s="1" t="s">
        <v>36</v>
      </c>
      <c r="N778" s="10" t="s">
        <v>23</v>
      </c>
    </row>
    <row r="779" spans="1:14" x14ac:dyDescent="0.25">
      <c r="A779" s="9" t="s">
        <v>1563</v>
      </c>
      <c r="B779" s="2">
        <v>45117</v>
      </c>
      <c r="C779" s="1" t="s">
        <v>1564</v>
      </c>
      <c r="D779" s="1" t="s">
        <v>71</v>
      </c>
      <c r="E779" s="1" t="s">
        <v>17</v>
      </c>
      <c r="F779" s="1" t="s">
        <v>82</v>
      </c>
      <c r="G779" s="1" t="s">
        <v>42</v>
      </c>
      <c r="H779" s="1" t="s">
        <v>61</v>
      </c>
      <c r="I779" s="1" t="s">
        <v>68</v>
      </c>
      <c r="J779" s="1">
        <v>6</v>
      </c>
      <c r="K779" s="3">
        <v>6366.02</v>
      </c>
      <c r="L779" s="1">
        <v>5</v>
      </c>
      <c r="M779" s="1" t="s">
        <v>63</v>
      </c>
      <c r="N779" s="10" t="s">
        <v>45</v>
      </c>
    </row>
    <row r="780" spans="1:14" x14ac:dyDescent="0.25">
      <c r="A780" s="9" t="s">
        <v>1565</v>
      </c>
      <c r="B780" s="2">
        <v>45246</v>
      </c>
      <c r="C780" s="1" t="s">
        <v>614</v>
      </c>
      <c r="D780" s="1" t="s">
        <v>52</v>
      </c>
      <c r="E780" s="1" t="s">
        <v>72</v>
      </c>
      <c r="F780" s="1" t="s">
        <v>99</v>
      </c>
      <c r="G780" s="1" t="s">
        <v>53</v>
      </c>
      <c r="H780" s="1" t="s">
        <v>54</v>
      </c>
      <c r="I780" s="1" t="s">
        <v>479</v>
      </c>
      <c r="J780" s="1">
        <v>5</v>
      </c>
      <c r="K780" s="3">
        <v>10223.15</v>
      </c>
      <c r="L780" s="1" t="s">
        <v>110</v>
      </c>
      <c r="M780" s="1" t="s">
        <v>22</v>
      </c>
      <c r="N780" s="10" t="s">
        <v>64</v>
      </c>
    </row>
    <row r="781" spans="1:14" x14ac:dyDescent="0.25">
      <c r="A781" s="9" t="s">
        <v>1566</v>
      </c>
      <c r="B781" s="2">
        <v>45368</v>
      </c>
      <c r="C781" s="1" t="s">
        <v>1567</v>
      </c>
      <c r="D781" s="1" t="s">
        <v>26</v>
      </c>
      <c r="E781" s="1" t="s">
        <v>27</v>
      </c>
      <c r="F781" s="1" t="s">
        <v>82</v>
      </c>
      <c r="G781" s="1" t="s">
        <v>42</v>
      </c>
      <c r="H781" s="1" t="s">
        <v>43</v>
      </c>
      <c r="I781" s="1" t="s">
        <v>100</v>
      </c>
      <c r="J781" s="1">
        <v>8</v>
      </c>
      <c r="K781" s="3">
        <v>18606.43</v>
      </c>
      <c r="L781" s="1">
        <v>10</v>
      </c>
      <c r="M781" s="1" t="s">
        <v>22</v>
      </c>
      <c r="N781" s="10" t="s">
        <v>74</v>
      </c>
    </row>
    <row r="782" spans="1:14" x14ac:dyDescent="0.25">
      <c r="A782" s="9" t="s">
        <v>1568</v>
      </c>
      <c r="B782" s="2">
        <v>45161</v>
      </c>
      <c r="C782" s="1" t="s">
        <v>533</v>
      </c>
      <c r="D782" s="1" t="s">
        <v>77</v>
      </c>
      <c r="E782" s="1" t="s">
        <v>72</v>
      </c>
      <c r="F782" s="1" t="s">
        <v>99</v>
      </c>
      <c r="G782" s="1" t="s">
        <v>19</v>
      </c>
      <c r="H782" s="1" t="s">
        <v>29</v>
      </c>
      <c r="I782" s="1" t="s">
        <v>124</v>
      </c>
      <c r="J782" s="1">
        <v>4</v>
      </c>
      <c r="K782" s="3">
        <v>19298.66</v>
      </c>
      <c r="L782" s="1">
        <v>0</v>
      </c>
      <c r="M782" s="1" t="s">
        <v>93</v>
      </c>
      <c r="N782" s="10" t="s">
        <v>74</v>
      </c>
    </row>
    <row r="783" spans="1:14" x14ac:dyDescent="0.25">
      <c r="A783" s="9" t="s">
        <v>1569</v>
      </c>
      <c r="B783" s="2">
        <v>45461</v>
      </c>
      <c r="C783" s="1" t="s">
        <v>1570</v>
      </c>
      <c r="D783" s="1" t="s">
        <v>52</v>
      </c>
      <c r="E783" s="1" t="s">
        <v>41</v>
      </c>
      <c r="F783" s="1" t="s">
        <v>18</v>
      </c>
      <c r="G783" s="1" t="s">
        <v>83</v>
      </c>
      <c r="H783" s="1" t="s">
        <v>43</v>
      </c>
      <c r="I783" s="1" t="s">
        <v>572</v>
      </c>
      <c r="J783" s="1">
        <v>6</v>
      </c>
      <c r="K783" s="3">
        <v>11974.29</v>
      </c>
      <c r="L783" s="1">
        <v>10</v>
      </c>
      <c r="M783" s="1" t="s">
        <v>36</v>
      </c>
      <c r="N783" s="10" t="s">
        <v>45</v>
      </c>
    </row>
    <row r="784" spans="1:14" x14ac:dyDescent="0.25">
      <c r="A784" s="9" t="s">
        <v>1571</v>
      </c>
      <c r="B784" s="2">
        <v>45430</v>
      </c>
      <c r="C784" s="1" t="s">
        <v>1572</v>
      </c>
      <c r="D784" s="1" t="s">
        <v>147</v>
      </c>
      <c r="E784" s="1" t="s">
        <v>27</v>
      </c>
      <c r="F784" s="1" t="s">
        <v>88</v>
      </c>
      <c r="G784" s="1" t="s">
        <v>42</v>
      </c>
      <c r="H784" s="1" t="s">
        <v>61</v>
      </c>
      <c r="I784" s="1" t="s">
        <v>62</v>
      </c>
      <c r="J784" s="1">
        <v>10</v>
      </c>
      <c r="K784" s="3">
        <v>8958.2000000000007</v>
      </c>
      <c r="L784" s="1">
        <v>15</v>
      </c>
      <c r="M784" s="1" t="s">
        <v>63</v>
      </c>
      <c r="N784" s="10" t="s">
        <v>37</v>
      </c>
    </row>
    <row r="785" spans="1:14" x14ac:dyDescent="0.25">
      <c r="A785" s="9" t="s">
        <v>1573</v>
      </c>
      <c r="B785" s="2">
        <v>45454</v>
      </c>
      <c r="C785" s="1" t="s">
        <v>825</v>
      </c>
      <c r="D785" s="1" t="s">
        <v>16</v>
      </c>
      <c r="E785" s="1" t="s">
        <v>17</v>
      </c>
      <c r="F785" s="1" t="s">
        <v>18</v>
      </c>
      <c r="G785" s="1" t="s">
        <v>53</v>
      </c>
      <c r="H785" s="1" t="s">
        <v>54</v>
      </c>
      <c r="I785" s="1" t="s">
        <v>55</v>
      </c>
      <c r="J785" s="1">
        <v>-10</v>
      </c>
      <c r="K785" s="3">
        <v>39814.86</v>
      </c>
      <c r="L785" s="1">
        <v>20</v>
      </c>
      <c r="M785" s="1" t="s">
        <v>93</v>
      </c>
      <c r="N785" s="10" t="s">
        <v>37</v>
      </c>
    </row>
    <row r="786" spans="1:14" x14ac:dyDescent="0.25">
      <c r="A786" s="9" t="s">
        <v>1574</v>
      </c>
      <c r="B786" s="2">
        <v>45520</v>
      </c>
      <c r="C786" s="1" t="s">
        <v>891</v>
      </c>
      <c r="D786" s="1" t="s">
        <v>26</v>
      </c>
      <c r="E786" s="1" t="s">
        <v>59</v>
      </c>
      <c r="F786" s="1" t="s">
        <v>88</v>
      </c>
      <c r="G786" s="1" t="s">
        <v>19</v>
      </c>
      <c r="H786" s="1" t="s">
        <v>29</v>
      </c>
      <c r="I786" s="1" t="s">
        <v>635</v>
      </c>
      <c r="J786" s="1">
        <v>7</v>
      </c>
      <c r="K786" s="3">
        <v>13603.54</v>
      </c>
      <c r="L786" s="1">
        <v>10</v>
      </c>
      <c r="M786" s="1" t="s">
        <v>22</v>
      </c>
      <c r="N786" s="10" t="s">
        <v>64</v>
      </c>
    </row>
    <row r="787" spans="1:14" x14ac:dyDescent="0.25">
      <c r="A787" s="9" t="s">
        <v>1575</v>
      </c>
      <c r="B787" s="2">
        <v>45322</v>
      </c>
      <c r="C787" s="1" t="s">
        <v>322</v>
      </c>
      <c r="D787" s="1" t="s">
        <v>52</v>
      </c>
      <c r="E787" s="1" t="s">
        <v>27</v>
      </c>
      <c r="F787" s="1" t="s">
        <v>88</v>
      </c>
      <c r="G787" s="1" t="s">
        <v>42</v>
      </c>
      <c r="H787" s="1" t="s">
        <v>61</v>
      </c>
      <c r="I787" s="1" t="s">
        <v>106</v>
      </c>
      <c r="J787" s="1">
        <v>5</v>
      </c>
      <c r="K787" s="3">
        <v>10412.36</v>
      </c>
      <c r="L787" s="1">
        <v>20</v>
      </c>
      <c r="M787" s="1" t="s">
        <v>22</v>
      </c>
      <c r="N787" s="10" t="s">
        <v>23</v>
      </c>
    </row>
    <row r="788" spans="1:14" x14ac:dyDescent="0.25">
      <c r="A788" s="9" t="s">
        <v>1576</v>
      </c>
      <c r="B788" s="2">
        <v>45507</v>
      </c>
      <c r="C788" s="1" t="s">
        <v>1577</v>
      </c>
      <c r="D788" s="1" t="s">
        <v>147</v>
      </c>
      <c r="E788" s="1" t="s">
        <v>17</v>
      </c>
      <c r="F788" s="1" t="s">
        <v>18</v>
      </c>
      <c r="G788" s="1" t="s">
        <v>19</v>
      </c>
      <c r="H788" s="1" t="s">
        <v>29</v>
      </c>
      <c r="I788" s="1" t="s">
        <v>385</v>
      </c>
      <c r="J788" s="1">
        <v>7</v>
      </c>
      <c r="K788" s="3">
        <v>13834.55</v>
      </c>
      <c r="L788" s="1">
        <v>20</v>
      </c>
      <c r="M788" s="1" t="s">
        <v>69</v>
      </c>
      <c r="N788" s="10" t="s">
        <v>31</v>
      </c>
    </row>
    <row r="789" spans="1:14" x14ac:dyDescent="0.25">
      <c r="A789" s="9" t="s">
        <v>1578</v>
      </c>
      <c r="B789" s="2">
        <v>45638</v>
      </c>
      <c r="C789" s="1" t="s">
        <v>377</v>
      </c>
      <c r="D789" s="1" t="s">
        <v>67</v>
      </c>
      <c r="E789" s="1" t="s">
        <v>59</v>
      </c>
      <c r="F789" s="1" t="s">
        <v>99</v>
      </c>
      <c r="G789" s="1" t="s">
        <v>53</v>
      </c>
      <c r="H789" s="1" t="s">
        <v>54</v>
      </c>
      <c r="I789" s="1" t="s">
        <v>236</v>
      </c>
      <c r="J789" s="1">
        <v>6</v>
      </c>
      <c r="K789" s="3">
        <v>25937.21</v>
      </c>
      <c r="L789" s="1">
        <v>5</v>
      </c>
      <c r="M789" s="1" t="s">
        <v>69</v>
      </c>
      <c r="N789" s="10" t="s">
        <v>37</v>
      </c>
    </row>
    <row r="790" spans="1:14" x14ac:dyDescent="0.25">
      <c r="A790" s="9" t="s">
        <v>1579</v>
      </c>
      <c r="B790" s="2">
        <v>45012</v>
      </c>
      <c r="C790" s="1" t="s">
        <v>1580</v>
      </c>
      <c r="D790" s="1" t="s">
        <v>33</v>
      </c>
      <c r="E790" s="1" t="s">
        <v>72</v>
      </c>
      <c r="F790" s="1" t="s">
        <v>88</v>
      </c>
      <c r="G790" s="1" t="s">
        <v>42</v>
      </c>
      <c r="H790" s="1" t="s">
        <v>43</v>
      </c>
      <c r="I790" s="1" t="s">
        <v>394</v>
      </c>
      <c r="J790" s="1">
        <v>1</v>
      </c>
      <c r="K790" s="3">
        <v>645.55999999999995</v>
      </c>
      <c r="L790" s="1">
        <v>5</v>
      </c>
      <c r="M790" s="1" t="s">
        <v>63</v>
      </c>
      <c r="N790" s="10" t="s">
        <v>37</v>
      </c>
    </row>
    <row r="791" spans="1:14" x14ac:dyDescent="0.25">
      <c r="A791" s="9" t="s">
        <v>1581</v>
      </c>
      <c r="B791" s="2">
        <v>45416</v>
      </c>
      <c r="C791" s="1" t="s">
        <v>284</v>
      </c>
      <c r="D791" s="1" t="s">
        <v>52</v>
      </c>
      <c r="E791" s="1" t="s">
        <v>17</v>
      </c>
      <c r="F791" s="1" t="s">
        <v>82</v>
      </c>
      <c r="G791" s="1" t="s">
        <v>19</v>
      </c>
      <c r="H791" s="1" t="s">
        <v>29</v>
      </c>
      <c r="I791" s="1" t="s">
        <v>220</v>
      </c>
      <c r="J791" s="1">
        <v>3</v>
      </c>
      <c r="K791" s="3">
        <v>12485.53</v>
      </c>
      <c r="L791" s="1">
        <v>15</v>
      </c>
      <c r="M791" s="1" t="s">
        <v>56</v>
      </c>
      <c r="N791" s="10" t="s">
        <v>23</v>
      </c>
    </row>
    <row r="792" spans="1:14" x14ac:dyDescent="0.25">
      <c r="A792" s="9" t="s">
        <v>1582</v>
      </c>
      <c r="B792" s="2">
        <v>45095</v>
      </c>
      <c r="C792" s="1" t="s">
        <v>1394</v>
      </c>
      <c r="D792" s="1" t="s">
        <v>81</v>
      </c>
      <c r="E792" s="1" t="s">
        <v>41</v>
      </c>
      <c r="F792" s="1" t="s">
        <v>28</v>
      </c>
      <c r="G792" s="1" t="s">
        <v>19</v>
      </c>
      <c r="H792" s="1" t="s">
        <v>20</v>
      </c>
      <c r="I792" s="1" t="s">
        <v>187</v>
      </c>
      <c r="J792" s="1">
        <v>2</v>
      </c>
      <c r="K792" s="3">
        <v>4637.34</v>
      </c>
      <c r="L792" s="1">
        <v>5</v>
      </c>
      <c r="M792" s="1" t="s">
        <v>69</v>
      </c>
      <c r="N792" s="10" t="s">
        <v>31</v>
      </c>
    </row>
    <row r="793" spans="1:14" x14ac:dyDescent="0.25">
      <c r="A793" s="9" t="s">
        <v>1583</v>
      </c>
      <c r="B793" s="2">
        <v>44976</v>
      </c>
      <c r="C793" s="1" t="s">
        <v>1227</v>
      </c>
      <c r="D793" s="1" t="s">
        <v>147</v>
      </c>
      <c r="E793" s="1" t="s">
        <v>27</v>
      </c>
      <c r="F793" s="1" t="s">
        <v>88</v>
      </c>
      <c r="G793" s="1" t="s">
        <v>53</v>
      </c>
      <c r="H793" s="1" t="s">
        <v>54</v>
      </c>
      <c r="I793" s="1" t="s">
        <v>608</v>
      </c>
      <c r="J793" s="1">
        <v>8</v>
      </c>
      <c r="K793" s="3">
        <v>20196.29</v>
      </c>
      <c r="L793" s="1" t="s">
        <v>110</v>
      </c>
      <c r="M793" s="1" t="s">
        <v>22</v>
      </c>
      <c r="N793" s="10" t="s">
        <v>23</v>
      </c>
    </row>
    <row r="794" spans="1:14" x14ac:dyDescent="0.25">
      <c r="A794" s="9" t="s">
        <v>1584</v>
      </c>
      <c r="B794" s="2">
        <v>45275</v>
      </c>
      <c r="C794" s="1" t="s">
        <v>1526</v>
      </c>
      <c r="D794" s="1" t="s">
        <v>52</v>
      </c>
      <c r="E794" s="1" t="s">
        <v>34</v>
      </c>
      <c r="F794" s="1" t="s">
        <v>82</v>
      </c>
      <c r="G794" s="1" t="s">
        <v>53</v>
      </c>
      <c r="H794" s="1" t="s">
        <v>54</v>
      </c>
      <c r="I794" s="1" t="s">
        <v>413</v>
      </c>
      <c r="J794" s="1">
        <v>9</v>
      </c>
      <c r="K794" s="3">
        <v>41368.67</v>
      </c>
      <c r="L794" s="1">
        <v>10</v>
      </c>
      <c r="M794" s="1" t="s">
        <v>93</v>
      </c>
      <c r="N794" s="10" t="s">
        <v>45</v>
      </c>
    </row>
    <row r="795" spans="1:14" x14ac:dyDescent="0.25">
      <c r="A795" s="9" t="s">
        <v>1585</v>
      </c>
      <c r="B795" s="2">
        <v>45637</v>
      </c>
      <c r="C795" s="1" t="s">
        <v>1135</v>
      </c>
      <c r="D795" s="1" t="s">
        <v>52</v>
      </c>
      <c r="E795" s="1" t="s">
        <v>41</v>
      </c>
      <c r="F795" s="1" t="s">
        <v>18</v>
      </c>
      <c r="G795" s="1" t="s">
        <v>19</v>
      </c>
      <c r="H795" s="1" t="s">
        <v>29</v>
      </c>
      <c r="I795" s="1" t="s">
        <v>220</v>
      </c>
      <c r="J795" s="1">
        <v>1</v>
      </c>
      <c r="K795" s="3">
        <v>2257.5700000000002</v>
      </c>
      <c r="L795" s="1" t="s">
        <v>110</v>
      </c>
      <c r="M795" s="1" t="s">
        <v>63</v>
      </c>
      <c r="N795" s="10" t="s">
        <v>45</v>
      </c>
    </row>
    <row r="796" spans="1:14" x14ac:dyDescent="0.25">
      <c r="A796" s="9" t="s">
        <v>1586</v>
      </c>
      <c r="B796" s="2">
        <v>45521</v>
      </c>
      <c r="C796" s="1" t="s">
        <v>585</v>
      </c>
      <c r="D796" s="1" t="s">
        <v>16</v>
      </c>
      <c r="E796" s="1" t="s">
        <v>34</v>
      </c>
      <c r="F796" s="1" t="s">
        <v>28</v>
      </c>
      <c r="G796" s="1" t="s">
        <v>53</v>
      </c>
      <c r="H796" s="1" t="s">
        <v>54</v>
      </c>
      <c r="I796" s="1" t="s">
        <v>413</v>
      </c>
      <c r="J796" s="1">
        <v>10</v>
      </c>
      <c r="K796" s="3">
        <v>18382.66</v>
      </c>
      <c r="L796" s="1">
        <v>15</v>
      </c>
      <c r="M796" s="1" t="s">
        <v>22</v>
      </c>
      <c r="N796" s="10" t="s">
        <v>74</v>
      </c>
    </row>
    <row r="797" spans="1:14" x14ac:dyDescent="0.25">
      <c r="A797" s="9" t="s">
        <v>1587</v>
      </c>
      <c r="B797" s="2">
        <v>44948</v>
      </c>
      <c r="C797" s="1" t="s">
        <v>1318</v>
      </c>
      <c r="D797" s="1" t="s">
        <v>16</v>
      </c>
      <c r="E797" s="1" t="s">
        <v>27</v>
      </c>
      <c r="F797" s="1" t="s">
        <v>18</v>
      </c>
      <c r="G797" s="1" t="s">
        <v>42</v>
      </c>
      <c r="H797" s="1" t="s">
        <v>43</v>
      </c>
      <c r="I797" s="1" t="s">
        <v>285</v>
      </c>
      <c r="J797" s="1">
        <v>10</v>
      </c>
      <c r="K797" s="3">
        <v>15743.4</v>
      </c>
      <c r="L797" s="1">
        <v>20</v>
      </c>
      <c r="M797" s="1" t="s">
        <v>93</v>
      </c>
      <c r="N797" s="10" t="s">
        <v>74</v>
      </c>
    </row>
    <row r="798" spans="1:14" x14ac:dyDescent="0.25">
      <c r="A798" s="9" t="s">
        <v>1588</v>
      </c>
      <c r="B798" s="2">
        <v>45607</v>
      </c>
      <c r="C798" s="1" t="s">
        <v>942</v>
      </c>
      <c r="D798" s="1" t="s">
        <v>71</v>
      </c>
      <c r="E798" s="1" t="s">
        <v>17</v>
      </c>
      <c r="F798" s="1" t="s">
        <v>18</v>
      </c>
      <c r="G798" s="1" t="s">
        <v>19</v>
      </c>
      <c r="H798" s="1" t="s">
        <v>29</v>
      </c>
      <c r="I798" s="1" t="s">
        <v>885</v>
      </c>
      <c r="J798" s="1">
        <v>10</v>
      </c>
      <c r="K798" s="3">
        <v>21697.03</v>
      </c>
      <c r="L798" s="1" t="s">
        <v>110</v>
      </c>
      <c r="M798" s="1" t="s">
        <v>22</v>
      </c>
      <c r="N798" s="10" t="s">
        <v>74</v>
      </c>
    </row>
    <row r="799" spans="1:14" x14ac:dyDescent="0.25">
      <c r="A799" s="9" t="s">
        <v>1589</v>
      </c>
      <c r="B799" s="2">
        <v>45397</v>
      </c>
      <c r="C799" s="1" t="s">
        <v>574</v>
      </c>
      <c r="D799" s="1" t="s">
        <v>40</v>
      </c>
      <c r="E799" s="1" t="s">
        <v>41</v>
      </c>
      <c r="F799" s="1" t="s">
        <v>60</v>
      </c>
      <c r="G799" s="1" t="s">
        <v>19</v>
      </c>
      <c r="H799" s="1" t="s">
        <v>20</v>
      </c>
      <c r="I799" s="1" t="s">
        <v>261</v>
      </c>
      <c r="J799" s="1">
        <v>8</v>
      </c>
      <c r="K799" s="3">
        <v>19075.46</v>
      </c>
      <c r="L799" s="1">
        <v>0</v>
      </c>
      <c r="M799" s="1" t="s">
        <v>36</v>
      </c>
      <c r="N799" s="10" t="s">
        <v>45</v>
      </c>
    </row>
    <row r="800" spans="1:14" x14ac:dyDescent="0.25">
      <c r="A800" s="9" t="s">
        <v>1590</v>
      </c>
      <c r="B800" s="2">
        <v>45323</v>
      </c>
      <c r="C800" s="1" t="s">
        <v>1591</v>
      </c>
      <c r="D800" s="1" t="s">
        <v>192</v>
      </c>
      <c r="E800" s="1" t="s">
        <v>17</v>
      </c>
      <c r="F800" s="1" t="s">
        <v>28</v>
      </c>
      <c r="G800" s="1" t="s">
        <v>19</v>
      </c>
      <c r="H800" s="1" t="s">
        <v>20</v>
      </c>
      <c r="I800" s="1" t="s">
        <v>230</v>
      </c>
      <c r="J800" s="1">
        <v>9</v>
      </c>
      <c r="K800" s="3">
        <v>11313.48</v>
      </c>
      <c r="L800" s="1">
        <v>5</v>
      </c>
      <c r="M800" s="1" t="s">
        <v>36</v>
      </c>
      <c r="N800" s="10" t="s">
        <v>45</v>
      </c>
    </row>
    <row r="801" spans="1:14" x14ac:dyDescent="0.25">
      <c r="A801" s="9" t="s">
        <v>1592</v>
      </c>
      <c r="B801" s="2">
        <v>45024</v>
      </c>
      <c r="C801" s="1" t="s">
        <v>1545</v>
      </c>
      <c r="D801" s="1" t="s">
        <v>40</v>
      </c>
      <c r="E801" s="1" t="s">
        <v>72</v>
      </c>
      <c r="F801" s="1" t="s">
        <v>18</v>
      </c>
      <c r="G801" s="1" t="s">
        <v>53</v>
      </c>
      <c r="H801" s="1" t="s">
        <v>54</v>
      </c>
      <c r="I801" s="1" t="s">
        <v>518</v>
      </c>
      <c r="J801" s="1">
        <v>7</v>
      </c>
      <c r="K801" s="3">
        <v>8161.49</v>
      </c>
      <c r="L801" s="1">
        <v>15</v>
      </c>
      <c r="M801" s="1" t="s">
        <v>22</v>
      </c>
      <c r="N801" s="10" t="s">
        <v>23</v>
      </c>
    </row>
    <row r="802" spans="1:14" x14ac:dyDescent="0.25">
      <c r="A802" s="9" t="s">
        <v>1593</v>
      </c>
      <c r="B802" s="2">
        <v>45424</v>
      </c>
      <c r="C802" s="1" t="s">
        <v>352</v>
      </c>
      <c r="D802" s="1" t="s">
        <v>67</v>
      </c>
      <c r="E802" s="1" t="s">
        <v>17</v>
      </c>
      <c r="F802" s="1" t="s">
        <v>28</v>
      </c>
      <c r="G802" s="1" t="s">
        <v>19</v>
      </c>
      <c r="H802" s="1" t="s">
        <v>29</v>
      </c>
      <c r="I802" s="1" t="s">
        <v>223</v>
      </c>
      <c r="J802" s="1">
        <v>3</v>
      </c>
      <c r="K802" s="3">
        <v>2907.39</v>
      </c>
      <c r="L802" s="1" t="s">
        <v>110</v>
      </c>
      <c r="M802" s="1" t="s">
        <v>69</v>
      </c>
      <c r="N802" s="10" t="s">
        <v>64</v>
      </c>
    </row>
    <row r="803" spans="1:14" x14ac:dyDescent="0.25">
      <c r="A803" s="9" t="s">
        <v>1594</v>
      </c>
      <c r="B803" s="2">
        <v>45000</v>
      </c>
      <c r="C803" s="1" t="s">
        <v>1595</v>
      </c>
      <c r="D803" s="1" t="s">
        <v>26</v>
      </c>
      <c r="E803" s="1" t="s">
        <v>59</v>
      </c>
      <c r="F803" s="1" t="s">
        <v>82</v>
      </c>
      <c r="G803" s="1" t="s">
        <v>42</v>
      </c>
      <c r="H803" s="1" t="s">
        <v>43</v>
      </c>
      <c r="I803" s="1" t="s">
        <v>100</v>
      </c>
      <c r="J803" s="1">
        <v>3</v>
      </c>
      <c r="K803" s="3">
        <v>10798.82</v>
      </c>
      <c r="L803" s="1">
        <v>0</v>
      </c>
      <c r="M803" s="1" t="s">
        <v>22</v>
      </c>
      <c r="N803" s="10" t="s">
        <v>45</v>
      </c>
    </row>
    <row r="804" spans="1:14" x14ac:dyDescent="0.25">
      <c r="A804" s="9" t="s">
        <v>1596</v>
      </c>
      <c r="B804" s="2">
        <v>45312</v>
      </c>
      <c r="C804" s="1" t="s">
        <v>1597</v>
      </c>
      <c r="D804" s="1" t="s">
        <v>87</v>
      </c>
      <c r="E804" s="1" t="s">
        <v>27</v>
      </c>
      <c r="F804" s="1" t="s">
        <v>82</v>
      </c>
      <c r="G804" s="1" t="s">
        <v>19</v>
      </c>
      <c r="H804" s="1" t="s">
        <v>29</v>
      </c>
      <c r="I804" s="1" t="s">
        <v>135</v>
      </c>
      <c r="J804" s="1">
        <v>6</v>
      </c>
      <c r="K804" s="3">
        <v>9150.7099999999991</v>
      </c>
      <c r="L804" s="1" t="s">
        <v>110</v>
      </c>
      <c r="M804" s="1" t="s">
        <v>22</v>
      </c>
      <c r="N804" s="10" t="s">
        <v>45</v>
      </c>
    </row>
    <row r="805" spans="1:14" x14ac:dyDescent="0.25">
      <c r="A805" s="9" t="s">
        <v>1598</v>
      </c>
      <c r="B805" s="2">
        <v>45094</v>
      </c>
      <c r="C805" s="1" t="s">
        <v>1218</v>
      </c>
      <c r="D805" s="1" t="s">
        <v>67</v>
      </c>
      <c r="E805" s="1" t="s">
        <v>17</v>
      </c>
      <c r="F805" s="1" t="s">
        <v>88</v>
      </c>
      <c r="G805" s="1" t="s">
        <v>19</v>
      </c>
      <c r="H805" s="1" t="s">
        <v>20</v>
      </c>
      <c r="I805" s="1" t="s">
        <v>226</v>
      </c>
      <c r="J805" s="1">
        <v>1</v>
      </c>
      <c r="K805" s="3">
        <v>1717.15</v>
      </c>
      <c r="L805" s="1">
        <v>5</v>
      </c>
      <c r="M805" s="1" t="s">
        <v>69</v>
      </c>
      <c r="N805" s="10" t="s">
        <v>45</v>
      </c>
    </row>
    <row r="806" spans="1:14" x14ac:dyDescent="0.25">
      <c r="A806" s="9" t="s">
        <v>1599</v>
      </c>
      <c r="B806" s="2">
        <v>44982</v>
      </c>
      <c r="C806" s="1" t="s">
        <v>143</v>
      </c>
      <c r="D806" s="1" t="s">
        <v>67</v>
      </c>
      <c r="E806" s="1" t="s">
        <v>59</v>
      </c>
      <c r="F806" s="1" t="s">
        <v>49</v>
      </c>
      <c r="G806" s="1" t="s">
        <v>53</v>
      </c>
      <c r="H806" s="1" t="s">
        <v>54</v>
      </c>
      <c r="I806" s="1" t="s">
        <v>437</v>
      </c>
      <c r="J806" s="1">
        <v>-7</v>
      </c>
      <c r="K806" s="3">
        <v>12994.74</v>
      </c>
      <c r="L806" s="1">
        <v>10</v>
      </c>
      <c r="M806" s="1" t="s">
        <v>63</v>
      </c>
      <c r="N806" s="10" t="s">
        <v>64</v>
      </c>
    </row>
    <row r="807" spans="1:14" x14ac:dyDescent="0.25">
      <c r="A807" s="9" t="s">
        <v>1600</v>
      </c>
      <c r="B807" s="2">
        <v>45056</v>
      </c>
      <c r="C807" s="1" t="s">
        <v>1601</v>
      </c>
      <c r="D807" s="1" t="s">
        <v>147</v>
      </c>
      <c r="E807" s="1" t="s">
        <v>41</v>
      </c>
      <c r="F807" s="1" t="s">
        <v>49</v>
      </c>
      <c r="G807" s="1" t="s">
        <v>42</v>
      </c>
      <c r="H807" s="1" t="s">
        <v>61</v>
      </c>
      <c r="I807" s="1" t="s">
        <v>632</v>
      </c>
      <c r="J807" s="1">
        <v>1</v>
      </c>
      <c r="K807" s="3">
        <v>3052.69</v>
      </c>
      <c r="L807" s="1">
        <v>5</v>
      </c>
      <c r="M807" s="1" t="s">
        <v>69</v>
      </c>
      <c r="N807" s="10" t="s">
        <v>37</v>
      </c>
    </row>
    <row r="808" spans="1:14" x14ac:dyDescent="0.25">
      <c r="A808" s="9" t="s">
        <v>1602</v>
      </c>
      <c r="B808" s="2">
        <v>45296</v>
      </c>
      <c r="C808" s="1" t="s">
        <v>526</v>
      </c>
      <c r="D808" s="1" t="s">
        <v>16</v>
      </c>
      <c r="E808" s="1" t="s">
        <v>59</v>
      </c>
      <c r="F808" s="1" t="s">
        <v>88</v>
      </c>
      <c r="G808" s="1" t="s">
        <v>19</v>
      </c>
      <c r="H808" s="1" t="s">
        <v>29</v>
      </c>
      <c r="I808" s="1" t="s">
        <v>1215</v>
      </c>
      <c r="J808" s="1">
        <v>4</v>
      </c>
      <c r="K808" s="3">
        <v>12830.06</v>
      </c>
      <c r="L808" s="1">
        <v>5</v>
      </c>
      <c r="M808" s="1" t="s">
        <v>36</v>
      </c>
      <c r="N808" s="10" t="s">
        <v>74</v>
      </c>
    </row>
    <row r="809" spans="1:14" x14ac:dyDescent="0.25">
      <c r="A809" s="9" t="s">
        <v>1604</v>
      </c>
      <c r="B809" s="2">
        <v>44928</v>
      </c>
      <c r="C809" s="1" t="s">
        <v>1605</v>
      </c>
      <c r="D809" s="1" t="s">
        <v>192</v>
      </c>
      <c r="E809" s="1" t="s">
        <v>41</v>
      </c>
      <c r="F809" s="1" t="s">
        <v>82</v>
      </c>
      <c r="G809" s="1" t="s">
        <v>19</v>
      </c>
      <c r="H809" s="1" t="s">
        <v>29</v>
      </c>
      <c r="I809" s="1" t="s">
        <v>267</v>
      </c>
      <c r="J809" s="1">
        <v>4</v>
      </c>
      <c r="K809" s="3">
        <v>3016.97</v>
      </c>
      <c r="L809" s="1">
        <v>10</v>
      </c>
      <c r="M809" s="1" t="s">
        <v>22</v>
      </c>
      <c r="N809" s="10" t="s">
        <v>45</v>
      </c>
    </row>
    <row r="810" spans="1:14" x14ac:dyDescent="0.25">
      <c r="A810" s="9" t="s">
        <v>1606</v>
      </c>
      <c r="B810" s="2">
        <v>45087</v>
      </c>
      <c r="C810" s="1" t="s">
        <v>1151</v>
      </c>
      <c r="D810" s="1" t="s">
        <v>33</v>
      </c>
      <c r="E810" s="1" t="s">
        <v>59</v>
      </c>
      <c r="F810" s="1" t="s">
        <v>49</v>
      </c>
      <c r="G810" s="1" t="s">
        <v>19</v>
      </c>
      <c r="H810" s="1" t="s">
        <v>29</v>
      </c>
      <c r="I810" s="1" t="s">
        <v>445</v>
      </c>
      <c r="J810" s="1">
        <v>10</v>
      </c>
      <c r="K810" s="3">
        <v>33028.019999999997</v>
      </c>
      <c r="L810" s="1">
        <v>15</v>
      </c>
      <c r="M810" s="1" t="s">
        <v>63</v>
      </c>
      <c r="N810" s="10" t="s">
        <v>64</v>
      </c>
    </row>
    <row r="811" spans="1:14" x14ac:dyDescent="0.25">
      <c r="A811" s="9" t="s">
        <v>1607</v>
      </c>
      <c r="B811" s="2">
        <v>45047</v>
      </c>
      <c r="C811" s="1" t="s">
        <v>774</v>
      </c>
      <c r="D811" s="1" t="s">
        <v>87</v>
      </c>
      <c r="E811" s="1" t="s">
        <v>59</v>
      </c>
      <c r="F811" s="1" t="s">
        <v>49</v>
      </c>
      <c r="G811" s="1" t="s">
        <v>19</v>
      </c>
      <c r="H811" s="1" t="s">
        <v>20</v>
      </c>
      <c r="I811" s="1" t="s">
        <v>421</v>
      </c>
      <c r="J811" s="1">
        <v>1</v>
      </c>
      <c r="K811" s="3">
        <v>2271.29</v>
      </c>
      <c r="L811" s="1">
        <v>20</v>
      </c>
      <c r="M811" s="1" t="s">
        <v>36</v>
      </c>
      <c r="N811" s="10" t="s">
        <v>64</v>
      </c>
    </row>
    <row r="812" spans="1:14" x14ac:dyDescent="0.25">
      <c r="A812" s="9" t="s">
        <v>1608</v>
      </c>
      <c r="B812" s="2">
        <v>45517</v>
      </c>
      <c r="C812" s="1" t="s">
        <v>1609</v>
      </c>
      <c r="D812" s="1" t="s">
        <v>87</v>
      </c>
      <c r="E812" s="1" t="s">
        <v>72</v>
      </c>
      <c r="F812" s="1" t="s">
        <v>18</v>
      </c>
      <c r="G812" s="1" t="s">
        <v>19</v>
      </c>
      <c r="H812" s="1" t="s">
        <v>29</v>
      </c>
      <c r="I812" s="1" t="s">
        <v>1449</v>
      </c>
      <c r="J812" s="1">
        <v>1</v>
      </c>
      <c r="K812" s="3">
        <v>1063.79</v>
      </c>
      <c r="L812" s="1" t="s">
        <v>110</v>
      </c>
      <c r="M812" s="1" t="s">
        <v>93</v>
      </c>
      <c r="N812" s="10" t="s">
        <v>31</v>
      </c>
    </row>
    <row r="813" spans="1:14" x14ac:dyDescent="0.25">
      <c r="A813" s="9" t="s">
        <v>1610</v>
      </c>
      <c r="B813" s="2">
        <v>45271</v>
      </c>
      <c r="C813" s="1" t="s">
        <v>709</v>
      </c>
      <c r="D813" s="1" t="s">
        <v>40</v>
      </c>
      <c r="E813" s="1" t="s">
        <v>59</v>
      </c>
      <c r="F813" s="1" t="s">
        <v>60</v>
      </c>
      <c r="G813" s="1" t="s">
        <v>19</v>
      </c>
      <c r="H813" s="1" t="s">
        <v>20</v>
      </c>
      <c r="I813" s="1" t="s">
        <v>176</v>
      </c>
      <c r="J813" s="1">
        <v>9</v>
      </c>
      <c r="K813" s="3">
        <v>40230.94</v>
      </c>
      <c r="L813" s="1" t="s">
        <v>110</v>
      </c>
      <c r="M813" s="1" t="s">
        <v>93</v>
      </c>
      <c r="N813" s="10" t="s">
        <v>23</v>
      </c>
    </row>
    <row r="814" spans="1:14" x14ac:dyDescent="0.25">
      <c r="A814" s="9" t="s">
        <v>1611</v>
      </c>
      <c r="B814" s="2">
        <v>45362</v>
      </c>
      <c r="C814" s="1" t="s">
        <v>1612</v>
      </c>
      <c r="D814" s="1" t="s">
        <v>26</v>
      </c>
      <c r="E814" s="1" t="s">
        <v>72</v>
      </c>
      <c r="F814" s="1" t="s">
        <v>18</v>
      </c>
      <c r="G814" s="1" t="s">
        <v>19</v>
      </c>
      <c r="H814" s="1" t="s">
        <v>20</v>
      </c>
      <c r="I814" s="1" t="s">
        <v>130</v>
      </c>
      <c r="J814" s="1">
        <v>4</v>
      </c>
      <c r="K814" s="3">
        <v>3890.01</v>
      </c>
      <c r="L814" s="1">
        <v>15</v>
      </c>
      <c r="M814" s="1" t="s">
        <v>22</v>
      </c>
      <c r="N814" s="10" t="s">
        <v>74</v>
      </c>
    </row>
    <row r="815" spans="1:14" x14ac:dyDescent="0.25">
      <c r="A815" s="9" t="s">
        <v>1613</v>
      </c>
      <c r="B815" s="2">
        <v>45263</v>
      </c>
      <c r="C815" s="1" t="s">
        <v>831</v>
      </c>
      <c r="D815" s="1" t="s">
        <v>436</v>
      </c>
      <c r="E815" s="1" t="s">
        <v>41</v>
      </c>
      <c r="F815" s="1" t="s">
        <v>82</v>
      </c>
      <c r="G815" s="1" t="s">
        <v>19</v>
      </c>
      <c r="H815" s="1" t="s">
        <v>29</v>
      </c>
      <c r="I815" s="1" t="s">
        <v>320</v>
      </c>
      <c r="J815" s="1">
        <v>8</v>
      </c>
      <c r="K815" s="3">
        <v>30354.36</v>
      </c>
      <c r="L815" s="1" t="s">
        <v>110</v>
      </c>
      <c r="M815" s="1" t="s">
        <v>22</v>
      </c>
      <c r="N815" s="10" t="s">
        <v>74</v>
      </c>
    </row>
    <row r="816" spans="1:14" x14ac:dyDescent="0.25">
      <c r="A816" s="9" t="s">
        <v>1614</v>
      </c>
      <c r="B816" s="2">
        <v>45153</v>
      </c>
      <c r="C816" s="1" t="s">
        <v>1615</v>
      </c>
      <c r="D816" s="1" t="s">
        <v>71</v>
      </c>
      <c r="E816" s="1" t="s">
        <v>41</v>
      </c>
      <c r="F816" s="1" t="s">
        <v>28</v>
      </c>
      <c r="G816" s="1" t="s">
        <v>19</v>
      </c>
      <c r="H816" s="1" t="s">
        <v>20</v>
      </c>
      <c r="I816" s="1" t="s">
        <v>127</v>
      </c>
      <c r="J816" s="1">
        <v>8</v>
      </c>
      <c r="K816" s="3">
        <v>15817.85</v>
      </c>
      <c r="L816" s="1">
        <v>20</v>
      </c>
      <c r="M816" s="1" t="s">
        <v>63</v>
      </c>
      <c r="N816" s="10" t="s">
        <v>23</v>
      </c>
    </row>
    <row r="817" spans="1:14" x14ac:dyDescent="0.25">
      <c r="A817" s="9" t="s">
        <v>1617</v>
      </c>
      <c r="B817" s="2">
        <v>45284</v>
      </c>
      <c r="C817" s="1" t="s">
        <v>1618</v>
      </c>
      <c r="D817" s="1" t="s">
        <v>48</v>
      </c>
      <c r="E817" s="1" t="s">
        <v>72</v>
      </c>
      <c r="F817" s="1" t="s">
        <v>49</v>
      </c>
      <c r="G817" s="1" t="s">
        <v>42</v>
      </c>
      <c r="H817" s="1" t="s">
        <v>61</v>
      </c>
      <c r="I817" s="1" t="s">
        <v>62</v>
      </c>
      <c r="J817" s="1">
        <v>2</v>
      </c>
      <c r="K817" s="3">
        <v>5039.99</v>
      </c>
      <c r="L817" s="1">
        <v>20</v>
      </c>
      <c r="M817" s="1" t="s">
        <v>56</v>
      </c>
      <c r="N817" s="10" t="s">
        <v>31</v>
      </c>
    </row>
    <row r="818" spans="1:14" x14ac:dyDescent="0.25">
      <c r="A818" s="9" t="s">
        <v>1619</v>
      </c>
      <c r="B818" s="2">
        <v>45273</v>
      </c>
      <c r="C818" s="1" t="s">
        <v>1620</v>
      </c>
      <c r="D818" s="1" t="s">
        <v>33</v>
      </c>
      <c r="E818" s="1" t="s">
        <v>72</v>
      </c>
      <c r="F818" s="1" t="s">
        <v>88</v>
      </c>
      <c r="G818" s="1" t="s">
        <v>53</v>
      </c>
      <c r="H818" s="1" t="s">
        <v>54</v>
      </c>
      <c r="I818" s="1" t="s">
        <v>121</v>
      </c>
      <c r="J818" s="1">
        <v>6</v>
      </c>
      <c r="K818" s="3">
        <v>15724.83</v>
      </c>
      <c r="L818" s="1">
        <v>0</v>
      </c>
      <c r="M818" s="1" t="s">
        <v>22</v>
      </c>
      <c r="N818" s="10" t="s">
        <v>45</v>
      </c>
    </row>
    <row r="819" spans="1:14" x14ac:dyDescent="0.25">
      <c r="A819" s="9" t="s">
        <v>1621</v>
      </c>
      <c r="B819" s="2">
        <v>45372</v>
      </c>
      <c r="C819" s="1" t="s">
        <v>1422</v>
      </c>
      <c r="D819" s="1" t="s">
        <v>71</v>
      </c>
      <c r="E819" s="1" t="s">
        <v>72</v>
      </c>
      <c r="F819" s="1" t="s">
        <v>82</v>
      </c>
      <c r="G819" s="1" t="s">
        <v>53</v>
      </c>
      <c r="H819" s="1" t="s">
        <v>54</v>
      </c>
      <c r="I819" s="1" t="s">
        <v>437</v>
      </c>
      <c r="J819" s="1">
        <v>1</v>
      </c>
      <c r="K819" s="3">
        <v>2460.08</v>
      </c>
      <c r="L819" s="1" t="s">
        <v>110</v>
      </c>
      <c r="M819" s="1" t="s">
        <v>93</v>
      </c>
      <c r="N819" s="10" t="s">
        <v>45</v>
      </c>
    </row>
    <row r="820" spans="1:14" x14ac:dyDescent="0.25">
      <c r="A820" s="9" t="s">
        <v>1622</v>
      </c>
      <c r="B820" s="2">
        <v>45269</v>
      </c>
      <c r="C820" s="1" t="s">
        <v>1511</v>
      </c>
      <c r="D820" s="1" t="s">
        <v>87</v>
      </c>
      <c r="E820" s="1" t="s">
        <v>17</v>
      </c>
      <c r="F820" s="1" t="s">
        <v>49</v>
      </c>
      <c r="G820" s="1" t="s">
        <v>42</v>
      </c>
      <c r="H820" s="1" t="s">
        <v>61</v>
      </c>
      <c r="I820" s="1" t="s">
        <v>833</v>
      </c>
      <c r="J820" s="1">
        <v>7</v>
      </c>
      <c r="K820" s="3">
        <v>3645.75</v>
      </c>
      <c r="L820" s="1" t="s">
        <v>110</v>
      </c>
      <c r="M820" s="1" t="s">
        <v>22</v>
      </c>
      <c r="N820" s="10" t="s">
        <v>37</v>
      </c>
    </row>
    <row r="821" spans="1:14" x14ac:dyDescent="0.25">
      <c r="A821" s="9" t="s">
        <v>1623</v>
      </c>
      <c r="B821" s="2">
        <v>45219</v>
      </c>
      <c r="C821" s="1" t="s">
        <v>1624</v>
      </c>
      <c r="D821" s="1" t="s">
        <v>81</v>
      </c>
      <c r="E821" s="1" t="s">
        <v>17</v>
      </c>
      <c r="F821" s="1" t="s">
        <v>88</v>
      </c>
      <c r="G821" s="1" t="s">
        <v>19</v>
      </c>
      <c r="H821" s="1" t="s">
        <v>29</v>
      </c>
      <c r="I821" s="1" t="s">
        <v>96</v>
      </c>
      <c r="J821" s="1">
        <v>1</v>
      </c>
      <c r="K821" s="3">
        <v>2380.83</v>
      </c>
      <c r="L821" s="1">
        <v>0</v>
      </c>
      <c r="M821" s="1" t="s">
        <v>63</v>
      </c>
      <c r="N821" s="10" t="s">
        <v>45</v>
      </c>
    </row>
    <row r="822" spans="1:14" x14ac:dyDescent="0.25">
      <c r="A822" s="9" t="s">
        <v>1625</v>
      </c>
      <c r="B822" s="2">
        <v>45271</v>
      </c>
      <c r="C822" s="1" t="s">
        <v>739</v>
      </c>
      <c r="D822" s="1" t="s">
        <v>147</v>
      </c>
      <c r="E822" s="1" t="s">
        <v>34</v>
      </c>
      <c r="F822" s="1" t="s">
        <v>99</v>
      </c>
      <c r="G822" s="1" t="s">
        <v>83</v>
      </c>
      <c r="H822" s="1" t="s">
        <v>43</v>
      </c>
      <c r="I822" s="1" t="s">
        <v>572</v>
      </c>
      <c r="J822" s="1">
        <v>3</v>
      </c>
      <c r="K822" s="3">
        <v>10445.200000000001</v>
      </c>
      <c r="L822" s="1">
        <v>10</v>
      </c>
      <c r="M822" s="1" t="s">
        <v>22</v>
      </c>
      <c r="N822" s="10" t="s">
        <v>37</v>
      </c>
    </row>
    <row r="823" spans="1:14" x14ac:dyDescent="0.25">
      <c r="A823" s="9" t="s">
        <v>1626</v>
      </c>
      <c r="B823" s="2">
        <v>45010</v>
      </c>
      <c r="C823" s="1" t="s">
        <v>1048</v>
      </c>
      <c r="D823" s="1" t="s">
        <v>87</v>
      </c>
      <c r="E823" s="1" t="s">
        <v>72</v>
      </c>
      <c r="F823" s="1" t="s">
        <v>60</v>
      </c>
      <c r="G823" s="1" t="s">
        <v>53</v>
      </c>
      <c r="H823" s="1" t="s">
        <v>54</v>
      </c>
      <c r="I823" s="1" t="s">
        <v>1272</v>
      </c>
      <c r="J823" s="1">
        <v>4</v>
      </c>
      <c r="K823" s="3">
        <v>11003.51</v>
      </c>
      <c r="L823" s="1">
        <v>15</v>
      </c>
      <c r="M823" s="1" t="s">
        <v>22</v>
      </c>
      <c r="N823" s="10" t="s">
        <v>64</v>
      </c>
    </row>
    <row r="824" spans="1:14" x14ac:dyDescent="0.25">
      <c r="A824" s="9" t="s">
        <v>1627</v>
      </c>
      <c r="B824" s="2">
        <v>45394</v>
      </c>
      <c r="C824" s="1" t="s">
        <v>1628</v>
      </c>
      <c r="D824" s="1" t="s">
        <v>161</v>
      </c>
      <c r="E824" s="1" t="s">
        <v>27</v>
      </c>
      <c r="F824" s="1" t="s">
        <v>60</v>
      </c>
      <c r="G824" s="1" t="s">
        <v>19</v>
      </c>
      <c r="H824" s="1" t="s">
        <v>20</v>
      </c>
      <c r="I824" s="1" t="s">
        <v>280</v>
      </c>
      <c r="J824" s="1">
        <v>9</v>
      </c>
      <c r="K824" s="3">
        <v>4845.6099999999997</v>
      </c>
      <c r="L824" s="1">
        <v>5</v>
      </c>
      <c r="M824" s="1" t="s">
        <v>22</v>
      </c>
      <c r="N824" s="10" t="s">
        <v>74</v>
      </c>
    </row>
    <row r="825" spans="1:14" x14ac:dyDescent="0.25">
      <c r="A825" s="9" t="s">
        <v>1629</v>
      </c>
      <c r="B825" s="2">
        <v>44964</v>
      </c>
      <c r="C825" s="1" t="s">
        <v>1021</v>
      </c>
      <c r="D825" s="1" t="s">
        <v>52</v>
      </c>
      <c r="E825" s="1" t="s">
        <v>17</v>
      </c>
      <c r="F825" s="1" t="s">
        <v>28</v>
      </c>
      <c r="G825" s="1" t="s">
        <v>19</v>
      </c>
      <c r="H825" s="1" t="s">
        <v>29</v>
      </c>
      <c r="I825" s="1" t="s">
        <v>515</v>
      </c>
      <c r="J825" s="1">
        <v>9</v>
      </c>
      <c r="K825" s="3">
        <v>27281.13</v>
      </c>
      <c r="L825" s="1">
        <v>20</v>
      </c>
      <c r="M825" s="1" t="s">
        <v>22</v>
      </c>
      <c r="N825" s="10" t="s">
        <v>64</v>
      </c>
    </row>
    <row r="826" spans="1:14" x14ac:dyDescent="0.25">
      <c r="A826" s="9" t="s">
        <v>1630</v>
      </c>
      <c r="B826" s="2">
        <v>45333</v>
      </c>
      <c r="C826" s="1" t="s">
        <v>1631</v>
      </c>
      <c r="D826" s="1" t="s">
        <v>147</v>
      </c>
      <c r="E826" s="1" t="s">
        <v>27</v>
      </c>
      <c r="F826" s="1" t="s">
        <v>28</v>
      </c>
      <c r="G826" s="1" t="s">
        <v>19</v>
      </c>
      <c r="H826" s="1" t="s">
        <v>20</v>
      </c>
      <c r="I826" s="1" t="s">
        <v>176</v>
      </c>
      <c r="J826" s="1">
        <v>7</v>
      </c>
      <c r="K826" s="3">
        <v>31599.15</v>
      </c>
      <c r="L826" s="1">
        <v>20</v>
      </c>
      <c r="M826" s="1" t="s">
        <v>69</v>
      </c>
      <c r="N826" s="10" t="s">
        <v>37</v>
      </c>
    </row>
    <row r="827" spans="1:14" x14ac:dyDescent="0.25">
      <c r="A827" s="9" t="s">
        <v>1632</v>
      </c>
      <c r="B827" s="2">
        <v>45531</v>
      </c>
      <c r="C827" s="1" t="s">
        <v>1633</v>
      </c>
      <c r="D827" s="1" t="s">
        <v>81</v>
      </c>
      <c r="E827" s="1" t="s">
        <v>59</v>
      </c>
      <c r="F827" s="1" t="s">
        <v>18</v>
      </c>
      <c r="G827" s="1" t="s">
        <v>53</v>
      </c>
      <c r="H827" s="1" t="s">
        <v>54</v>
      </c>
      <c r="I827" s="1" t="s">
        <v>479</v>
      </c>
      <c r="J827" s="1">
        <v>4</v>
      </c>
      <c r="K827" s="3">
        <v>10219.030000000001</v>
      </c>
      <c r="L827" s="1">
        <v>5</v>
      </c>
      <c r="M827" s="1" t="s">
        <v>93</v>
      </c>
      <c r="N827" s="10" t="s">
        <v>23</v>
      </c>
    </row>
    <row r="828" spans="1:14" x14ac:dyDescent="0.25">
      <c r="A828" s="9" t="s">
        <v>1634</v>
      </c>
      <c r="B828" s="2">
        <v>45055</v>
      </c>
      <c r="C828" s="1" t="s">
        <v>813</v>
      </c>
      <c r="D828" s="1" t="s">
        <v>147</v>
      </c>
      <c r="E828" s="1" t="s">
        <v>41</v>
      </c>
      <c r="F828" s="1" t="s">
        <v>60</v>
      </c>
      <c r="G828" s="1" t="s">
        <v>19</v>
      </c>
      <c r="H828" s="1" t="s">
        <v>29</v>
      </c>
      <c r="I828" s="1" t="s">
        <v>693</v>
      </c>
      <c r="J828" s="1">
        <v>7</v>
      </c>
      <c r="K828" s="3">
        <v>33360.269999999997</v>
      </c>
      <c r="L828" s="1">
        <v>10</v>
      </c>
      <c r="M828" s="1" t="s">
        <v>69</v>
      </c>
      <c r="N828" s="10" t="s">
        <v>31</v>
      </c>
    </row>
    <row r="829" spans="1:14" x14ac:dyDescent="0.25">
      <c r="A829" s="9" t="s">
        <v>1635</v>
      </c>
      <c r="B829" s="2">
        <v>45407</v>
      </c>
      <c r="C829" s="1" t="s">
        <v>806</v>
      </c>
      <c r="D829" s="1" t="s">
        <v>147</v>
      </c>
      <c r="E829" s="1" t="s">
        <v>41</v>
      </c>
      <c r="F829" s="1" t="s">
        <v>28</v>
      </c>
      <c r="G829" s="1" t="s">
        <v>19</v>
      </c>
      <c r="H829" s="1" t="s">
        <v>20</v>
      </c>
      <c r="I829" s="1" t="s">
        <v>193</v>
      </c>
      <c r="J829" s="1">
        <v>10</v>
      </c>
      <c r="K829" s="3">
        <v>46111.07</v>
      </c>
      <c r="L829" s="1" t="s">
        <v>110</v>
      </c>
      <c r="M829" s="1" t="s">
        <v>36</v>
      </c>
      <c r="N829" s="10" t="s">
        <v>31</v>
      </c>
    </row>
    <row r="830" spans="1:14" x14ac:dyDescent="0.25">
      <c r="A830" s="9" t="s">
        <v>1636</v>
      </c>
      <c r="B830" s="2">
        <v>45068</v>
      </c>
      <c r="C830" s="1" t="s">
        <v>634</v>
      </c>
      <c r="D830" s="1" t="s">
        <v>52</v>
      </c>
      <c r="E830" s="1" t="s">
        <v>41</v>
      </c>
      <c r="F830" s="1" t="s">
        <v>18</v>
      </c>
      <c r="G830" s="1" t="s">
        <v>53</v>
      </c>
      <c r="H830" s="1" t="s">
        <v>54</v>
      </c>
      <c r="I830" s="1" t="s">
        <v>427</v>
      </c>
      <c r="J830" s="1">
        <v>10</v>
      </c>
      <c r="K830" s="3">
        <v>4548.26</v>
      </c>
      <c r="L830" s="1">
        <v>15</v>
      </c>
      <c r="M830" s="1" t="s">
        <v>69</v>
      </c>
      <c r="N830" s="10" t="s">
        <v>64</v>
      </c>
    </row>
    <row r="831" spans="1:14" x14ac:dyDescent="0.25">
      <c r="A831" s="9" t="s">
        <v>1637</v>
      </c>
      <c r="B831" s="2">
        <v>45149</v>
      </c>
      <c r="C831" s="1" t="s">
        <v>781</v>
      </c>
      <c r="D831" s="1" t="s">
        <v>52</v>
      </c>
      <c r="E831" s="1" t="s">
        <v>27</v>
      </c>
      <c r="F831" s="1" t="s">
        <v>99</v>
      </c>
      <c r="G831" s="1" t="s">
        <v>42</v>
      </c>
      <c r="H831" s="1" t="s">
        <v>43</v>
      </c>
      <c r="I831" s="1" t="s">
        <v>329</v>
      </c>
      <c r="J831" s="1">
        <v>5</v>
      </c>
      <c r="K831" s="3">
        <v>20951.169999999998</v>
      </c>
      <c r="L831" s="1">
        <v>10</v>
      </c>
      <c r="M831" s="1" t="s">
        <v>69</v>
      </c>
      <c r="N831" s="10" t="s">
        <v>64</v>
      </c>
    </row>
    <row r="832" spans="1:14" x14ac:dyDescent="0.25">
      <c r="A832" s="9" t="s">
        <v>1638</v>
      </c>
      <c r="B832" s="2">
        <v>45525</v>
      </c>
      <c r="C832" s="1" t="s">
        <v>466</v>
      </c>
      <c r="D832" s="1" t="s">
        <v>81</v>
      </c>
      <c r="E832" s="1" t="s">
        <v>59</v>
      </c>
      <c r="F832" s="1" t="s">
        <v>82</v>
      </c>
      <c r="G832" s="1" t="s">
        <v>19</v>
      </c>
      <c r="H832" s="1" t="s">
        <v>29</v>
      </c>
      <c r="I832" s="1" t="s">
        <v>374</v>
      </c>
      <c r="J832" s="1">
        <v>7</v>
      </c>
      <c r="K832" s="3">
        <v>14215.52</v>
      </c>
      <c r="L832" s="1" t="s">
        <v>110</v>
      </c>
      <c r="M832" s="1" t="s">
        <v>69</v>
      </c>
      <c r="N832" s="10" t="s">
        <v>45</v>
      </c>
    </row>
    <row r="833" spans="1:14" x14ac:dyDescent="0.25">
      <c r="A833" s="9" t="s">
        <v>1639</v>
      </c>
      <c r="B833" s="2">
        <v>45400</v>
      </c>
      <c r="C833" s="1" t="s">
        <v>1640</v>
      </c>
      <c r="D833" s="1" t="s">
        <v>67</v>
      </c>
      <c r="E833" s="1" t="s">
        <v>17</v>
      </c>
      <c r="F833" s="1" t="s">
        <v>60</v>
      </c>
      <c r="G833" s="1" t="s">
        <v>19</v>
      </c>
      <c r="H833" s="1" t="s">
        <v>20</v>
      </c>
      <c r="I833" s="1" t="s">
        <v>179</v>
      </c>
      <c r="J833" s="1">
        <v>8</v>
      </c>
      <c r="K833" s="3">
        <v>31217.89</v>
      </c>
      <c r="L833" s="1">
        <v>20</v>
      </c>
      <c r="M833" s="1" t="s">
        <v>63</v>
      </c>
      <c r="N833" s="10" t="s">
        <v>23</v>
      </c>
    </row>
    <row r="834" spans="1:14" x14ac:dyDescent="0.25">
      <c r="A834" s="9" t="s">
        <v>1641</v>
      </c>
      <c r="B834" s="2">
        <v>45541</v>
      </c>
      <c r="C834" s="1" t="s">
        <v>1379</v>
      </c>
      <c r="D834" s="1" t="s">
        <v>71</v>
      </c>
      <c r="E834" s="1" t="s">
        <v>41</v>
      </c>
      <c r="F834" s="1" t="s">
        <v>18</v>
      </c>
      <c r="G834" s="1" t="s">
        <v>19</v>
      </c>
      <c r="H834" s="1" t="s">
        <v>20</v>
      </c>
      <c r="I834" s="1" t="s">
        <v>801</v>
      </c>
      <c r="J834" s="1">
        <v>2</v>
      </c>
      <c r="K834" s="3">
        <v>6307.89</v>
      </c>
      <c r="L834" s="1">
        <v>5</v>
      </c>
      <c r="M834" s="1" t="s">
        <v>22</v>
      </c>
      <c r="N834" s="10" t="s">
        <v>23</v>
      </c>
    </row>
    <row r="835" spans="1:14" x14ac:dyDescent="0.25">
      <c r="A835" s="9" t="s">
        <v>1642</v>
      </c>
      <c r="B835" s="2">
        <v>44957</v>
      </c>
      <c r="C835" s="1" t="s">
        <v>1169</v>
      </c>
      <c r="D835" s="1" t="s">
        <v>26</v>
      </c>
      <c r="E835" s="1" t="s">
        <v>72</v>
      </c>
      <c r="F835" s="1" t="s">
        <v>60</v>
      </c>
      <c r="G835" s="1" t="s">
        <v>83</v>
      </c>
      <c r="H835" s="1" t="s">
        <v>43</v>
      </c>
      <c r="I835" s="1" t="s">
        <v>566</v>
      </c>
      <c r="J835" s="1">
        <v>4</v>
      </c>
      <c r="K835" s="3">
        <v>6352.97</v>
      </c>
      <c r="L835" s="1" t="s">
        <v>110</v>
      </c>
      <c r="M835" s="1" t="s">
        <v>56</v>
      </c>
      <c r="N835" s="10" t="s">
        <v>74</v>
      </c>
    </row>
    <row r="836" spans="1:14" x14ac:dyDescent="0.25">
      <c r="A836" s="9" t="s">
        <v>1643</v>
      </c>
      <c r="B836" s="2">
        <v>45466</v>
      </c>
      <c r="C836" s="1" t="s">
        <v>1091</v>
      </c>
      <c r="D836" s="1" t="s">
        <v>147</v>
      </c>
      <c r="E836" s="1" t="s">
        <v>59</v>
      </c>
      <c r="F836" s="1" t="s">
        <v>18</v>
      </c>
      <c r="G836" s="1" t="s">
        <v>83</v>
      </c>
      <c r="H836" s="1" t="s">
        <v>43</v>
      </c>
      <c r="I836" s="1" t="s">
        <v>488</v>
      </c>
      <c r="J836" s="1">
        <v>8</v>
      </c>
      <c r="K836" s="3">
        <v>33632.120000000003</v>
      </c>
      <c r="L836" s="1">
        <v>15</v>
      </c>
      <c r="M836" s="1" t="s">
        <v>22</v>
      </c>
      <c r="N836" s="10" t="s">
        <v>74</v>
      </c>
    </row>
    <row r="837" spans="1:14" x14ac:dyDescent="0.25">
      <c r="A837" s="9" t="s">
        <v>1644</v>
      </c>
      <c r="B837" s="2">
        <v>45001</v>
      </c>
      <c r="C837" s="1" t="s">
        <v>1645</v>
      </c>
      <c r="D837" s="1" t="s">
        <v>147</v>
      </c>
      <c r="E837" s="1" t="s">
        <v>59</v>
      </c>
      <c r="F837" s="1" t="s">
        <v>49</v>
      </c>
      <c r="G837" s="1" t="s">
        <v>53</v>
      </c>
      <c r="H837" s="1" t="s">
        <v>54</v>
      </c>
      <c r="I837" s="1" t="s">
        <v>272</v>
      </c>
      <c r="J837" s="1">
        <v>8</v>
      </c>
      <c r="K837" s="3">
        <v>5879.2</v>
      </c>
      <c r="L837" s="1">
        <v>15</v>
      </c>
      <c r="M837" s="1" t="s">
        <v>22</v>
      </c>
      <c r="N837" s="10" t="s">
        <v>74</v>
      </c>
    </row>
    <row r="838" spans="1:14" x14ac:dyDescent="0.25">
      <c r="A838" s="9" t="s">
        <v>1646</v>
      </c>
      <c r="B838" s="2">
        <v>44998</v>
      </c>
      <c r="C838" s="1" t="s">
        <v>1647</v>
      </c>
      <c r="D838" s="1" t="s">
        <v>81</v>
      </c>
      <c r="E838" s="1" t="s">
        <v>27</v>
      </c>
      <c r="F838" s="1" t="s">
        <v>60</v>
      </c>
      <c r="G838" s="1" t="s">
        <v>42</v>
      </c>
      <c r="H838" s="1" t="s">
        <v>43</v>
      </c>
      <c r="I838" s="1" t="s">
        <v>348</v>
      </c>
      <c r="J838" s="1">
        <v>4</v>
      </c>
      <c r="K838" s="3">
        <v>9311.82</v>
      </c>
      <c r="L838" s="1" t="s">
        <v>110</v>
      </c>
      <c r="M838" s="1" t="s">
        <v>56</v>
      </c>
      <c r="N838" s="10" t="s">
        <v>45</v>
      </c>
    </row>
    <row r="839" spans="1:14" x14ac:dyDescent="0.25">
      <c r="A839" s="9" t="s">
        <v>1648</v>
      </c>
      <c r="B839" s="2">
        <v>45573</v>
      </c>
      <c r="C839" s="1" t="s">
        <v>1456</v>
      </c>
      <c r="D839" s="1" t="s">
        <v>40</v>
      </c>
      <c r="E839" s="1" t="s">
        <v>59</v>
      </c>
      <c r="F839" s="1" t="s">
        <v>18</v>
      </c>
      <c r="G839" s="1" t="s">
        <v>53</v>
      </c>
      <c r="H839" s="1" t="s">
        <v>54</v>
      </c>
      <c r="I839" s="1" t="s">
        <v>518</v>
      </c>
      <c r="J839" s="1">
        <v>10</v>
      </c>
      <c r="K839" s="3">
        <v>19943.509999999998</v>
      </c>
      <c r="L839" s="1">
        <v>0</v>
      </c>
      <c r="M839" s="1" t="s">
        <v>63</v>
      </c>
      <c r="N839" s="10" t="s">
        <v>45</v>
      </c>
    </row>
    <row r="840" spans="1:14" x14ac:dyDescent="0.25">
      <c r="A840" s="9" t="s">
        <v>1649</v>
      </c>
      <c r="B840" s="2">
        <v>45208</v>
      </c>
      <c r="C840" s="1" t="s">
        <v>1650</v>
      </c>
      <c r="D840" s="1" t="s">
        <v>26</v>
      </c>
      <c r="E840" s="1" t="s">
        <v>27</v>
      </c>
      <c r="F840" s="1" t="s">
        <v>99</v>
      </c>
      <c r="G840" s="1" t="s">
        <v>42</v>
      </c>
      <c r="H840" s="1" t="s">
        <v>43</v>
      </c>
      <c r="I840" s="1" t="s">
        <v>157</v>
      </c>
      <c r="J840" s="1">
        <v>1</v>
      </c>
      <c r="K840" s="3">
        <v>2500.54</v>
      </c>
      <c r="L840" s="1">
        <v>20</v>
      </c>
      <c r="M840" s="1" t="s">
        <v>69</v>
      </c>
      <c r="N840" s="10" t="s">
        <v>74</v>
      </c>
    </row>
    <row r="841" spans="1:14" x14ac:dyDescent="0.25">
      <c r="A841" s="9" t="s">
        <v>1651</v>
      </c>
      <c r="B841" s="2">
        <v>45485</v>
      </c>
      <c r="C841" s="1" t="s">
        <v>1488</v>
      </c>
      <c r="D841" s="1" t="s">
        <v>16</v>
      </c>
      <c r="E841" s="1" t="s">
        <v>72</v>
      </c>
      <c r="F841" s="1" t="s">
        <v>82</v>
      </c>
      <c r="G841" s="1" t="s">
        <v>19</v>
      </c>
      <c r="H841" s="1" t="s">
        <v>29</v>
      </c>
      <c r="I841" s="1" t="s">
        <v>162</v>
      </c>
      <c r="J841" s="1">
        <v>2</v>
      </c>
      <c r="K841" s="3">
        <v>4708.3100000000004</v>
      </c>
      <c r="L841" s="1">
        <v>5</v>
      </c>
      <c r="M841" s="1" t="s">
        <v>36</v>
      </c>
      <c r="N841" s="10" t="s">
        <v>23</v>
      </c>
    </row>
    <row r="842" spans="1:14" x14ac:dyDescent="0.25">
      <c r="A842" s="9" t="s">
        <v>1652</v>
      </c>
      <c r="B842" s="2">
        <v>45151</v>
      </c>
      <c r="C842" s="1" t="s">
        <v>273</v>
      </c>
      <c r="D842" s="1" t="s">
        <v>147</v>
      </c>
      <c r="E842" s="1" t="s">
        <v>17</v>
      </c>
      <c r="F842" s="1" t="s">
        <v>49</v>
      </c>
      <c r="G842" s="1" t="s">
        <v>53</v>
      </c>
      <c r="H842" s="1" t="s">
        <v>54</v>
      </c>
      <c r="I842" s="1" t="s">
        <v>608</v>
      </c>
      <c r="J842" s="1">
        <v>10</v>
      </c>
      <c r="K842" s="3">
        <v>4350.3500000000004</v>
      </c>
      <c r="L842" s="1" t="s">
        <v>110</v>
      </c>
      <c r="M842" s="1" t="s">
        <v>93</v>
      </c>
      <c r="N842" s="10" t="s">
        <v>31</v>
      </c>
    </row>
    <row r="843" spans="1:14" x14ac:dyDescent="0.25">
      <c r="A843" s="9" t="s">
        <v>1653</v>
      </c>
      <c r="B843" s="2">
        <v>45500</v>
      </c>
      <c r="C843" s="1" t="s">
        <v>612</v>
      </c>
      <c r="D843" s="1" t="s">
        <v>71</v>
      </c>
      <c r="E843" s="1" t="s">
        <v>27</v>
      </c>
      <c r="F843" s="1" t="s">
        <v>82</v>
      </c>
      <c r="G843" s="1" t="s">
        <v>19</v>
      </c>
      <c r="H843" s="1" t="s">
        <v>20</v>
      </c>
      <c r="I843" s="1" t="s">
        <v>179</v>
      </c>
      <c r="J843" s="1">
        <v>5</v>
      </c>
      <c r="K843" s="3">
        <v>3438.77</v>
      </c>
      <c r="L843" s="1" t="s">
        <v>110</v>
      </c>
      <c r="M843" s="1" t="s">
        <v>63</v>
      </c>
      <c r="N843" s="10" t="s">
        <v>31</v>
      </c>
    </row>
    <row r="844" spans="1:14" x14ac:dyDescent="0.25">
      <c r="A844" s="9" t="s">
        <v>1654</v>
      </c>
      <c r="B844" s="2">
        <v>45538</v>
      </c>
      <c r="C844" s="1" t="s">
        <v>1180</v>
      </c>
      <c r="D844" s="1" t="s">
        <v>71</v>
      </c>
      <c r="E844" s="1" t="s">
        <v>17</v>
      </c>
      <c r="F844" s="1" t="s">
        <v>99</v>
      </c>
      <c r="G844" s="1" t="s">
        <v>19</v>
      </c>
      <c r="H844" s="1" t="s">
        <v>29</v>
      </c>
      <c r="I844" s="1" t="s">
        <v>830</v>
      </c>
      <c r="J844" s="1">
        <v>10</v>
      </c>
      <c r="K844" s="3">
        <v>33117.730000000003</v>
      </c>
      <c r="L844" s="1">
        <v>10</v>
      </c>
      <c r="M844" s="1" t="s">
        <v>56</v>
      </c>
      <c r="N844" s="10" t="s">
        <v>37</v>
      </c>
    </row>
    <row r="845" spans="1:14" x14ac:dyDescent="0.25">
      <c r="A845" s="9" t="s">
        <v>1655</v>
      </c>
      <c r="B845" s="2">
        <v>45040</v>
      </c>
      <c r="C845" s="1" t="s">
        <v>718</v>
      </c>
      <c r="D845" s="1" t="s">
        <v>26</v>
      </c>
      <c r="E845" s="1" t="s">
        <v>59</v>
      </c>
      <c r="F845" s="1" t="s">
        <v>28</v>
      </c>
      <c r="G845" s="1" t="s">
        <v>83</v>
      </c>
      <c r="H845" s="1" t="s">
        <v>43</v>
      </c>
      <c r="I845" s="1" t="s">
        <v>336</v>
      </c>
      <c r="J845" s="1">
        <v>10</v>
      </c>
      <c r="K845" s="3">
        <v>20541.47</v>
      </c>
      <c r="L845" s="1" t="s">
        <v>110</v>
      </c>
      <c r="M845" s="1" t="s">
        <v>36</v>
      </c>
      <c r="N845" s="10" t="s">
        <v>64</v>
      </c>
    </row>
    <row r="846" spans="1:14" x14ac:dyDescent="0.25">
      <c r="A846" s="9" t="s">
        <v>1656</v>
      </c>
      <c r="B846" s="2">
        <v>45430</v>
      </c>
      <c r="C846" s="1" t="s">
        <v>1657</v>
      </c>
      <c r="D846" s="1" t="s">
        <v>16</v>
      </c>
      <c r="E846" s="1" t="s">
        <v>34</v>
      </c>
      <c r="F846" s="1" t="s">
        <v>99</v>
      </c>
      <c r="G846" s="1" t="s">
        <v>19</v>
      </c>
      <c r="H846" s="1" t="s">
        <v>20</v>
      </c>
      <c r="I846" s="1" t="s">
        <v>164</v>
      </c>
      <c r="J846" s="1">
        <v>3</v>
      </c>
      <c r="K846" s="3">
        <v>12194.59</v>
      </c>
      <c r="L846" s="1">
        <v>20</v>
      </c>
      <c r="M846" s="1" t="s">
        <v>93</v>
      </c>
      <c r="N846" s="10" t="s">
        <v>31</v>
      </c>
    </row>
    <row r="847" spans="1:14" x14ac:dyDescent="0.25">
      <c r="A847" s="9" t="s">
        <v>1658</v>
      </c>
      <c r="B847" s="2">
        <v>45642</v>
      </c>
      <c r="C847" s="1" t="s">
        <v>661</v>
      </c>
      <c r="D847" s="1" t="s">
        <v>67</v>
      </c>
      <c r="E847" s="1" t="s">
        <v>17</v>
      </c>
      <c r="F847" s="1" t="s">
        <v>28</v>
      </c>
      <c r="G847" s="1" t="s">
        <v>42</v>
      </c>
      <c r="H847" s="1" t="s">
        <v>61</v>
      </c>
      <c r="I847" s="1" t="s">
        <v>106</v>
      </c>
      <c r="J847" s="1">
        <v>10</v>
      </c>
      <c r="K847" s="3">
        <v>23440.89</v>
      </c>
      <c r="L847" s="1">
        <v>5</v>
      </c>
      <c r="M847" s="1" t="s">
        <v>63</v>
      </c>
      <c r="N847" s="10" t="s">
        <v>74</v>
      </c>
    </row>
    <row r="848" spans="1:14" x14ac:dyDescent="0.25">
      <c r="A848" s="9" t="s">
        <v>1659</v>
      </c>
      <c r="B848" s="2">
        <v>45388</v>
      </c>
      <c r="C848" s="1" t="s">
        <v>1660</v>
      </c>
      <c r="D848" s="1" t="s">
        <v>147</v>
      </c>
      <c r="E848" s="1" t="s">
        <v>72</v>
      </c>
      <c r="F848" s="1" t="s">
        <v>49</v>
      </c>
      <c r="G848" s="1" t="s">
        <v>42</v>
      </c>
      <c r="H848" s="1" t="s">
        <v>61</v>
      </c>
      <c r="I848" s="1" t="s">
        <v>62</v>
      </c>
      <c r="J848" s="1">
        <v>3</v>
      </c>
      <c r="K848" s="3">
        <v>14330.89</v>
      </c>
      <c r="L848" s="1">
        <v>15</v>
      </c>
      <c r="M848" s="1" t="s">
        <v>36</v>
      </c>
      <c r="N848" s="10" t="s">
        <v>37</v>
      </c>
    </row>
    <row r="849" spans="1:17" x14ac:dyDescent="0.25">
      <c r="A849" s="9" t="s">
        <v>1661</v>
      </c>
      <c r="B849" s="2">
        <v>45526</v>
      </c>
      <c r="C849" s="1" t="s">
        <v>829</v>
      </c>
      <c r="D849" s="1" t="s">
        <v>67</v>
      </c>
      <c r="E849" s="1" t="s">
        <v>72</v>
      </c>
      <c r="F849" s="1" t="s">
        <v>18</v>
      </c>
      <c r="G849" s="1" t="s">
        <v>53</v>
      </c>
      <c r="H849" s="1" t="s">
        <v>54</v>
      </c>
      <c r="I849" s="1" t="s">
        <v>1053</v>
      </c>
      <c r="J849" s="1">
        <v>6</v>
      </c>
      <c r="K849" s="3">
        <v>14609.91</v>
      </c>
      <c r="L849" s="1" t="s">
        <v>110</v>
      </c>
      <c r="M849" s="1" t="s">
        <v>69</v>
      </c>
      <c r="N849" s="10" t="s">
        <v>74</v>
      </c>
    </row>
    <row r="850" spans="1:17" x14ac:dyDescent="0.25">
      <c r="A850" s="9" t="s">
        <v>1662</v>
      </c>
      <c r="B850" s="2">
        <v>45565</v>
      </c>
      <c r="C850" s="1" t="s">
        <v>1663</v>
      </c>
      <c r="D850" s="1" t="s">
        <v>40</v>
      </c>
      <c r="E850" s="1" t="s">
        <v>27</v>
      </c>
      <c r="F850" s="1" t="s">
        <v>60</v>
      </c>
      <c r="G850" s="1" t="s">
        <v>42</v>
      </c>
      <c r="H850" s="1" t="s">
        <v>61</v>
      </c>
      <c r="I850" s="1" t="s">
        <v>62</v>
      </c>
      <c r="J850" s="1">
        <v>9</v>
      </c>
      <c r="K850" s="3">
        <v>30515.89</v>
      </c>
      <c r="L850" s="1">
        <v>20</v>
      </c>
      <c r="M850" s="1" t="s">
        <v>63</v>
      </c>
      <c r="N850" s="10" t="s">
        <v>37</v>
      </c>
    </row>
    <row r="851" spans="1:17" x14ac:dyDescent="0.25">
      <c r="A851" s="9" t="s">
        <v>1664</v>
      </c>
      <c r="B851" s="2">
        <v>44992</v>
      </c>
      <c r="C851" s="1" t="s">
        <v>1665</v>
      </c>
      <c r="D851" s="1" t="s">
        <v>87</v>
      </c>
      <c r="E851" s="1" t="s">
        <v>27</v>
      </c>
      <c r="F851" s="1" t="s">
        <v>49</v>
      </c>
      <c r="G851" s="1" t="s">
        <v>19</v>
      </c>
      <c r="H851" s="1" t="s">
        <v>20</v>
      </c>
      <c r="I851" s="1" t="s">
        <v>263</v>
      </c>
      <c r="J851" s="1">
        <v>2</v>
      </c>
      <c r="K851" s="3">
        <v>7626.71</v>
      </c>
      <c r="L851" s="1">
        <v>5</v>
      </c>
      <c r="M851" s="1" t="s">
        <v>69</v>
      </c>
      <c r="N851" s="10" t="s">
        <v>31</v>
      </c>
    </row>
    <row r="852" spans="1:17" x14ac:dyDescent="0.25">
      <c r="A852" s="9" t="s">
        <v>1666</v>
      </c>
      <c r="B852" s="2">
        <v>45447</v>
      </c>
      <c r="C852" s="1" t="s">
        <v>172</v>
      </c>
      <c r="D852" s="1" t="s">
        <v>40</v>
      </c>
      <c r="E852" s="1" t="s">
        <v>72</v>
      </c>
      <c r="F852" s="1" t="s">
        <v>60</v>
      </c>
      <c r="G852" s="1" t="s">
        <v>53</v>
      </c>
      <c r="H852" s="1" t="s">
        <v>54</v>
      </c>
      <c r="I852" s="1" t="s">
        <v>132</v>
      </c>
      <c r="J852" s="1">
        <v>5</v>
      </c>
      <c r="K852" s="3">
        <v>19074.91</v>
      </c>
      <c r="L852" s="1">
        <v>20</v>
      </c>
      <c r="M852" s="1" t="s">
        <v>63</v>
      </c>
      <c r="N852" s="10" t="s">
        <v>64</v>
      </c>
    </row>
    <row r="853" spans="1:17" x14ac:dyDescent="0.25">
      <c r="A853" s="9" t="s">
        <v>1667</v>
      </c>
      <c r="B853" s="2">
        <v>45628</v>
      </c>
      <c r="C853" s="1" t="s">
        <v>1668</v>
      </c>
      <c r="D853" s="1" t="s">
        <v>26</v>
      </c>
      <c r="E853" s="1" t="s">
        <v>41</v>
      </c>
      <c r="F853" s="1" t="s">
        <v>18</v>
      </c>
      <c r="G853" s="1" t="s">
        <v>19</v>
      </c>
      <c r="H853" s="1" t="s">
        <v>20</v>
      </c>
      <c r="I853" s="1" t="s">
        <v>193</v>
      </c>
      <c r="J853" s="1">
        <v>3</v>
      </c>
      <c r="K853" s="3">
        <v>8765.27</v>
      </c>
      <c r="L853" s="1">
        <v>5</v>
      </c>
      <c r="M853" s="1" t="s">
        <v>22</v>
      </c>
      <c r="N853" s="10" t="s">
        <v>74</v>
      </c>
      <c r="Q853"/>
    </row>
    <row r="854" spans="1:17" x14ac:dyDescent="0.25">
      <c r="A854" s="9" t="s">
        <v>1670</v>
      </c>
      <c r="B854" s="2">
        <v>45610</v>
      </c>
      <c r="C854" s="1" t="s">
        <v>576</v>
      </c>
      <c r="D854" s="1" t="s">
        <v>52</v>
      </c>
      <c r="E854" s="1" t="s">
        <v>72</v>
      </c>
      <c r="F854" s="1" t="s">
        <v>60</v>
      </c>
      <c r="G854" s="1" t="s">
        <v>53</v>
      </c>
      <c r="H854" s="1" t="s">
        <v>54</v>
      </c>
      <c r="I854" s="1" t="s">
        <v>308</v>
      </c>
      <c r="J854" s="1">
        <v>3</v>
      </c>
      <c r="K854" s="3">
        <v>12197.58</v>
      </c>
      <c r="L854" s="1">
        <v>5</v>
      </c>
      <c r="M854" s="1" t="s">
        <v>63</v>
      </c>
      <c r="N854" s="10" t="s">
        <v>64</v>
      </c>
      <c r="Q854"/>
    </row>
    <row r="855" spans="1:17" x14ac:dyDescent="0.25">
      <c r="A855" s="9" t="s">
        <v>1671</v>
      </c>
      <c r="B855" s="2">
        <v>45060</v>
      </c>
      <c r="C855" s="1" t="s">
        <v>1672</v>
      </c>
      <c r="D855" s="1" t="s">
        <v>399</v>
      </c>
      <c r="E855" s="1" t="s">
        <v>27</v>
      </c>
      <c r="F855" s="1" t="s">
        <v>88</v>
      </c>
      <c r="G855" s="1" t="s">
        <v>42</v>
      </c>
      <c r="H855" s="1" t="s">
        <v>61</v>
      </c>
      <c r="I855" s="1" t="s">
        <v>302</v>
      </c>
      <c r="J855" s="1">
        <v>3</v>
      </c>
      <c r="K855" s="3">
        <v>4744.32</v>
      </c>
      <c r="L855" s="1">
        <v>10</v>
      </c>
      <c r="M855" s="1" t="s">
        <v>63</v>
      </c>
      <c r="N855" s="10" t="s">
        <v>31</v>
      </c>
      <c r="Q855"/>
    </row>
    <row r="856" spans="1:17" x14ac:dyDescent="0.25">
      <c r="A856" s="9" t="s">
        <v>1673</v>
      </c>
      <c r="B856" s="2">
        <v>44955</v>
      </c>
      <c r="C856" s="1" t="s">
        <v>1674</v>
      </c>
      <c r="D856" s="1" t="s">
        <v>147</v>
      </c>
      <c r="E856" s="1" t="s">
        <v>34</v>
      </c>
      <c r="F856" s="1" t="s">
        <v>99</v>
      </c>
      <c r="G856" s="1" t="s">
        <v>83</v>
      </c>
      <c r="H856" s="1" t="s">
        <v>43</v>
      </c>
      <c r="I856" s="1" t="s">
        <v>84</v>
      </c>
      <c r="J856" s="1">
        <v>5</v>
      </c>
      <c r="K856" s="3">
        <v>12325.51</v>
      </c>
      <c r="L856" s="1">
        <v>10</v>
      </c>
      <c r="M856" s="1" t="s">
        <v>63</v>
      </c>
      <c r="N856" s="10" t="s">
        <v>31</v>
      </c>
      <c r="Q856"/>
    </row>
    <row r="857" spans="1:17" x14ac:dyDescent="0.25">
      <c r="A857" s="9" t="s">
        <v>1675</v>
      </c>
      <c r="B857" s="2">
        <v>45034</v>
      </c>
      <c r="C857" s="1" t="s">
        <v>1676</v>
      </c>
      <c r="D857" s="1" t="s">
        <v>40</v>
      </c>
      <c r="E857" s="1" t="s">
        <v>34</v>
      </c>
      <c r="F857" s="1" t="s">
        <v>88</v>
      </c>
      <c r="G857" s="1" t="s">
        <v>42</v>
      </c>
      <c r="H857" s="1" t="s">
        <v>61</v>
      </c>
      <c r="I857" s="1" t="s">
        <v>863</v>
      </c>
      <c r="J857" s="1">
        <v>4</v>
      </c>
      <c r="K857" s="3">
        <v>13144.72</v>
      </c>
      <c r="L857" s="1">
        <v>5</v>
      </c>
      <c r="M857" s="1" t="s">
        <v>93</v>
      </c>
      <c r="N857" s="10" t="s">
        <v>64</v>
      </c>
      <c r="Q857"/>
    </row>
    <row r="858" spans="1:17" x14ac:dyDescent="0.25">
      <c r="A858" s="9" t="s">
        <v>1677</v>
      </c>
      <c r="B858" s="2">
        <v>44996</v>
      </c>
      <c r="C858" s="1" t="s">
        <v>1640</v>
      </c>
      <c r="D858" s="1" t="s">
        <v>147</v>
      </c>
      <c r="E858" s="1" t="s">
        <v>27</v>
      </c>
      <c r="F858" s="1" t="s">
        <v>82</v>
      </c>
      <c r="G858" s="1" t="s">
        <v>83</v>
      </c>
      <c r="H858" s="1" t="s">
        <v>43</v>
      </c>
      <c r="I858" s="1" t="s">
        <v>336</v>
      </c>
      <c r="J858" s="1">
        <v>7</v>
      </c>
      <c r="K858" s="3">
        <v>21585.439999999999</v>
      </c>
      <c r="L858" s="1">
        <v>10</v>
      </c>
      <c r="M858" s="1" t="s">
        <v>93</v>
      </c>
      <c r="N858" s="10" t="s">
        <v>74</v>
      </c>
      <c r="Q858"/>
    </row>
    <row r="859" spans="1:17" x14ac:dyDescent="0.25">
      <c r="A859" s="9" t="s">
        <v>1678</v>
      </c>
      <c r="B859" s="2">
        <v>45011</v>
      </c>
      <c r="C859" s="1" t="s">
        <v>449</v>
      </c>
      <c r="D859" s="1" t="s">
        <v>26</v>
      </c>
      <c r="E859" s="1" t="s">
        <v>27</v>
      </c>
      <c r="F859" s="1" t="s">
        <v>28</v>
      </c>
      <c r="G859" s="1" t="s">
        <v>42</v>
      </c>
      <c r="H859" s="1" t="s">
        <v>43</v>
      </c>
      <c r="I859" s="1" t="s">
        <v>285</v>
      </c>
      <c r="J859" s="1">
        <v>4</v>
      </c>
      <c r="K859" s="3">
        <v>7823.54</v>
      </c>
      <c r="L859" s="1">
        <v>0</v>
      </c>
      <c r="M859" s="1" t="s">
        <v>36</v>
      </c>
      <c r="N859" s="10" t="s">
        <v>45</v>
      </c>
      <c r="Q859"/>
    </row>
    <row r="860" spans="1:17" x14ac:dyDescent="0.25">
      <c r="A860" s="9" t="s">
        <v>1679</v>
      </c>
      <c r="B860" s="2">
        <v>44937</v>
      </c>
      <c r="C860" s="1" t="s">
        <v>1029</v>
      </c>
      <c r="D860" s="1" t="s">
        <v>40</v>
      </c>
      <c r="E860" s="1" t="s">
        <v>34</v>
      </c>
      <c r="F860" s="1" t="s">
        <v>88</v>
      </c>
      <c r="G860" s="1" t="s">
        <v>83</v>
      </c>
      <c r="H860" s="1" t="s">
        <v>43</v>
      </c>
      <c r="I860" s="1" t="s">
        <v>84</v>
      </c>
      <c r="J860" s="1">
        <v>2</v>
      </c>
      <c r="K860" s="3">
        <v>8657.5499999999993</v>
      </c>
      <c r="L860" s="1">
        <v>0</v>
      </c>
      <c r="M860" s="1" t="s">
        <v>93</v>
      </c>
      <c r="N860" s="10" t="s">
        <v>45</v>
      </c>
      <c r="Q860"/>
    </row>
    <row r="861" spans="1:17" x14ac:dyDescent="0.25">
      <c r="A861" s="9" t="s">
        <v>1680</v>
      </c>
      <c r="B861" s="2">
        <v>44972</v>
      </c>
      <c r="C861" s="1" t="s">
        <v>1241</v>
      </c>
      <c r="D861" s="1" t="s">
        <v>399</v>
      </c>
      <c r="E861" s="1" t="s">
        <v>27</v>
      </c>
      <c r="F861" s="1" t="s">
        <v>82</v>
      </c>
      <c r="G861" s="1" t="s">
        <v>19</v>
      </c>
      <c r="H861" s="1" t="s">
        <v>29</v>
      </c>
      <c r="I861" s="1" t="s">
        <v>830</v>
      </c>
      <c r="J861" s="1">
        <v>10</v>
      </c>
      <c r="K861" s="3">
        <v>12044.08</v>
      </c>
      <c r="L861" s="1">
        <v>0</v>
      </c>
      <c r="M861" s="1" t="s">
        <v>36</v>
      </c>
      <c r="N861" s="10" t="s">
        <v>37</v>
      </c>
      <c r="Q861"/>
    </row>
    <row r="862" spans="1:17" x14ac:dyDescent="0.25">
      <c r="A862" s="9" t="s">
        <v>1681</v>
      </c>
      <c r="B862" s="2">
        <v>45006</v>
      </c>
      <c r="C862" s="1" t="s">
        <v>1031</v>
      </c>
      <c r="D862" s="1" t="s">
        <v>71</v>
      </c>
      <c r="E862" s="1" t="s">
        <v>72</v>
      </c>
      <c r="F862" s="1" t="s">
        <v>99</v>
      </c>
      <c r="G862" s="1" t="s">
        <v>53</v>
      </c>
      <c r="H862" s="1" t="s">
        <v>54</v>
      </c>
      <c r="I862" s="1" t="s">
        <v>132</v>
      </c>
      <c r="J862" s="1">
        <v>10</v>
      </c>
      <c r="K862" s="3">
        <v>2975.34</v>
      </c>
      <c r="L862" s="1" t="s">
        <v>110</v>
      </c>
      <c r="M862" s="1" t="s">
        <v>63</v>
      </c>
      <c r="N862" s="10" t="s">
        <v>74</v>
      </c>
      <c r="Q862"/>
    </row>
    <row r="863" spans="1:17" x14ac:dyDescent="0.25">
      <c r="A863" s="9" t="s">
        <v>1682</v>
      </c>
      <c r="B863" s="2">
        <v>44947</v>
      </c>
      <c r="C863" s="1" t="s">
        <v>1683</v>
      </c>
      <c r="D863" s="1" t="s">
        <v>33</v>
      </c>
      <c r="E863" s="1" t="s">
        <v>59</v>
      </c>
      <c r="F863" s="1" t="s">
        <v>60</v>
      </c>
      <c r="G863" s="1" t="s">
        <v>42</v>
      </c>
      <c r="H863" s="1" t="s">
        <v>61</v>
      </c>
      <c r="I863" s="1" t="s">
        <v>234</v>
      </c>
      <c r="J863" s="1">
        <v>3</v>
      </c>
      <c r="K863" s="3">
        <v>10918.62</v>
      </c>
      <c r="L863" s="1" t="s">
        <v>110</v>
      </c>
      <c r="M863" s="1" t="s">
        <v>36</v>
      </c>
      <c r="N863" s="10" t="s">
        <v>74</v>
      </c>
      <c r="Q863"/>
    </row>
    <row r="864" spans="1:17" x14ac:dyDescent="0.25">
      <c r="A864" s="9" t="s">
        <v>1684</v>
      </c>
      <c r="B864" s="2">
        <v>45276</v>
      </c>
      <c r="C864" s="1" t="s">
        <v>1645</v>
      </c>
      <c r="D864" s="1" t="s">
        <v>147</v>
      </c>
      <c r="E864" s="1" t="s">
        <v>17</v>
      </c>
      <c r="F864" s="1" t="s">
        <v>49</v>
      </c>
      <c r="G864" s="1" t="s">
        <v>19</v>
      </c>
      <c r="H864" s="1" t="s">
        <v>29</v>
      </c>
      <c r="I864" s="1" t="s">
        <v>475</v>
      </c>
      <c r="J864" s="1">
        <v>6</v>
      </c>
      <c r="K864" s="3">
        <v>19407.71</v>
      </c>
      <c r="L864" s="1">
        <v>10</v>
      </c>
      <c r="M864" s="1" t="s">
        <v>63</v>
      </c>
      <c r="N864" s="10" t="s">
        <v>45</v>
      </c>
      <c r="Q864"/>
    </row>
    <row r="865" spans="1:17" x14ac:dyDescent="0.25">
      <c r="A865" s="9" t="s">
        <v>1685</v>
      </c>
      <c r="B865" s="2">
        <v>44956</v>
      </c>
      <c r="C865" s="1" t="s">
        <v>1110</v>
      </c>
      <c r="D865" s="1" t="s">
        <v>40</v>
      </c>
      <c r="E865" s="1" t="s">
        <v>59</v>
      </c>
      <c r="F865" s="1" t="s">
        <v>28</v>
      </c>
      <c r="G865" s="1" t="s">
        <v>42</v>
      </c>
      <c r="H865" s="1" t="s">
        <v>43</v>
      </c>
      <c r="I865" s="1" t="s">
        <v>84</v>
      </c>
      <c r="J865" s="1">
        <v>10</v>
      </c>
      <c r="K865" s="3">
        <v>1165.9100000000001</v>
      </c>
      <c r="L865" s="1">
        <v>10</v>
      </c>
      <c r="M865" s="1" t="s">
        <v>63</v>
      </c>
      <c r="N865" s="10" t="s">
        <v>37</v>
      </c>
      <c r="Q865"/>
    </row>
    <row r="866" spans="1:17" x14ac:dyDescent="0.25">
      <c r="A866" s="9" t="s">
        <v>1686</v>
      </c>
      <c r="B866" s="2">
        <v>45224</v>
      </c>
      <c r="C866" s="1" t="s">
        <v>1687</v>
      </c>
      <c r="D866" s="1" t="s">
        <v>147</v>
      </c>
      <c r="E866" s="1" t="s">
        <v>41</v>
      </c>
      <c r="F866" s="1" t="s">
        <v>49</v>
      </c>
      <c r="G866" s="1" t="s">
        <v>83</v>
      </c>
      <c r="H866" s="1" t="s">
        <v>43</v>
      </c>
      <c r="I866" s="1" t="s">
        <v>491</v>
      </c>
      <c r="J866" s="1">
        <v>4</v>
      </c>
      <c r="K866" s="3">
        <v>13068.74</v>
      </c>
      <c r="L866" s="1">
        <v>5</v>
      </c>
      <c r="M866" s="1" t="s">
        <v>56</v>
      </c>
      <c r="N866" s="10" t="s">
        <v>23</v>
      </c>
      <c r="Q866"/>
    </row>
    <row r="867" spans="1:17" x14ac:dyDescent="0.25">
      <c r="A867" s="9" t="s">
        <v>1688</v>
      </c>
      <c r="B867" s="2">
        <v>45621</v>
      </c>
      <c r="C867" s="1" t="s">
        <v>585</v>
      </c>
      <c r="D867" s="1" t="s">
        <v>147</v>
      </c>
      <c r="E867" s="1" t="s">
        <v>41</v>
      </c>
      <c r="F867" s="1" t="s">
        <v>18</v>
      </c>
      <c r="G867" s="1" t="s">
        <v>53</v>
      </c>
      <c r="H867" s="1" t="s">
        <v>54</v>
      </c>
      <c r="I867" s="1" t="s">
        <v>109</v>
      </c>
      <c r="J867" s="1">
        <v>5</v>
      </c>
      <c r="K867" s="3">
        <v>3717.93</v>
      </c>
      <c r="L867" s="1">
        <v>10</v>
      </c>
      <c r="M867" s="1" t="s">
        <v>93</v>
      </c>
      <c r="N867" s="10" t="s">
        <v>74</v>
      </c>
      <c r="Q867"/>
    </row>
    <row r="868" spans="1:17" x14ac:dyDescent="0.25">
      <c r="A868" s="9" t="s">
        <v>1689</v>
      </c>
      <c r="B868" s="2">
        <v>45387</v>
      </c>
      <c r="C868" s="1" t="s">
        <v>819</v>
      </c>
      <c r="D868" s="1" t="s">
        <v>147</v>
      </c>
      <c r="E868" s="1" t="s">
        <v>27</v>
      </c>
      <c r="F868" s="1" t="s">
        <v>99</v>
      </c>
      <c r="G868" s="1" t="s">
        <v>42</v>
      </c>
      <c r="H868" s="1" t="s">
        <v>61</v>
      </c>
      <c r="I868" s="1" t="s">
        <v>217</v>
      </c>
      <c r="J868" s="1">
        <v>3</v>
      </c>
      <c r="K868" s="3">
        <v>3225.25</v>
      </c>
      <c r="L868" s="1" t="s">
        <v>110</v>
      </c>
      <c r="M868" s="1" t="s">
        <v>22</v>
      </c>
      <c r="N868" s="10" t="s">
        <v>37</v>
      </c>
      <c r="Q868"/>
    </row>
    <row r="869" spans="1:17" x14ac:dyDescent="0.25">
      <c r="A869" s="9" t="s">
        <v>1690</v>
      </c>
      <c r="B869" s="2">
        <v>45356</v>
      </c>
      <c r="C869" s="1" t="s">
        <v>673</v>
      </c>
      <c r="D869" s="1" t="s">
        <v>52</v>
      </c>
      <c r="E869" s="1" t="s">
        <v>72</v>
      </c>
      <c r="F869" s="1" t="s">
        <v>88</v>
      </c>
      <c r="G869" s="1" t="s">
        <v>53</v>
      </c>
      <c r="H869" s="1" t="s">
        <v>54</v>
      </c>
      <c r="I869" s="1" t="s">
        <v>121</v>
      </c>
      <c r="J869" s="1">
        <v>6</v>
      </c>
      <c r="K869" s="3">
        <v>23152.95</v>
      </c>
      <c r="L869" s="1" t="s">
        <v>110</v>
      </c>
      <c r="M869" s="1" t="s">
        <v>36</v>
      </c>
      <c r="N869" s="10" t="s">
        <v>74</v>
      </c>
      <c r="Q869"/>
    </row>
    <row r="870" spans="1:17" x14ac:dyDescent="0.25">
      <c r="A870" s="9" t="s">
        <v>1691</v>
      </c>
      <c r="B870" s="2">
        <v>45086</v>
      </c>
      <c r="C870" s="1" t="s">
        <v>960</v>
      </c>
      <c r="D870" s="1" t="s">
        <v>33</v>
      </c>
      <c r="E870" s="1" t="s">
        <v>17</v>
      </c>
      <c r="F870" s="1" t="s">
        <v>60</v>
      </c>
      <c r="G870" s="1" t="s">
        <v>53</v>
      </c>
      <c r="H870" s="1" t="s">
        <v>54</v>
      </c>
      <c r="I870" s="1" t="s">
        <v>308</v>
      </c>
      <c r="J870" s="1">
        <v>10</v>
      </c>
      <c r="K870" s="3">
        <v>26914.77</v>
      </c>
      <c r="L870" s="1">
        <v>15</v>
      </c>
      <c r="M870" s="1" t="s">
        <v>22</v>
      </c>
      <c r="N870" s="10" t="s">
        <v>31</v>
      </c>
      <c r="Q870"/>
    </row>
    <row r="871" spans="1:17" x14ac:dyDescent="0.25">
      <c r="A871" s="9" t="s">
        <v>1692</v>
      </c>
      <c r="B871" s="2">
        <v>45373</v>
      </c>
      <c r="C871" s="1" t="s">
        <v>1288</v>
      </c>
      <c r="D871" s="1" t="s">
        <v>71</v>
      </c>
      <c r="E871" s="1" t="s">
        <v>72</v>
      </c>
      <c r="F871" s="1" t="s">
        <v>99</v>
      </c>
      <c r="G871" s="1" t="s">
        <v>53</v>
      </c>
      <c r="H871" s="1" t="s">
        <v>54</v>
      </c>
      <c r="I871" s="1" t="s">
        <v>1053</v>
      </c>
      <c r="J871" s="1">
        <v>9</v>
      </c>
      <c r="K871" s="3">
        <v>7796.82</v>
      </c>
      <c r="L871" s="1">
        <v>10</v>
      </c>
      <c r="M871" s="1" t="s">
        <v>93</v>
      </c>
      <c r="N871" s="10" t="s">
        <v>74</v>
      </c>
      <c r="Q871"/>
    </row>
    <row r="872" spans="1:17" x14ac:dyDescent="0.25">
      <c r="A872" s="9" t="s">
        <v>1693</v>
      </c>
      <c r="B872" s="2">
        <v>45291</v>
      </c>
      <c r="C872" s="1" t="s">
        <v>1694</v>
      </c>
      <c r="D872" s="1" t="s">
        <v>378</v>
      </c>
      <c r="E872" s="1" t="s">
        <v>17</v>
      </c>
      <c r="F872" s="1" t="s">
        <v>28</v>
      </c>
      <c r="G872" s="1" t="s">
        <v>19</v>
      </c>
      <c r="H872" s="1" t="s">
        <v>29</v>
      </c>
      <c r="I872" s="1" t="s">
        <v>830</v>
      </c>
      <c r="J872" s="1">
        <v>3</v>
      </c>
      <c r="K872" s="3">
        <v>9422.98</v>
      </c>
      <c r="L872" s="1">
        <v>20</v>
      </c>
      <c r="M872" s="1" t="s">
        <v>22</v>
      </c>
      <c r="N872" s="10" t="s">
        <v>45</v>
      </c>
      <c r="Q872"/>
    </row>
    <row r="873" spans="1:17" x14ac:dyDescent="0.25">
      <c r="A873" s="9" t="s">
        <v>1695</v>
      </c>
      <c r="B873" s="2">
        <v>45425</v>
      </c>
      <c r="C873" s="1" t="s">
        <v>172</v>
      </c>
      <c r="D873" s="1" t="s">
        <v>87</v>
      </c>
      <c r="E873" s="1" t="s">
        <v>34</v>
      </c>
      <c r="F873" s="1" t="s">
        <v>60</v>
      </c>
      <c r="G873" s="1" t="s">
        <v>42</v>
      </c>
      <c r="H873" s="1" t="s">
        <v>61</v>
      </c>
      <c r="I873" s="1" t="s">
        <v>587</v>
      </c>
      <c r="J873" s="1">
        <v>4</v>
      </c>
      <c r="K873" s="3">
        <v>8343.52</v>
      </c>
      <c r="L873" s="1">
        <v>20</v>
      </c>
      <c r="M873" s="1" t="s">
        <v>36</v>
      </c>
      <c r="N873" s="10" t="s">
        <v>74</v>
      </c>
      <c r="Q873"/>
    </row>
    <row r="874" spans="1:17" x14ac:dyDescent="0.25">
      <c r="A874" s="9" t="s">
        <v>1696</v>
      </c>
      <c r="B874" s="2">
        <v>45570</v>
      </c>
      <c r="C874" s="1" t="s">
        <v>123</v>
      </c>
      <c r="D874" s="1" t="s">
        <v>52</v>
      </c>
      <c r="E874" s="1" t="s">
        <v>17</v>
      </c>
      <c r="F874" s="1" t="s">
        <v>49</v>
      </c>
      <c r="G874" s="1" t="s">
        <v>19</v>
      </c>
      <c r="H874" s="1" t="s">
        <v>20</v>
      </c>
      <c r="I874" s="1" t="s">
        <v>193</v>
      </c>
      <c r="J874" s="1">
        <v>8</v>
      </c>
      <c r="K874" s="3">
        <v>35300.86</v>
      </c>
      <c r="L874" s="1" t="s">
        <v>110</v>
      </c>
      <c r="M874" s="1" t="s">
        <v>63</v>
      </c>
      <c r="N874" s="10" t="s">
        <v>31</v>
      </c>
      <c r="Q874"/>
    </row>
    <row r="875" spans="1:17" x14ac:dyDescent="0.25">
      <c r="A875" s="9" t="s">
        <v>1698</v>
      </c>
      <c r="B875" s="2">
        <v>45432</v>
      </c>
      <c r="C875" s="1" t="s">
        <v>647</v>
      </c>
      <c r="D875" s="1" t="s">
        <v>33</v>
      </c>
      <c r="E875" s="1" t="s">
        <v>72</v>
      </c>
      <c r="F875" s="1" t="s">
        <v>60</v>
      </c>
      <c r="G875" s="1" t="s">
        <v>83</v>
      </c>
      <c r="H875" s="1" t="s">
        <v>43</v>
      </c>
      <c r="I875" s="1" t="s">
        <v>288</v>
      </c>
      <c r="J875" s="1">
        <v>7</v>
      </c>
      <c r="K875" s="3">
        <v>25827.43</v>
      </c>
      <c r="L875" s="1">
        <v>5</v>
      </c>
      <c r="M875" s="1" t="s">
        <v>63</v>
      </c>
      <c r="N875" s="10" t="s">
        <v>31</v>
      </c>
      <c r="Q875"/>
    </row>
    <row r="876" spans="1:17" x14ac:dyDescent="0.25">
      <c r="A876" s="9" t="s">
        <v>1699</v>
      </c>
      <c r="B876" s="2">
        <v>45231</v>
      </c>
      <c r="C876" s="1" t="s">
        <v>1700</v>
      </c>
      <c r="D876" s="1" t="s">
        <v>147</v>
      </c>
      <c r="E876" s="1" t="s">
        <v>72</v>
      </c>
      <c r="F876" s="1" t="s">
        <v>28</v>
      </c>
      <c r="G876" s="1" t="s">
        <v>19</v>
      </c>
      <c r="H876" s="1" t="s">
        <v>20</v>
      </c>
      <c r="I876" s="1" t="s">
        <v>130</v>
      </c>
      <c r="J876" s="1">
        <v>5</v>
      </c>
      <c r="K876" s="3">
        <v>18896.89</v>
      </c>
      <c r="L876" s="1">
        <v>15</v>
      </c>
      <c r="M876" s="1" t="s">
        <v>69</v>
      </c>
      <c r="N876" s="10" t="s">
        <v>37</v>
      </c>
      <c r="Q876"/>
    </row>
    <row r="877" spans="1:17" x14ac:dyDescent="0.25">
      <c r="A877" s="9" t="s">
        <v>1701</v>
      </c>
      <c r="B877" s="2">
        <v>45144</v>
      </c>
      <c r="C877" s="1" t="s">
        <v>1702</v>
      </c>
      <c r="D877" s="1" t="s">
        <v>40</v>
      </c>
      <c r="E877" s="1" t="s">
        <v>41</v>
      </c>
      <c r="F877" s="1" t="s">
        <v>49</v>
      </c>
      <c r="G877" s="1" t="s">
        <v>83</v>
      </c>
      <c r="H877" s="1" t="s">
        <v>43</v>
      </c>
      <c r="I877" s="1" t="s">
        <v>339</v>
      </c>
      <c r="J877" s="1">
        <v>4</v>
      </c>
      <c r="K877" s="3">
        <v>15133.01</v>
      </c>
      <c r="L877" s="1">
        <v>5</v>
      </c>
      <c r="M877" s="1" t="s">
        <v>36</v>
      </c>
      <c r="N877" s="10" t="s">
        <v>37</v>
      </c>
      <c r="Q877"/>
    </row>
    <row r="878" spans="1:17" x14ac:dyDescent="0.25">
      <c r="A878" s="9" t="s">
        <v>1703</v>
      </c>
      <c r="B878" s="2">
        <v>45084</v>
      </c>
      <c r="C878" s="1" t="s">
        <v>1704</v>
      </c>
      <c r="D878" s="1" t="s">
        <v>147</v>
      </c>
      <c r="E878" s="1" t="s">
        <v>72</v>
      </c>
      <c r="F878" s="1" t="s">
        <v>88</v>
      </c>
      <c r="G878" s="1" t="s">
        <v>83</v>
      </c>
      <c r="H878" s="1" t="s">
        <v>43</v>
      </c>
      <c r="I878" s="1" t="s">
        <v>348</v>
      </c>
      <c r="J878" s="1">
        <v>10</v>
      </c>
      <c r="K878" s="3">
        <v>3914.79</v>
      </c>
      <c r="L878" s="1">
        <v>15</v>
      </c>
      <c r="M878" s="1" t="s">
        <v>56</v>
      </c>
      <c r="N878" s="10" t="s">
        <v>74</v>
      </c>
      <c r="Q878"/>
    </row>
    <row r="879" spans="1:17" x14ac:dyDescent="0.25">
      <c r="A879" s="9" t="s">
        <v>1705</v>
      </c>
      <c r="B879" s="2">
        <v>45415</v>
      </c>
      <c r="C879" s="1" t="s">
        <v>1706</v>
      </c>
      <c r="D879" s="1" t="s">
        <v>52</v>
      </c>
      <c r="E879" s="1" t="s">
        <v>72</v>
      </c>
      <c r="F879" s="1" t="s">
        <v>28</v>
      </c>
      <c r="G879" s="1" t="s">
        <v>53</v>
      </c>
      <c r="H879" s="1" t="s">
        <v>54</v>
      </c>
      <c r="I879" s="1" t="s">
        <v>236</v>
      </c>
      <c r="J879" s="1">
        <v>6</v>
      </c>
      <c r="K879" s="3">
        <v>662.29</v>
      </c>
      <c r="L879" s="1" t="s">
        <v>110</v>
      </c>
      <c r="M879" s="1" t="s">
        <v>36</v>
      </c>
      <c r="N879" s="10" t="s">
        <v>74</v>
      </c>
      <c r="Q879"/>
    </row>
    <row r="880" spans="1:17" x14ac:dyDescent="0.25">
      <c r="A880" s="9" t="s">
        <v>1707</v>
      </c>
      <c r="B880" s="2">
        <v>45656</v>
      </c>
      <c r="C880" s="1" t="s">
        <v>1394</v>
      </c>
      <c r="D880" s="1" t="s">
        <v>52</v>
      </c>
      <c r="E880" s="1" t="s">
        <v>41</v>
      </c>
      <c r="F880" s="1" t="s">
        <v>18</v>
      </c>
      <c r="G880" s="1" t="s">
        <v>53</v>
      </c>
      <c r="H880" s="1" t="s">
        <v>54</v>
      </c>
      <c r="I880" s="1" t="s">
        <v>479</v>
      </c>
      <c r="J880" s="1">
        <v>4</v>
      </c>
      <c r="K880" s="3">
        <v>1841.2</v>
      </c>
      <c r="L880" s="1" t="s">
        <v>110</v>
      </c>
      <c r="M880" s="1" t="s">
        <v>63</v>
      </c>
      <c r="N880" s="10" t="s">
        <v>74</v>
      </c>
      <c r="Q880"/>
    </row>
    <row r="881" spans="1:17" x14ac:dyDescent="0.25">
      <c r="A881" s="9" t="s">
        <v>1708</v>
      </c>
      <c r="B881" s="2">
        <v>45178</v>
      </c>
      <c r="C881" s="1" t="s">
        <v>1709</v>
      </c>
      <c r="D881" s="1" t="s">
        <v>40</v>
      </c>
      <c r="E881" s="1" t="s">
        <v>72</v>
      </c>
      <c r="F881" s="1" t="s">
        <v>18</v>
      </c>
      <c r="G881" s="1" t="s">
        <v>83</v>
      </c>
      <c r="H881" s="1" t="s">
        <v>43</v>
      </c>
      <c r="I881" s="1" t="s">
        <v>491</v>
      </c>
      <c r="J881" s="1">
        <v>8</v>
      </c>
      <c r="K881" s="3">
        <v>34792.17</v>
      </c>
      <c r="L881" s="1">
        <v>5</v>
      </c>
      <c r="M881" s="1" t="s">
        <v>56</v>
      </c>
      <c r="N881" s="10" t="s">
        <v>31</v>
      </c>
      <c r="Q881"/>
    </row>
    <row r="882" spans="1:17" x14ac:dyDescent="0.25">
      <c r="A882" s="9" t="s">
        <v>1710</v>
      </c>
      <c r="B882" s="2">
        <v>45082</v>
      </c>
      <c r="C882" s="1" t="s">
        <v>1711</v>
      </c>
      <c r="D882" s="1" t="s">
        <v>87</v>
      </c>
      <c r="E882" s="1" t="s">
        <v>72</v>
      </c>
      <c r="F882" s="1" t="s">
        <v>28</v>
      </c>
      <c r="G882" s="1" t="s">
        <v>19</v>
      </c>
      <c r="H882" s="1" t="s">
        <v>20</v>
      </c>
      <c r="I882" s="1" t="s">
        <v>138</v>
      </c>
      <c r="J882" s="1">
        <v>4</v>
      </c>
      <c r="K882" s="3">
        <v>1029.17</v>
      </c>
      <c r="L882" s="1">
        <v>5</v>
      </c>
      <c r="M882" s="1" t="s">
        <v>22</v>
      </c>
      <c r="N882" s="10" t="s">
        <v>23</v>
      </c>
      <c r="Q882"/>
    </row>
    <row r="883" spans="1:17" x14ac:dyDescent="0.25">
      <c r="A883" s="9" t="s">
        <v>1712</v>
      </c>
      <c r="B883" s="2">
        <v>45351</v>
      </c>
      <c r="C883" s="1" t="s">
        <v>1713</v>
      </c>
      <c r="D883" s="1" t="s">
        <v>33</v>
      </c>
      <c r="E883" s="1" t="s">
        <v>17</v>
      </c>
      <c r="F883" s="1" t="s">
        <v>82</v>
      </c>
      <c r="G883" s="1" t="s">
        <v>19</v>
      </c>
      <c r="H883" s="1" t="s">
        <v>29</v>
      </c>
      <c r="I883" s="1" t="s">
        <v>385</v>
      </c>
      <c r="J883" s="1">
        <v>7</v>
      </c>
      <c r="K883" s="3">
        <v>24020.23</v>
      </c>
      <c r="L883" s="1" t="s">
        <v>110</v>
      </c>
      <c r="M883" s="1" t="s">
        <v>56</v>
      </c>
      <c r="N883" s="10" t="s">
        <v>37</v>
      </c>
      <c r="Q883"/>
    </row>
    <row r="884" spans="1:17" x14ac:dyDescent="0.25">
      <c r="A884" s="9" t="s">
        <v>1714</v>
      </c>
      <c r="B884" s="2">
        <v>45366</v>
      </c>
      <c r="C884" s="1" t="s">
        <v>1715</v>
      </c>
      <c r="D884" s="1" t="s">
        <v>71</v>
      </c>
      <c r="E884" s="1" t="s">
        <v>27</v>
      </c>
      <c r="F884" s="1" t="s">
        <v>88</v>
      </c>
      <c r="G884" s="1" t="s">
        <v>19</v>
      </c>
      <c r="H884" s="1" t="s">
        <v>29</v>
      </c>
      <c r="I884" s="1" t="s">
        <v>830</v>
      </c>
      <c r="J884" s="1">
        <v>7</v>
      </c>
      <c r="K884" s="3">
        <v>5148.1000000000004</v>
      </c>
      <c r="L884" s="1" t="s">
        <v>110</v>
      </c>
      <c r="M884" s="1" t="s">
        <v>63</v>
      </c>
      <c r="N884" s="10" t="s">
        <v>37</v>
      </c>
      <c r="Q884"/>
    </row>
    <row r="885" spans="1:17" x14ac:dyDescent="0.25">
      <c r="A885" s="9" t="s">
        <v>1716</v>
      </c>
      <c r="B885" s="2">
        <v>45147</v>
      </c>
      <c r="C885" s="1" t="s">
        <v>359</v>
      </c>
      <c r="D885" s="1" t="s">
        <v>52</v>
      </c>
      <c r="E885" s="1" t="s">
        <v>59</v>
      </c>
      <c r="F885" s="1" t="s">
        <v>82</v>
      </c>
      <c r="G885" s="1" t="s">
        <v>19</v>
      </c>
      <c r="H885" s="1" t="s">
        <v>29</v>
      </c>
      <c r="I885" s="1" t="s">
        <v>424</v>
      </c>
      <c r="J885" s="1">
        <v>9</v>
      </c>
      <c r="K885" s="3">
        <v>21361.67</v>
      </c>
      <c r="L885" s="1">
        <v>5</v>
      </c>
      <c r="M885" s="1" t="s">
        <v>93</v>
      </c>
      <c r="N885" s="10" t="s">
        <v>45</v>
      </c>
      <c r="Q885"/>
    </row>
    <row r="886" spans="1:17" x14ac:dyDescent="0.25">
      <c r="A886" s="9" t="s">
        <v>1717</v>
      </c>
      <c r="B886" s="2">
        <v>45568</v>
      </c>
      <c r="C886" s="1" t="s">
        <v>1212</v>
      </c>
      <c r="D886" s="1" t="s">
        <v>147</v>
      </c>
      <c r="E886" s="1" t="s">
        <v>34</v>
      </c>
      <c r="F886" s="1" t="s">
        <v>49</v>
      </c>
      <c r="G886" s="1" t="s">
        <v>53</v>
      </c>
      <c r="H886" s="1" t="s">
        <v>54</v>
      </c>
      <c r="I886" s="1" t="s">
        <v>639</v>
      </c>
      <c r="J886" s="1">
        <v>5</v>
      </c>
      <c r="K886" s="3">
        <v>23281.71</v>
      </c>
      <c r="L886" s="1">
        <v>5</v>
      </c>
      <c r="M886" s="1" t="s">
        <v>69</v>
      </c>
      <c r="N886" s="10" t="s">
        <v>45</v>
      </c>
      <c r="Q886"/>
    </row>
    <row r="887" spans="1:17" x14ac:dyDescent="0.25">
      <c r="A887" s="9" t="s">
        <v>1718</v>
      </c>
      <c r="B887" s="2">
        <v>45325</v>
      </c>
      <c r="C887" s="1" t="s">
        <v>1208</v>
      </c>
      <c r="D887" s="1" t="s">
        <v>33</v>
      </c>
      <c r="E887" s="1" t="s">
        <v>41</v>
      </c>
      <c r="F887" s="1" t="s">
        <v>82</v>
      </c>
      <c r="G887" s="1" t="s">
        <v>19</v>
      </c>
      <c r="H887" s="1" t="s">
        <v>29</v>
      </c>
      <c r="I887" s="1" t="s">
        <v>635</v>
      </c>
      <c r="J887" s="1">
        <v>9</v>
      </c>
      <c r="K887" s="3">
        <v>44659.96</v>
      </c>
      <c r="L887" s="1">
        <v>10</v>
      </c>
      <c r="M887" s="1" t="s">
        <v>22</v>
      </c>
      <c r="N887" s="10" t="s">
        <v>74</v>
      </c>
      <c r="Q887"/>
    </row>
    <row r="888" spans="1:17" x14ac:dyDescent="0.25">
      <c r="A888" s="9" t="s">
        <v>1719</v>
      </c>
      <c r="B888" s="2">
        <v>45423</v>
      </c>
      <c r="C888" s="1" t="s">
        <v>1601</v>
      </c>
      <c r="D888" s="1" t="s">
        <v>71</v>
      </c>
      <c r="E888" s="1" t="s">
        <v>27</v>
      </c>
      <c r="F888" s="1" t="s">
        <v>82</v>
      </c>
      <c r="G888" s="1" t="s">
        <v>42</v>
      </c>
      <c r="H888" s="1" t="s">
        <v>61</v>
      </c>
      <c r="I888" s="1" t="s">
        <v>833</v>
      </c>
      <c r="J888" s="1">
        <v>4</v>
      </c>
      <c r="K888" s="3">
        <v>14266.6</v>
      </c>
      <c r="L888" s="1">
        <v>15</v>
      </c>
      <c r="M888" s="1" t="s">
        <v>69</v>
      </c>
      <c r="N888" s="10" t="s">
        <v>45</v>
      </c>
      <c r="Q888"/>
    </row>
    <row r="889" spans="1:17" x14ac:dyDescent="0.25">
      <c r="A889" s="9" t="s">
        <v>1720</v>
      </c>
      <c r="B889" s="2">
        <v>45107</v>
      </c>
      <c r="C889" s="1" t="s">
        <v>1721</v>
      </c>
      <c r="D889" s="1" t="s">
        <v>71</v>
      </c>
      <c r="E889" s="1" t="s">
        <v>41</v>
      </c>
      <c r="F889" s="1" t="s">
        <v>49</v>
      </c>
      <c r="G889" s="1" t="s">
        <v>42</v>
      </c>
      <c r="H889" s="1" t="s">
        <v>61</v>
      </c>
      <c r="I889" s="1" t="s">
        <v>1096</v>
      </c>
      <c r="J889" s="1">
        <v>10</v>
      </c>
      <c r="K889" s="3">
        <v>19717.11</v>
      </c>
      <c r="L889" s="1">
        <v>15</v>
      </c>
      <c r="M889" s="1" t="s">
        <v>36</v>
      </c>
      <c r="N889" s="10" t="s">
        <v>74</v>
      </c>
      <c r="Q889"/>
    </row>
    <row r="890" spans="1:17" x14ac:dyDescent="0.25">
      <c r="A890" s="9" t="s">
        <v>1722</v>
      </c>
      <c r="B890" s="2">
        <v>45483</v>
      </c>
      <c r="C890" s="1" t="s">
        <v>1085</v>
      </c>
      <c r="D890" s="1" t="s">
        <v>71</v>
      </c>
      <c r="E890" s="1" t="s">
        <v>27</v>
      </c>
      <c r="F890" s="1" t="s">
        <v>18</v>
      </c>
      <c r="G890" s="1" t="s">
        <v>19</v>
      </c>
      <c r="H890" s="1" t="s">
        <v>20</v>
      </c>
      <c r="I890" s="1" t="s">
        <v>1234</v>
      </c>
      <c r="J890" s="1">
        <v>5</v>
      </c>
      <c r="K890" s="3">
        <v>6368.26</v>
      </c>
      <c r="L890" s="1">
        <v>5</v>
      </c>
      <c r="M890" s="1" t="s">
        <v>69</v>
      </c>
      <c r="N890" s="10" t="s">
        <v>37</v>
      </c>
      <c r="Q890"/>
    </row>
    <row r="891" spans="1:17" x14ac:dyDescent="0.25">
      <c r="A891" s="9" t="s">
        <v>1723</v>
      </c>
      <c r="B891" s="2">
        <v>45087</v>
      </c>
      <c r="C891" s="1" t="s">
        <v>1422</v>
      </c>
      <c r="D891" s="1" t="s">
        <v>67</v>
      </c>
      <c r="E891" s="1" t="s">
        <v>59</v>
      </c>
      <c r="F891" s="1" t="s">
        <v>60</v>
      </c>
      <c r="G891" s="1" t="s">
        <v>83</v>
      </c>
      <c r="H891" s="1" t="s">
        <v>43</v>
      </c>
      <c r="I891" s="1" t="s">
        <v>491</v>
      </c>
      <c r="J891" s="1">
        <v>5</v>
      </c>
      <c r="K891" s="3">
        <v>15328.84</v>
      </c>
      <c r="L891" s="1">
        <v>20</v>
      </c>
      <c r="M891" s="1" t="s">
        <v>36</v>
      </c>
      <c r="N891" s="10" t="s">
        <v>45</v>
      </c>
      <c r="Q891"/>
    </row>
    <row r="892" spans="1:17" x14ac:dyDescent="0.25">
      <c r="A892" s="9" t="s">
        <v>1724</v>
      </c>
      <c r="B892" s="2">
        <v>45543</v>
      </c>
      <c r="C892" s="1" t="s">
        <v>912</v>
      </c>
      <c r="D892" s="1" t="s">
        <v>81</v>
      </c>
      <c r="E892" s="1" t="s">
        <v>72</v>
      </c>
      <c r="F892" s="1" t="s">
        <v>49</v>
      </c>
      <c r="G892" s="1" t="s">
        <v>42</v>
      </c>
      <c r="H892" s="1" t="s">
        <v>61</v>
      </c>
      <c r="I892" s="1" t="s">
        <v>62</v>
      </c>
      <c r="J892" s="1">
        <v>5</v>
      </c>
      <c r="K892" s="3">
        <v>20862.349999999999</v>
      </c>
      <c r="L892" s="1">
        <v>10</v>
      </c>
      <c r="M892" s="1" t="s">
        <v>63</v>
      </c>
      <c r="N892" s="10" t="s">
        <v>31</v>
      </c>
      <c r="Q892"/>
    </row>
    <row r="893" spans="1:17" x14ac:dyDescent="0.25">
      <c r="A893" s="9" t="s">
        <v>1725</v>
      </c>
      <c r="B893" s="2">
        <v>45138</v>
      </c>
      <c r="C893" s="1" t="s">
        <v>915</v>
      </c>
      <c r="D893" s="1" t="s">
        <v>81</v>
      </c>
      <c r="E893" s="1" t="s">
        <v>59</v>
      </c>
      <c r="F893" s="1" t="s">
        <v>18</v>
      </c>
      <c r="G893" s="1" t="s">
        <v>53</v>
      </c>
      <c r="H893" s="1" t="s">
        <v>54</v>
      </c>
      <c r="I893" s="1" t="s">
        <v>413</v>
      </c>
      <c r="J893" s="1">
        <v>10</v>
      </c>
      <c r="K893" s="3">
        <v>8042.45</v>
      </c>
      <c r="L893" s="1">
        <v>15</v>
      </c>
      <c r="M893" s="1" t="s">
        <v>69</v>
      </c>
      <c r="N893" s="10" t="s">
        <v>74</v>
      </c>
      <c r="Q893"/>
    </row>
    <row r="894" spans="1:17" x14ac:dyDescent="0.25">
      <c r="A894" s="9" t="s">
        <v>1726</v>
      </c>
      <c r="B894" s="2">
        <v>45383</v>
      </c>
      <c r="C894" s="1" t="s">
        <v>1727</v>
      </c>
      <c r="D894" s="1" t="s">
        <v>40</v>
      </c>
      <c r="E894" s="1" t="s">
        <v>72</v>
      </c>
      <c r="F894" s="1" t="s">
        <v>18</v>
      </c>
      <c r="G894" s="1" t="s">
        <v>42</v>
      </c>
      <c r="H894" s="1" t="s">
        <v>43</v>
      </c>
      <c r="I894" s="1" t="s">
        <v>336</v>
      </c>
      <c r="J894" s="1">
        <v>3</v>
      </c>
      <c r="K894" s="3">
        <v>1333.08</v>
      </c>
      <c r="L894" s="1" t="s">
        <v>110</v>
      </c>
      <c r="M894" s="1" t="s">
        <v>22</v>
      </c>
      <c r="N894" s="10" t="s">
        <v>45</v>
      </c>
      <c r="Q894"/>
    </row>
    <row r="895" spans="1:17" x14ac:dyDescent="0.25">
      <c r="A895" s="9" t="s">
        <v>1728</v>
      </c>
      <c r="B895" s="2">
        <v>45077</v>
      </c>
      <c r="C895" s="1" t="s">
        <v>1729</v>
      </c>
      <c r="D895" s="1" t="s">
        <v>71</v>
      </c>
      <c r="E895" s="1" t="s">
        <v>41</v>
      </c>
      <c r="F895" s="1" t="s">
        <v>82</v>
      </c>
      <c r="G895" s="1" t="s">
        <v>53</v>
      </c>
      <c r="H895" s="1" t="s">
        <v>54</v>
      </c>
      <c r="I895" s="1" t="s">
        <v>1334</v>
      </c>
      <c r="J895" s="1">
        <v>8</v>
      </c>
      <c r="K895" s="3">
        <v>28507.95</v>
      </c>
      <c r="L895" s="1">
        <v>5</v>
      </c>
      <c r="M895" s="1" t="s">
        <v>56</v>
      </c>
      <c r="N895" s="10" t="s">
        <v>37</v>
      </c>
      <c r="Q895"/>
    </row>
    <row r="896" spans="1:17" x14ac:dyDescent="0.25">
      <c r="A896" s="9" t="s">
        <v>1730</v>
      </c>
      <c r="B896" s="2">
        <v>45648</v>
      </c>
      <c r="C896" s="1" t="s">
        <v>354</v>
      </c>
      <c r="D896" s="1" t="s">
        <v>16</v>
      </c>
      <c r="E896" s="1" t="s">
        <v>59</v>
      </c>
      <c r="F896" s="1" t="s">
        <v>88</v>
      </c>
      <c r="G896" s="1" t="s">
        <v>83</v>
      </c>
      <c r="H896" s="1" t="s">
        <v>43</v>
      </c>
      <c r="I896" s="1" t="s">
        <v>380</v>
      </c>
      <c r="J896" s="1">
        <v>6</v>
      </c>
      <c r="K896" s="3">
        <v>6852.73</v>
      </c>
      <c r="L896" s="1">
        <v>5</v>
      </c>
      <c r="M896" s="1" t="s">
        <v>69</v>
      </c>
      <c r="N896" s="10" t="s">
        <v>23</v>
      </c>
      <c r="Q896"/>
    </row>
    <row r="897" spans="1:17" x14ac:dyDescent="0.25">
      <c r="A897" s="9" t="s">
        <v>1731</v>
      </c>
      <c r="B897" s="2">
        <v>45180</v>
      </c>
      <c r="C897" s="1" t="s">
        <v>1286</v>
      </c>
      <c r="D897" s="1" t="s">
        <v>147</v>
      </c>
      <c r="E897" s="1" t="s">
        <v>41</v>
      </c>
      <c r="F897" s="1" t="s">
        <v>60</v>
      </c>
      <c r="G897" s="1" t="s">
        <v>19</v>
      </c>
      <c r="H897" s="1" t="s">
        <v>20</v>
      </c>
      <c r="I897" s="1" t="s">
        <v>226</v>
      </c>
      <c r="J897" s="1">
        <v>7</v>
      </c>
      <c r="K897" s="3">
        <v>32432.28</v>
      </c>
      <c r="L897" s="1">
        <v>10</v>
      </c>
      <c r="M897" s="1" t="s">
        <v>69</v>
      </c>
      <c r="N897" s="10" t="s">
        <v>45</v>
      </c>
      <c r="Q897"/>
    </row>
    <row r="898" spans="1:17" x14ac:dyDescent="0.25">
      <c r="A898" s="9" t="s">
        <v>1732</v>
      </c>
      <c r="B898" s="2">
        <v>45043</v>
      </c>
      <c r="C898" s="1" t="s">
        <v>722</v>
      </c>
      <c r="D898" s="1" t="s">
        <v>33</v>
      </c>
      <c r="E898" s="1" t="s">
        <v>59</v>
      </c>
      <c r="F898" s="1" t="s">
        <v>99</v>
      </c>
      <c r="G898" s="1" t="s">
        <v>53</v>
      </c>
      <c r="H898" s="1" t="s">
        <v>54</v>
      </c>
      <c r="I898" s="1" t="s">
        <v>413</v>
      </c>
      <c r="J898" s="1">
        <v>2</v>
      </c>
      <c r="K898" s="3">
        <v>6377.09</v>
      </c>
      <c r="L898" s="1">
        <v>15</v>
      </c>
      <c r="M898" s="1" t="s">
        <v>22</v>
      </c>
      <c r="N898" s="10" t="s">
        <v>45</v>
      </c>
      <c r="Q898"/>
    </row>
    <row r="899" spans="1:17" x14ac:dyDescent="0.25">
      <c r="A899" s="9" t="s">
        <v>1733</v>
      </c>
      <c r="B899" s="2">
        <v>45547</v>
      </c>
      <c r="C899" s="1" t="s">
        <v>332</v>
      </c>
      <c r="D899" s="1" t="s">
        <v>71</v>
      </c>
      <c r="E899" s="1" t="s">
        <v>17</v>
      </c>
      <c r="F899" s="1" t="s">
        <v>18</v>
      </c>
      <c r="G899" s="1" t="s">
        <v>19</v>
      </c>
      <c r="H899" s="1" t="s">
        <v>20</v>
      </c>
      <c r="I899" s="1" t="s">
        <v>239</v>
      </c>
      <c r="J899" s="1">
        <v>6</v>
      </c>
      <c r="K899" s="3">
        <v>8999.5</v>
      </c>
      <c r="L899" s="1">
        <v>20</v>
      </c>
      <c r="M899" s="1" t="s">
        <v>36</v>
      </c>
      <c r="N899" s="10" t="s">
        <v>74</v>
      </c>
      <c r="Q899"/>
    </row>
    <row r="900" spans="1:17" x14ac:dyDescent="0.25">
      <c r="A900" s="9" t="s">
        <v>1734</v>
      </c>
      <c r="B900" s="2">
        <v>45048</v>
      </c>
      <c r="C900" s="1" t="s">
        <v>1735</v>
      </c>
      <c r="D900" s="1" t="s">
        <v>436</v>
      </c>
      <c r="E900" s="1" t="s">
        <v>34</v>
      </c>
      <c r="F900" s="1" t="s">
        <v>60</v>
      </c>
      <c r="G900" s="1" t="s">
        <v>19</v>
      </c>
      <c r="H900" s="1" t="s">
        <v>20</v>
      </c>
      <c r="I900" s="1" t="s">
        <v>731</v>
      </c>
      <c r="J900" s="1">
        <v>5</v>
      </c>
      <c r="K900" s="3">
        <v>22979.11</v>
      </c>
      <c r="L900" s="1">
        <v>5</v>
      </c>
      <c r="M900" s="1" t="s">
        <v>93</v>
      </c>
      <c r="N900" s="10" t="s">
        <v>45</v>
      </c>
      <c r="Q900"/>
    </row>
    <row r="901" spans="1:17" x14ac:dyDescent="0.25">
      <c r="A901" s="9" t="s">
        <v>1736</v>
      </c>
      <c r="B901" s="2">
        <v>44968</v>
      </c>
      <c r="C901" s="1" t="s">
        <v>417</v>
      </c>
      <c r="D901" s="1" t="s">
        <v>169</v>
      </c>
      <c r="E901" s="1" t="s">
        <v>17</v>
      </c>
      <c r="F901" s="1" t="s">
        <v>60</v>
      </c>
      <c r="G901" s="1" t="s">
        <v>19</v>
      </c>
      <c r="H901" s="1" t="s">
        <v>20</v>
      </c>
      <c r="I901" s="1" t="s">
        <v>583</v>
      </c>
      <c r="J901" s="1">
        <v>1</v>
      </c>
      <c r="K901" s="3">
        <v>2478.9899999999998</v>
      </c>
      <c r="L901" s="1">
        <v>5</v>
      </c>
      <c r="M901" s="1" t="s">
        <v>22</v>
      </c>
      <c r="N901" s="10" t="s">
        <v>31</v>
      </c>
      <c r="Q901"/>
    </row>
    <row r="902" spans="1:17" x14ac:dyDescent="0.25">
      <c r="A902" s="9" t="s">
        <v>1737</v>
      </c>
      <c r="B902" s="2">
        <v>45480</v>
      </c>
      <c r="C902" s="1" t="s">
        <v>362</v>
      </c>
      <c r="D902" s="1" t="s">
        <v>81</v>
      </c>
      <c r="E902" s="1" t="s">
        <v>72</v>
      </c>
      <c r="F902" s="1" t="s">
        <v>49</v>
      </c>
      <c r="G902" s="1" t="s">
        <v>42</v>
      </c>
      <c r="H902" s="1" t="s">
        <v>61</v>
      </c>
      <c r="I902" s="1" t="s">
        <v>1011</v>
      </c>
      <c r="J902" s="1">
        <v>2</v>
      </c>
      <c r="K902" s="3">
        <v>4899.8100000000004</v>
      </c>
      <c r="L902" s="1">
        <v>20</v>
      </c>
      <c r="M902" s="1" t="s">
        <v>56</v>
      </c>
      <c r="N902" s="10" t="s">
        <v>64</v>
      </c>
      <c r="Q902"/>
    </row>
    <row r="903" spans="1:17" x14ac:dyDescent="0.25">
      <c r="A903" s="9" t="s">
        <v>1738</v>
      </c>
      <c r="B903" s="2">
        <v>45467</v>
      </c>
      <c r="C903" s="1" t="s">
        <v>1739</v>
      </c>
      <c r="D903" s="1" t="s">
        <v>16</v>
      </c>
      <c r="E903" s="1" t="s">
        <v>34</v>
      </c>
      <c r="F903" s="1" t="s">
        <v>18</v>
      </c>
      <c r="G903" s="1" t="s">
        <v>42</v>
      </c>
      <c r="H903" s="1" t="s">
        <v>43</v>
      </c>
      <c r="I903" s="1" t="s">
        <v>339</v>
      </c>
      <c r="J903" s="1">
        <v>9</v>
      </c>
      <c r="K903" s="3">
        <v>29502.09</v>
      </c>
      <c r="L903" s="1" t="s">
        <v>110</v>
      </c>
      <c r="M903" s="1" t="s">
        <v>36</v>
      </c>
      <c r="N903" s="10" t="s">
        <v>74</v>
      </c>
      <c r="Q903"/>
    </row>
    <row r="904" spans="1:17" x14ac:dyDescent="0.25">
      <c r="A904" s="9" t="s">
        <v>1740</v>
      </c>
      <c r="B904" s="2">
        <v>45175</v>
      </c>
      <c r="C904" s="1" t="s">
        <v>1741</v>
      </c>
      <c r="D904" s="1" t="s">
        <v>16</v>
      </c>
      <c r="E904" s="1" t="s">
        <v>27</v>
      </c>
      <c r="F904" s="1" t="s">
        <v>28</v>
      </c>
      <c r="G904" s="1" t="s">
        <v>83</v>
      </c>
      <c r="H904" s="1" t="s">
        <v>43</v>
      </c>
      <c r="I904" s="1" t="s">
        <v>394</v>
      </c>
      <c r="J904" s="1">
        <v>4</v>
      </c>
      <c r="K904" s="3">
        <v>11149.08</v>
      </c>
      <c r="L904" s="1" t="s">
        <v>110</v>
      </c>
      <c r="M904" s="1" t="s">
        <v>63</v>
      </c>
      <c r="N904" s="10" t="s">
        <v>45</v>
      </c>
      <c r="Q904"/>
    </row>
    <row r="905" spans="1:17" x14ac:dyDescent="0.25">
      <c r="A905" s="9" t="s">
        <v>1742</v>
      </c>
      <c r="B905" s="2">
        <v>44983</v>
      </c>
      <c r="C905" s="1" t="s">
        <v>1572</v>
      </c>
      <c r="D905" s="1" t="s">
        <v>40</v>
      </c>
      <c r="E905" s="1" t="s">
        <v>59</v>
      </c>
      <c r="F905" s="1" t="s">
        <v>18</v>
      </c>
      <c r="G905" s="1" t="s">
        <v>83</v>
      </c>
      <c r="H905" s="1" t="s">
        <v>43</v>
      </c>
      <c r="I905" s="1" t="s">
        <v>566</v>
      </c>
      <c r="J905" s="1">
        <v>10</v>
      </c>
      <c r="K905" s="3">
        <v>7199.24</v>
      </c>
      <c r="L905" s="1">
        <v>20</v>
      </c>
      <c r="M905" s="1" t="s">
        <v>36</v>
      </c>
      <c r="N905" s="10" t="s">
        <v>37</v>
      </c>
      <c r="Q905"/>
    </row>
    <row r="906" spans="1:17" x14ac:dyDescent="0.25">
      <c r="A906" s="9" t="s">
        <v>1743</v>
      </c>
      <c r="B906" s="2">
        <v>45279</v>
      </c>
      <c r="C906" s="1" t="s">
        <v>867</v>
      </c>
      <c r="D906" s="1" t="s">
        <v>40</v>
      </c>
      <c r="E906" s="1" t="s">
        <v>34</v>
      </c>
      <c r="F906" s="1" t="s">
        <v>60</v>
      </c>
      <c r="G906" s="1" t="s">
        <v>42</v>
      </c>
      <c r="H906" s="1" t="s">
        <v>43</v>
      </c>
      <c r="I906" s="1" t="s">
        <v>348</v>
      </c>
      <c r="J906" s="1">
        <v>1</v>
      </c>
      <c r="K906" s="3">
        <v>2398.23</v>
      </c>
      <c r="L906" s="1">
        <v>20</v>
      </c>
      <c r="M906" s="1" t="s">
        <v>69</v>
      </c>
      <c r="N906" s="10" t="s">
        <v>23</v>
      </c>
      <c r="Q906"/>
    </row>
    <row r="907" spans="1:17" x14ac:dyDescent="0.25">
      <c r="A907" s="9" t="s">
        <v>1744</v>
      </c>
      <c r="B907" s="2">
        <v>45521</v>
      </c>
      <c r="C907" s="1" t="s">
        <v>203</v>
      </c>
      <c r="D907" s="1" t="s">
        <v>71</v>
      </c>
      <c r="E907" s="1" t="s">
        <v>17</v>
      </c>
      <c r="F907" s="1" t="s">
        <v>82</v>
      </c>
      <c r="G907" s="1" t="s">
        <v>53</v>
      </c>
      <c r="H907" s="1" t="s">
        <v>54</v>
      </c>
      <c r="I907" s="1" t="s">
        <v>103</v>
      </c>
      <c r="J907" s="1">
        <v>5</v>
      </c>
      <c r="K907" s="3">
        <v>7423.79</v>
      </c>
      <c r="L907" s="1">
        <v>5</v>
      </c>
      <c r="M907" s="1" t="s">
        <v>63</v>
      </c>
      <c r="N907" s="10" t="s">
        <v>37</v>
      </c>
      <c r="Q907"/>
    </row>
    <row r="908" spans="1:17" x14ac:dyDescent="0.25">
      <c r="A908" s="9" t="s">
        <v>1745</v>
      </c>
      <c r="B908" s="2">
        <v>45108</v>
      </c>
      <c r="C908" s="1" t="s">
        <v>808</v>
      </c>
      <c r="D908" s="1" t="s">
        <v>87</v>
      </c>
      <c r="E908" s="1" t="s">
        <v>27</v>
      </c>
      <c r="F908" s="1" t="s">
        <v>18</v>
      </c>
      <c r="G908" s="1" t="s">
        <v>42</v>
      </c>
      <c r="H908" s="1" t="s">
        <v>43</v>
      </c>
      <c r="I908" s="1" t="s">
        <v>285</v>
      </c>
      <c r="J908" s="1">
        <v>1</v>
      </c>
      <c r="K908" s="3">
        <v>1288.19</v>
      </c>
      <c r="L908" s="1">
        <v>20</v>
      </c>
      <c r="M908" s="1" t="s">
        <v>22</v>
      </c>
      <c r="N908" s="10" t="s">
        <v>31</v>
      </c>
      <c r="Q908"/>
    </row>
    <row r="909" spans="1:17" x14ac:dyDescent="0.25">
      <c r="A909" s="9" t="s">
        <v>1746</v>
      </c>
      <c r="B909" s="2">
        <v>45297</v>
      </c>
      <c r="C909" s="1" t="s">
        <v>1055</v>
      </c>
      <c r="D909" s="1" t="s">
        <v>52</v>
      </c>
      <c r="E909" s="1" t="s">
        <v>72</v>
      </c>
      <c r="F909" s="1" t="s">
        <v>49</v>
      </c>
      <c r="G909" s="1" t="s">
        <v>83</v>
      </c>
      <c r="H909" s="1" t="s">
        <v>43</v>
      </c>
      <c r="I909" s="1" t="s">
        <v>394</v>
      </c>
      <c r="J909" s="1">
        <v>1</v>
      </c>
      <c r="K909" s="3">
        <v>4890.28</v>
      </c>
      <c r="L909" s="1">
        <v>5</v>
      </c>
      <c r="M909" s="1" t="s">
        <v>56</v>
      </c>
      <c r="N909" s="10" t="s">
        <v>37</v>
      </c>
      <c r="Q909"/>
    </row>
    <row r="910" spans="1:17" x14ac:dyDescent="0.25">
      <c r="A910" s="9" t="s">
        <v>1747</v>
      </c>
      <c r="B910" s="2">
        <v>45399</v>
      </c>
      <c r="C910" s="1" t="s">
        <v>1282</v>
      </c>
      <c r="D910" s="1" t="s">
        <v>33</v>
      </c>
      <c r="E910" s="1" t="s">
        <v>17</v>
      </c>
      <c r="F910" s="1" t="s">
        <v>18</v>
      </c>
      <c r="G910" s="1" t="s">
        <v>19</v>
      </c>
      <c r="H910" s="1" t="s">
        <v>20</v>
      </c>
      <c r="I910" s="1" t="s">
        <v>731</v>
      </c>
      <c r="J910" s="1">
        <v>5</v>
      </c>
      <c r="K910" s="3">
        <v>13794.9</v>
      </c>
      <c r="L910" s="1">
        <v>15</v>
      </c>
      <c r="M910" s="1" t="s">
        <v>63</v>
      </c>
      <c r="N910" s="10" t="s">
        <v>74</v>
      </c>
      <c r="Q910"/>
    </row>
    <row r="911" spans="1:17" x14ac:dyDescent="0.25">
      <c r="A911" s="9" t="s">
        <v>1748</v>
      </c>
      <c r="B911" s="2">
        <v>45112</v>
      </c>
      <c r="C911" s="1" t="s">
        <v>1749</v>
      </c>
      <c r="D911" s="1" t="s">
        <v>16</v>
      </c>
      <c r="E911" s="1" t="s">
        <v>17</v>
      </c>
      <c r="F911" s="1" t="s">
        <v>28</v>
      </c>
      <c r="G911" s="1" t="s">
        <v>42</v>
      </c>
      <c r="H911" s="1" t="s">
        <v>61</v>
      </c>
      <c r="I911" s="1" t="s">
        <v>440</v>
      </c>
      <c r="J911" s="1">
        <v>8</v>
      </c>
      <c r="K911" s="3">
        <v>22163.65</v>
      </c>
      <c r="L911" s="1">
        <v>10</v>
      </c>
      <c r="M911" s="1" t="s">
        <v>93</v>
      </c>
      <c r="N911" s="10" t="s">
        <v>23</v>
      </c>
      <c r="Q911"/>
    </row>
    <row r="912" spans="1:17" x14ac:dyDescent="0.25">
      <c r="A912" s="9" t="s">
        <v>1750</v>
      </c>
      <c r="B912" s="2">
        <v>45617</v>
      </c>
      <c r="C912" s="1" t="s">
        <v>1706</v>
      </c>
      <c r="D912" s="1" t="s">
        <v>16</v>
      </c>
      <c r="E912" s="1" t="s">
        <v>59</v>
      </c>
      <c r="F912" s="1" t="s">
        <v>49</v>
      </c>
      <c r="G912" s="1" t="s">
        <v>19</v>
      </c>
      <c r="H912" s="1" t="s">
        <v>20</v>
      </c>
      <c r="I912" s="1" t="s">
        <v>731</v>
      </c>
      <c r="J912" s="1">
        <v>9</v>
      </c>
      <c r="K912" s="3">
        <v>13275.74</v>
      </c>
      <c r="L912" s="1" t="s">
        <v>110</v>
      </c>
      <c r="M912" s="1" t="s">
        <v>22</v>
      </c>
      <c r="N912" s="10" t="s">
        <v>74</v>
      </c>
      <c r="Q912"/>
    </row>
    <row r="913" spans="1:17" x14ac:dyDescent="0.25">
      <c r="A913" s="9" t="s">
        <v>1751</v>
      </c>
      <c r="B913" s="2">
        <v>45643</v>
      </c>
      <c r="C913" s="1" t="s">
        <v>1752</v>
      </c>
      <c r="D913" s="1" t="s">
        <v>48</v>
      </c>
      <c r="E913" s="1" t="s">
        <v>27</v>
      </c>
      <c r="F913" s="1" t="s">
        <v>18</v>
      </c>
      <c r="G913" s="1" t="s">
        <v>19</v>
      </c>
      <c r="H913" s="1" t="s">
        <v>29</v>
      </c>
      <c r="I913" s="1" t="s">
        <v>693</v>
      </c>
      <c r="J913" s="1">
        <v>2</v>
      </c>
      <c r="K913" s="3">
        <v>8373.4699999999993</v>
      </c>
      <c r="L913" s="1">
        <v>15</v>
      </c>
      <c r="M913" s="1" t="s">
        <v>69</v>
      </c>
      <c r="N913" s="10" t="s">
        <v>45</v>
      </c>
      <c r="Q913"/>
    </row>
    <row r="914" spans="1:17" x14ac:dyDescent="0.25">
      <c r="A914" s="9" t="s">
        <v>1753</v>
      </c>
      <c r="B914" s="2">
        <v>45005</v>
      </c>
      <c r="C914" s="1" t="s">
        <v>1039</v>
      </c>
      <c r="D914" s="1" t="s">
        <v>87</v>
      </c>
      <c r="E914" s="1" t="s">
        <v>34</v>
      </c>
      <c r="F914" s="1" t="s">
        <v>49</v>
      </c>
      <c r="G914" s="1" t="s">
        <v>53</v>
      </c>
      <c r="H914" s="1" t="s">
        <v>54</v>
      </c>
      <c r="I914" s="1" t="s">
        <v>103</v>
      </c>
      <c r="J914" s="1">
        <v>8</v>
      </c>
      <c r="K914" s="3">
        <v>6620.62</v>
      </c>
      <c r="L914" s="1">
        <v>0</v>
      </c>
      <c r="M914" s="1" t="s">
        <v>63</v>
      </c>
      <c r="N914" s="10" t="s">
        <v>31</v>
      </c>
      <c r="Q914"/>
    </row>
    <row r="915" spans="1:17" x14ac:dyDescent="0.25">
      <c r="A915" s="9" t="s">
        <v>1754</v>
      </c>
      <c r="B915" s="2">
        <v>45016</v>
      </c>
      <c r="C915" s="1" t="s">
        <v>105</v>
      </c>
      <c r="D915" s="1" t="s">
        <v>67</v>
      </c>
      <c r="E915" s="1" t="s">
        <v>27</v>
      </c>
      <c r="F915" s="1" t="s">
        <v>18</v>
      </c>
      <c r="G915" s="1" t="s">
        <v>42</v>
      </c>
      <c r="H915" s="1" t="s">
        <v>43</v>
      </c>
      <c r="I915" s="1" t="s">
        <v>339</v>
      </c>
      <c r="J915" s="1">
        <v>2</v>
      </c>
      <c r="K915" s="3">
        <v>8742.65</v>
      </c>
      <c r="L915" s="1">
        <v>5</v>
      </c>
      <c r="M915" s="1" t="s">
        <v>22</v>
      </c>
      <c r="N915" s="10" t="s">
        <v>64</v>
      </c>
      <c r="Q915"/>
    </row>
    <row r="916" spans="1:17" x14ac:dyDescent="0.25">
      <c r="A916" s="9" t="s">
        <v>1755</v>
      </c>
      <c r="B916" s="2">
        <v>45497</v>
      </c>
      <c r="C916" s="1" t="s">
        <v>1255</v>
      </c>
      <c r="D916" s="1" t="s">
        <v>147</v>
      </c>
      <c r="E916" s="1" t="s">
        <v>17</v>
      </c>
      <c r="F916" s="1" t="s">
        <v>82</v>
      </c>
      <c r="G916" s="1" t="s">
        <v>19</v>
      </c>
      <c r="H916" s="1" t="s">
        <v>20</v>
      </c>
      <c r="I916" s="1" t="s">
        <v>263</v>
      </c>
      <c r="J916" s="1">
        <v>9</v>
      </c>
      <c r="K916" s="3">
        <v>35404.910000000003</v>
      </c>
      <c r="L916" s="1">
        <v>15</v>
      </c>
      <c r="M916" s="1" t="s">
        <v>36</v>
      </c>
      <c r="N916" s="10" t="s">
        <v>31</v>
      </c>
      <c r="Q916"/>
    </row>
    <row r="917" spans="1:17" x14ac:dyDescent="0.25">
      <c r="A917" s="9" t="s">
        <v>1756</v>
      </c>
      <c r="B917" s="2">
        <v>45580</v>
      </c>
      <c r="C917" s="1" t="s">
        <v>507</v>
      </c>
      <c r="D917" s="1" t="s">
        <v>40</v>
      </c>
      <c r="E917" s="1" t="s">
        <v>27</v>
      </c>
      <c r="F917" s="1" t="s">
        <v>88</v>
      </c>
      <c r="G917" s="1" t="s">
        <v>53</v>
      </c>
      <c r="H917" s="1" t="s">
        <v>54</v>
      </c>
      <c r="I917" s="1" t="s">
        <v>253</v>
      </c>
      <c r="J917" s="1">
        <v>2</v>
      </c>
      <c r="K917" s="3">
        <v>7299.44</v>
      </c>
      <c r="L917" s="1">
        <v>5</v>
      </c>
      <c r="M917" s="1" t="s">
        <v>56</v>
      </c>
      <c r="N917" s="10" t="s">
        <v>31</v>
      </c>
      <c r="Q917"/>
    </row>
    <row r="918" spans="1:17" x14ac:dyDescent="0.25">
      <c r="A918" s="9" t="s">
        <v>1757</v>
      </c>
      <c r="B918" s="2">
        <v>45001</v>
      </c>
      <c r="C918" s="1" t="s">
        <v>362</v>
      </c>
      <c r="D918" s="1" t="s">
        <v>52</v>
      </c>
      <c r="E918" s="1" t="s">
        <v>72</v>
      </c>
      <c r="F918" s="1" t="s">
        <v>99</v>
      </c>
      <c r="G918" s="1" t="s">
        <v>42</v>
      </c>
      <c r="H918" s="1" t="s">
        <v>43</v>
      </c>
      <c r="I918" s="1" t="s">
        <v>44</v>
      </c>
      <c r="J918" s="1">
        <v>1</v>
      </c>
      <c r="K918" s="3">
        <v>990.75</v>
      </c>
      <c r="L918" s="1">
        <v>0</v>
      </c>
      <c r="M918" s="1" t="s">
        <v>63</v>
      </c>
      <c r="N918" s="10" t="s">
        <v>64</v>
      </c>
      <c r="Q918"/>
    </row>
    <row r="919" spans="1:17" x14ac:dyDescent="0.25">
      <c r="A919" s="9" t="s">
        <v>1758</v>
      </c>
      <c r="B919" s="2">
        <v>45532</v>
      </c>
      <c r="C919" s="1" t="s">
        <v>1488</v>
      </c>
      <c r="D919" s="1" t="s">
        <v>52</v>
      </c>
      <c r="E919" s="1" t="s">
        <v>59</v>
      </c>
      <c r="F919" s="1" t="s">
        <v>60</v>
      </c>
      <c r="G919" s="1" t="s">
        <v>42</v>
      </c>
      <c r="H919" s="1" t="s">
        <v>61</v>
      </c>
      <c r="I919" s="1" t="s">
        <v>388</v>
      </c>
      <c r="J919" s="1">
        <v>4</v>
      </c>
      <c r="K919" s="3">
        <v>13921.73</v>
      </c>
      <c r="L919" s="1" t="s">
        <v>110</v>
      </c>
      <c r="M919" s="1" t="s">
        <v>22</v>
      </c>
      <c r="N919" s="10" t="s">
        <v>23</v>
      </c>
      <c r="Q919"/>
    </row>
    <row r="920" spans="1:17" x14ac:dyDescent="0.25">
      <c r="A920" s="9" t="s">
        <v>1759</v>
      </c>
      <c r="B920" s="2">
        <v>45432</v>
      </c>
      <c r="C920" s="1" t="s">
        <v>692</v>
      </c>
      <c r="D920" s="1" t="s">
        <v>67</v>
      </c>
      <c r="E920" s="1" t="s">
        <v>59</v>
      </c>
      <c r="F920" s="1" t="s">
        <v>49</v>
      </c>
      <c r="G920" s="1" t="s">
        <v>19</v>
      </c>
      <c r="H920" s="1" t="s">
        <v>29</v>
      </c>
      <c r="I920" s="1" t="s">
        <v>374</v>
      </c>
      <c r="J920" s="1">
        <v>4</v>
      </c>
      <c r="K920" s="3">
        <v>9328.9500000000007</v>
      </c>
      <c r="L920" s="1">
        <v>10</v>
      </c>
      <c r="M920" s="1" t="s">
        <v>36</v>
      </c>
      <c r="N920" s="10" t="s">
        <v>31</v>
      </c>
      <c r="Q920"/>
    </row>
    <row r="921" spans="1:17" x14ac:dyDescent="0.25">
      <c r="A921" s="9" t="s">
        <v>1760</v>
      </c>
      <c r="B921" s="2">
        <v>45156</v>
      </c>
      <c r="C921" s="1" t="s">
        <v>1200</v>
      </c>
      <c r="D921" s="1" t="s">
        <v>16</v>
      </c>
      <c r="E921" s="1" t="s">
        <v>34</v>
      </c>
      <c r="F921" s="1" t="s">
        <v>60</v>
      </c>
      <c r="G921" s="1" t="s">
        <v>83</v>
      </c>
      <c r="H921" s="1" t="s">
        <v>43</v>
      </c>
      <c r="I921" s="1" t="s">
        <v>100</v>
      </c>
      <c r="J921" s="1">
        <v>7</v>
      </c>
      <c r="K921" s="3">
        <v>18363.900000000001</v>
      </c>
      <c r="L921" s="1">
        <v>0</v>
      </c>
      <c r="M921" s="1" t="s">
        <v>69</v>
      </c>
      <c r="N921" s="10" t="s">
        <v>45</v>
      </c>
      <c r="Q921"/>
    </row>
    <row r="922" spans="1:17" x14ac:dyDescent="0.25">
      <c r="A922" s="9" t="s">
        <v>1761</v>
      </c>
      <c r="B922" s="2">
        <v>45322</v>
      </c>
      <c r="C922" s="1" t="s">
        <v>1762</v>
      </c>
      <c r="D922" s="1" t="s">
        <v>40</v>
      </c>
      <c r="E922" s="1" t="s">
        <v>17</v>
      </c>
      <c r="F922" s="1" t="s">
        <v>99</v>
      </c>
      <c r="G922" s="1" t="s">
        <v>42</v>
      </c>
      <c r="H922" s="1" t="s">
        <v>43</v>
      </c>
      <c r="I922" s="1" t="s">
        <v>336</v>
      </c>
      <c r="J922" s="1">
        <v>4</v>
      </c>
      <c r="K922" s="3">
        <v>6509.1</v>
      </c>
      <c r="L922" s="1">
        <v>20</v>
      </c>
      <c r="M922" s="1" t="s">
        <v>63</v>
      </c>
      <c r="N922" s="10" t="s">
        <v>23</v>
      </c>
      <c r="Q922"/>
    </row>
    <row r="923" spans="1:17" x14ac:dyDescent="0.25">
      <c r="A923" s="9" t="s">
        <v>1763</v>
      </c>
      <c r="B923" s="2">
        <v>44933</v>
      </c>
      <c r="C923" s="1" t="s">
        <v>1764</v>
      </c>
      <c r="D923" s="1" t="s">
        <v>33</v>
      </c>
      <c r="E923" s="1" t="s">
        <v>72</v>
      </c>
      <c r="F923" s="1" t="s">
        <v>49</v>
      </c>
      <c r="G923" s="1" t="s">
        <v>19</v>
      </c>
      <c r="H923" s="1" t="s">
        <v>29</v>
      </c>
      <c r="I923" s="1" t="s">
        <v>472</v>
      </c>
      <c r="J923" s="1">
        <v>9</v>
      </c>
      <c r="K923" s="3">
        <v>4575.0600000000004</v>
      </c>
      <c r="L923" s="1">
        <v>10</v>
      </c>
      <c r="M923" s="1" t="s">
        <v>56</v>
      </c>
      <c r="N923" s="10" t="s">
        <v>37</v>
      </c>
      <c r="Q923"/>
    </row>
    <row r="924" spans="1:17" x14ac:dyDescent="0.25">
      <c r="A924" s="9" t="s">
        <v>1765</v>
      </c>
      <c r="B924" s="2">
        <v>45550</v>
      </c>
      <c r="C924" s="1" t="s">
        <v>229</v>
      </c>
      <c r="D924" s="1" t="s">
        <v>378</v>
      </c>
      <c r="E924" s="1" t="s">
        <v>27</v>
      </c>
      <c r="F924" s="1" t="s">
        <v>18</v>
      </c>
      <c r="G924" s="1" t="s">
        <v>42</v>
      </c>
      <c r="H924" s="1" t="s">
        <v>43</v>
      </c>
      <c r="I924" s="1" t="s">
        <v>274</v>
      </c>
      <c r="J924" s="1">
        <v>3</v>
      </c>
      <c r="K924" s="3">
        <v>14108.71</v>
      </c>
      <c r="L924" s="1" t="s">
        <v>110</v>
      </c>
      <c r="M924" s="1" t="s">
        <v>93</v>
      </c>
      <c r="N924" s="10" t="s">
        <v>37</v>
      </c>
      <c r="Q924"/>
    </row>
    <row r="925" spans="1:17" x14ac:dyDescent="0.25">
      <c r="A925" s="9" t="s">
        <v>1766</v>
      </c>
      <c r="B925" s="2">
        <v>45476</v>
      </c>
      <c r="C925" s="1" t="s">
        <v>1767</v>
      </c>
      <c r="D925" s="1" t="s">
        <v>26</v>
      </c>
      <c r="E925" s="1" t="s">
        <v>41</v>
      </c>
      <c r="F925" s="1" t="s">
        <v>28</v>
      </c>
      <c r="G925" s="1" t="s">
        <v>83</v>
      </c>
      <c r="H925" s="1" t="s">
        <v>43</v>
      </c>
      <c r="I925" s="1" t="s">
        <v>157</v>
      </c>
      <c r="J925" s="1">
        <v>4</v>
      </c>
      <c r="K925" s="3">
        <v>5215.6000000000004</v>
      </c>
      <c r="L925" s="1">
        <v>20</v>
      </c>
      <c r="M925" s="1" t="s">
        <v>69</v>
      </c>
      <c r="N925" s="10" t="s">
        <v>45</v>
      </c>
      <c r="Q925"/>
    </row>
    <row r="926" spans="1:17" x14ac:dyDescent="0.25">
      <c r="A926" s="9" t="s">
        <v>1768</v>
      </c>
      <c r="B926" s="2">
        <v>45256</v>
      </c>
      <c r="C926" s="1" t="s">
        <v>894</v>
      </c>
      <c r="D926" s="1" t="s">
        <v>399</v>
      </c>
      <c r="E926" s="1" t="s">
        <v>34</v>
      </c>
      <c r="F926" s="1" t="s">
        <v>49</v>
      </c>
      <c r="G926" s="1" t="s">
        <v>42</v>
      </c>
      <c r="H926" s="1" t="s">
        <v>61</v>
      </c>
      <c r="I926" s="1" t="s">
        <v>1096</v>
      </c>
      <c r="J926" s="1">
        <v>7</v>
      </c>
      <c r="K926" s="3">
        <v>9922.1299999999992</v>
      </c>
      <c r="L926" s="1">
        <v>15</v>
      </c>
      <c r="M926" s="1" t="s">
        <v>22</v>
      </c>
      <c r="N926" s="10" t="s">
        <v>31</v>
      </c>
      <c r="Q926"/>
    </row>
    <row r="927" spans="1:17" x14ac:dyDescent="0.25">
      <c r="A927" s="9" t="s">
        <v>1769</v>
      </c>
      <c r="B927" s="2">
        <v>45356</v>
      </c>
      <c r="C927" s="1" t="s">
        <v>1396</v>
      </c>
      <c r="D927" s="1" t="s">
        <v>87</v>
      </c>
      <c r="E927" s="1" t="s">
        <v>34</v>
      </c>
      <c r="F927" s="1" t="s">
        <v>49</v>
      </c>
      <c r="G927" s="1" t="s">
        <v>19</v>
      </c>
      <c r="H927" s="1" t="s">
        <v>20</v>
      </c>
      <c r="I927" s="1" t="s">
        <v>226</v>
      </c>
      <c r="J927" s="1">
        <v>5</v>
      </c>
      <c r="K927" s="3">
        <v>17730.63</v>
      </c>
      <c r="L927" s="1">
        <v>10</v>
      </c>
      <c r="M927" s="1" t="s">
        <v>63</v>
      </c>
      <c r="N927" s="10" t="s">
        <v>45</v>
      </c>
      <c r="Q927"/>
    </row>
    <row r="928" spans="1:17" x14ac:dyDescent="0.25">
      <c r="A928" s="9" t="s">
        <v>1770</v>
      </c>
      <c r="B928" s="2">
        <v>45466</v>
      </c>
      <c r="C928" s="1" t="s">
        <v>417</v>
      </c>
      <c r="D928" s="1" t="s">
        <v>16</v>
      </c>
      <c r="E928" s="1" t="s">
        <v>59</v>
      </c>
      <c r="F928" s="1" t="s">
        <v>99</v>
      </c>
      <c r="G928" s="1" t="s">
        <v>19</v>
      </c>
      <c r="H928" s="1" t="s">
        <v>20</v>
      </c>
      <c r="I928" s="1" t="s">
        <v>263</v>
      </c>
      <c r="J928" s="1">
        <v>8</v>
      </c>
      <c r="K928" s="3">
        <v>5707.25</v>
      </c>
      <c r="L928" s="1">
        <v>20</v>
      </c>
      <c r="M928" s="1" t="s">
        <v>22</v>
      </c>
      <c r="N928" s="10" t="s">
        <v>74</v>
      </c>
      <c r="Q928"/>
    </row>
    <row r="929" spans="1:17" x14ac:dyDescent="0.25">
      <c r="A929" s="9" t="s">
        <v>1771</v>
      </c>
      <c r="B929" s="2">
        <v>45476</v>
      </c>
      <c r="C929" s="1" t="s">
        <v>1004</v>
      </c>
      <c r="D929" s="1" t="s">
        <v>169</v>
      </c>
      <c r="E929" s="1" t="s">
        <v>27</v>
      </c>
      <c r="F929" s="1" t="s">
        <v>99</v>
      </c>
      <c r="G929" s="1" t="s">
        <v>42</v>
      </c>
      <c r="H929" s="1" t="s">
        <v>43</v>
      </c>
      <c r="I929" s="1" t="s">
        <v>336</v>
      </c>
      <c r="J929" s="1">
        <v>7</v>
      </c>
      <c r="K929" s="3">
        <v>24848.35</v>
      </c>
      <c r="L929" s="1">
        <v>20</v>
      </c>
      <c r="M929" s="1" t="s">
        <v>22</v>
      </c>
      <c r="N929" s="10" t="s">
        <v>64</v>
      </c>
      <c r="Q929"/>
    </row>
    <row r="930" spans="1:17" x14ac:dyDescent="0.25">
      <c r="A930" s="9" t="s">
        <v>1772</v>
      </c>
      <c r="B930" s="2">
        <v>45599</v>
      </c>
      <c r="C930" s="1" t="s">
        <v>601</v>
      </c>
      <c r="D930" s="1" t="s">
        <v>87</v>
      </c>
      <c r="E930" s="1" t="s">
        <v>41</v>
      </c>
      <c r="F930" s="1" t="s">
        <v>82</v>
      </c>
      <c r="G930" s="1" t="s">
        <v>19</v>
      </c>
      <c r="H930" s="1" t="s">
        <v>20</v>
      </c>
      <c r="I930" s="1" t="s">
        <v>130</v>
      </c>
      <c r="J930" s="1">
        <v>1</v>
      </c>
      <c r="K930" s="3">
        <v>2537.21</v>
      </c>
      <c r="L930" s="1">
        <v>10</v>
      </c>
      <c r="M930" s="1" t="s">
        <v>69</v>
      </c>
      <c r="N930" s="10" t="s">
        <v>37</v>
      </c>
      <c r="Q930"/>
    </row>
    <row r="931" spans="1:17" x14ac:dyDescent="0.25">
      <c r="A931" s="9" t="s">
        <v>1773</v>
      </c>
      <c r="B931" s="2">
        <v>45117</v>
      </c>
      <c r="C931" s="1" t="s">
        <v>1142</v>
      </c>
      <c r="D931" s="1" t="s">
        <v>81</v>
      </c>
      <c r="E931" s="1" t="s">
        <v>27</v>
      </c>
      <c r="F931" s="1" t="s">
        <v>49</v>
      </c>
      <c r="G931" s="1" t="s">
        <v>42</v>
      </c>
      <c r="H931" s="1" t="s">
        <v>43</v>
      </c>
      <c r="I931" s="1" t="s">
        <v>244</v>
      </c>
      <c r="J931" s="1">
        <v>1</v>
      </c>
      <c r="K931" s="3">
        <v>2973.44</v>
      </c>
      <c r="L931" s="1" t="s">
        <v>110</v>
      </c>
      <c r="M931" s="1" t="s">
        <v>63</v>
      </c>
      <c r="N931" s="10" t="s">
        <v>45</v>
      </c>
      <c r="Q931"/>
    </row>
    <row r="932" spans="1:17" x14ac:dyDescent="0.25">
      <c r="A932" s="9" t="s">
        <v>1774</v>
      </c>
      <c r="B932" s="2">
        <v>45244</v>
      </c>
      <c r="C932" s="1" t="s">
        <v>793</v>
      </c>
      <c r="D932" s="1" t="s">
        <v>87</v>
      </c>
      <c r="E932" s="1" t="s">
        <v>41</v>
      </c>
      <c r="F932" s="1" t="s">
        <v>18</v>
      </c>
      <c r="G932" s="1" t="s">
        <v>19</v>
      </c>
      <c r="H932" s="1" t="s">
        <v>29</v>
      </c>
      <c r="I932" s="1" t="s">
        <v>693</v>
      </c>
      <c r="J932" s="1">
        <v>1</v>
      </c>
      <c r="K932" s="3">
        <v>378.38</v>
      </c>
      <c r="L932" s="1">
        <v>5</v>
      </c>
      <c r="M932" s="1" t="s">
        <v>36</v>
      </c>
      <c r="N932" s="10" t="s">
        <v>23</v>
      </c>
      <c r="Q932"/>
    </row>
    <row r="933" spans="1:17" x14ac:dyDescent="0.25">
      <c r="A933" s="9" t="s">
        <v>1775</v>
      </c>
      <c r="B933" s="2">
        <v>45377</v>
      </c>
      <c r="C933" s="1" t="s">
        <v>1697</v>
      </c>
      <c r="D933" s="1" t="s">
        <v>192</v>
      </c>
      <c r="E933" s="1" t="s">
        <v>27</v>
      </c>
      <c r="F933" s="1" t="s">
        <v>99</v>
      </c>
      <c r="G933" s="1" t="s">
        <v>53</v>
      </c>
      <c r="H933" s="1" t="s">
        <v>54</v>
      </c>
      <c r="I933" s="1" t="s">
        <v>548</v>
      </c>
      <c r="J933" s="1">
        <v>6</v>
      </c>
      <c r="K933" s="3">
        <v>6144.4</v>
      </c>
      <c r="L933" s="1">
        <v>10</v>
      </c>
      <c r="M933" s="1" t="s">
        <v>22</v>
      </c>
      <c r="N933" s="10" t="s">
        <v>45</v>
      </c>
      <c r="Q933"/>
    </row>
    <row r="934" spans="1:17" x14ac:dyDescent="0.25">
      <c r="A934" s="9" t="s">
        <v>1776</v>
      </c>
      <c r="B934" s="2">
        <v>45100</v>
      </c>
      <c r="C934" s="1" t="s">
        <v>1739</v>
      </c>
      <c r="D934" s="1" t="s">
        <v>26</v>
      </c>
      <c r="E934" s="1" t="s">
        <v>72</v>
      </c>
      <c r="F934" s="1" t="s">
        <v>60</v>
      </c>
      <c r="G934" s="1" t="s">
        <v>53</v>
      </c>
      <c r="H934" s="1" t="s">
        <v>54</v>
      </c>
      <c r="I934" s="1" t="s">
        <v>173</v>
      </c>
      <c r="J934" s="1">
        <v>8</v>
      </c>
      <c r="K934" s="3">
        <v>30099.35</v>
      </c>
      <c r="L934" s="1">
        <v>15</v>
      </c>
      <c r="M934" s="1" t="s">
        <v>36</v>
      </c>
      <c r="N934" s="10" t="s">
        <v>45</v>
      </c>
      <c r="Q934"/>
    </row>
    <row r="935" spans="1:17" x14ac:dyDescent="0.25">
      <c r="A935" s="9" t="s">
        <v>1777</v>
      </c>
      <c r="B935" s="2">
        <v>45423</v>
      </c>
      <c r="C935" s="1" t="s">
        <v>1749</v>
      </c>
      <c r="D935" s="1" t="s">
        <v>33</v>
      </c>
      <c r="E935" s="1" t="s">
        <v>27</v>
      </c>
      <c r="F935" s="1" t="s">
        <v>60</v>
      </c>
      <c r="G935" s="1" t="s">
        <v>19</v>
      </c>
      <c r="H935" s="1" t="s">
        <v>20</v>
      </c>
      <c r="I935" s="1" t="s">
        <v>179</v>
      </c>
      <c r="J935" s="1">
        <v>5</v>
      </c>
      <c r="K935" s="3">
        <v>21016.53</v>
      </c>
      <c r="L935" s="1">
        <v>5</v>
      </c>
      <c r="M935" s="1" t="s">
        <v>56</v>
      </c>
      <c r="N935" s="10" t="s">
        <v>74</v>
      </c>
      <c r="Q935"/>
    </row>
    <row r="936" spans="1:17" x14ac:dyDescent="0.25">
      <c r="A936" s="9" t="s">
        <v>1778</v>
      </c>
      <c r="B936" s="2">
        <v>45213</v>
      </c>
      <c r="C936" s="1" t="s">
        <v>765</v>
      </c>
      <c r="D936" s="1" t="s">
        <v>67</v>
      </c>
      <c r="E936" s="1" t="s">
        <v>17</v>
      </c>
      <c r="F936" s="1" t="s">
        <v>18</v>
      </c>
      <c r="G936" s="1" t="s">
        <v>42</v>
      </c>
      <c r="H936" s="1" t="s">
        <v>43</v>
      </c>
      <c r="I936" s="1" t="s">
        <v>44</v>
      </c>
      <c r="J936" s="1">
        <v>3</v>
      </c>
      <c r="K936" s="3">
        <v>5095.91</v>
      </c>
      <c r="L936" s="1">
        <v>10</v>
      </c>
      <c r="M936" s="1" t="s">
        <v>22</v>
      </c>
      <c r="N936" s="10" t="s">
        <v>74</v>
      </c>
      <c r="Q936"/>
    </row>
    <row r="937" spans="1:17" x14ac:dyDescent="0.25">
      <c r="A937" s="9" t="s">
        <v>1779</v>
      </c>
      <c r="B937" s="2">
        <v>45449</v>
      </c>
      <c r="C937" s="1" t="s">
        <v>1605</v>
      </c>
      <c r="D937" s="1" t="s">
        <v>26</v>
      </c>
      <c r="E937" s="1" t="s">
        <v>34</v>
      </c>
      <c r="F937" s="1" t="s">
        <v>28</v>
      </c>
      <c r="G937" s="1" t="s">
        <v>19</v>
      </c>
      <c r="H937" s="1" t="s">
        <v>20</v>
      </c>
      <c r="I937" s="1" t="s">
        <v>254</v>
      </c>
      <c r="J937" s="1">
        <v>5</v>
      </c>
      <c r="K937" s="3">
        <v>2674.39</v>
      </c>
      <c r="L937" s="1">
        <v>0</v>
      </c>
      <c r="M937" s="1" t="s">
        <v>22</v>
      </c>
      <c r="N937" s="10" t="s">
        <v>31</v>
      </c>
      <c r="Q937"/>
    </row>
    <row r="938" spans="1:17" x14ac:dyDescent="0.25">
      <c r="A938" s="9" t="s">
        <v>1780</v>
      </c>
      <c r="B938" s="2">
        <v>45089</v>
      </c>
      <c r="C938" s="1" t="s">
        <v>262</v>
      </c>
      <c r="D938" s="1" t="s">
        <v>71</v>
      </c>
      <c r="E938" s="1" t="s">
        <v>34</v>
      </c>
      <c r="F938" s="1" t="s">
        <v>99</v>
      </c>
      <c r="G938" s="1" t="s">
        <v>53</v>
      </c>
      <c r="H938" s="1" t="s">
        <v>54</v>
      </c>
      <c r="I938" s="1" t="s">
        <v>548</v>
      </c>
      <c r="J938" s="1">
        <v>8</v>
      </c>
      <c r="K938" s="3">
        <v>9865.2000000000007</v>
      </c>
      <c r="L938" s="1">
        <v>5</v>
      </c>
      <c r="M938" s="1" t="s">
        <v>22</v>
      </c>
      <c r="N938" s="10" t="s">
        <v>31</v>
      </c>
      <c r="Q938"/>
    </row>
    <row r="939" spans="1:17" x14ac:dyDescent="0.25">
      <c r="A939" s="9" t="s">
        <v>1782</v>
      </c>
      <c r="B939" s="2">
        <v>45178</v>
      </c>
      <c r="C939" s="1" t="s">
        <v>565</v>
      </c>
      <c r="D939" s="1" t="s">
        <v>40</v>
      </c>
      <c r="E939" s="1" t="s">
        <v>17</v>
      </c>
      <c r="F939" s="1" t="s">
        <v>99</v>
      </c>
      <c r="G939" s="1" t="s">
        <v>42</v>
      </c>
      <c r="H939" s="1" t="s">
        <v>43</v>
      </c>
      <c r="I939" s="1" t="s">
        <v>572</v>
      </c>
      <c r="J939" s="1">
        <v>5</v>
      </c>
      <c r="K939" s="3">
        <v>1543.48</v>
      </c>
      <c r="L939" s="1">
        <v>5</v>
      </c>
      <c r="M939" s="1" t="s">
        <v>93</v>
      </c>
      <c r="N939" s="10" t="s">
        <v>23</v>
      </c>
      <c r="Q939"/>
    </row>
    <row r="940" spans="1:17" x14ac:dyDescent="0.25">
      <c r="A940" s="9" t="s">
        <v>1783</v>
      </c>
      <c r="B940" s="2">
        <v>45021</v>
      </c>
      <c r="C940" s="1" t="s">
        <v>15</v>
      </c>
      <c r="D940" s="1" t="s">
        <v>81</v>
      </c>
      <c r="E940" s="1" t="s">
        <v>27</v>
      </c>
      <c r="F940" s="1" t="s">
        <v>49</v>
      </c>
      <c r="G940" s="1" t="s">
        <v>42</v>
      </c>
      <c r="H940" s="1" t="s">
        <v>61</v>
      </c>
      <c r="I940" s="1" t="s">
        <v>185</v>
      </c>
      <c r="J940" s="1">
        <v>2</v>
      </c>
      <c r="K940" s="3">
        <v>2245.83</v>
      </c>
      <c r="L940" s="1">
        <v>15</v>
      </c>
      <c r="M940" s="1" t="s">
        <v>69</v>
      </c>
      <c r="N940" s="10" t="s">
        <v>37</v>
      </c>
      <c r="Q940"/>
    </row>
    <row r="941" spans="1:17" x14ac:dyDescent="0.25">
      <c r="A941" s="9" t="s">
        <v>1784</v>
      </c>
      <c r="B941" s="2">
        <v>45520</v>
      </c>
      <c r="C941" s="1" t="s">
        <v>206</v>
      </c>
      <c r="D941" s="1" t="s">
        <v>169</v>
      </c>
      <c r="E941" s="1" t="s">
        <v>41</v>
      </c>
      <c r="F941" s="1" t="s">
        <v>49</v>
      </c>
      <c r="G941" s="1" t="s">
        <v>42</v>
      </c>
      <c r="H941" s="1" t="s">
        <v>61</v>
      </c>
      <c r="I941" s="1" t="s">
        <v>294</v>
      </c>
      <c r="J941" s="1">
        <v>9</v>
      </c>
      <c r="K941" s="3">
        <v>34371.26</v>
      </c>
      <c r="L941" s="1">
        <v>10</v>
      </c>
      <c r="M941" s="1" t="s">
        <v>22</v>
      </c>
      <c r="N941" s="10" t="s">
        <v>23</v>
      </c>
      <c r="Q941"/>
    </row>
    <row r="942" spans="1:17" x14ac:dyDescent="0.25">
      <c r="A942" s="9" t="s">
        <v>1785</v>
      </c>
      <c r="B942" s="2">
        <v>45328</v>
      </c>
      <c r="C942" s="1" t="s">
        <v>906</v>
      </c>
      <c r="D942" s="1" t="s">
        <v>16</v>
      </c>
      <c r="E942" s="1" t="s">
        <v>34</v>
      </c>
      <c r="F942" s="1" t="s">
        <v>99</v>
      </c>
      <c r="G942" s="1" t="s">
        <v>53</v>
      </c>
      <c r="H942" s="1" t="s">
        <v>54</v>
      </c>
      <c r="I942" s="1" t="s">
        <v>73</v>
      </c>
      <c r="J942" s="1">
        <v>10</v>
      </c>
      <c r="K942" s="3">
        <v>2999.58</v>
      </c>
      <c r="L942" s="1">
        <v>20</v>
      </c>
      <c r="M942" s="1" t="s">
        <v>93</v>
      </c>
      <c r="N942" s="10" t="s">
        <v>45</v>
      </c>
      <c r="Q942"/>
    </row>
    <row r="943" spans="1:17" x14ac:dyDescent="0.25">
      <c r="A943" s="9" t="s">
        <v>1786</v>
      </c>
      <c r="B943" s="2">
        <v>44970</v>
      </c>
      <c r="C943" s="1" t="s">
        <v>879</v>
      </c>
      <c r="D943" s="1" t="s">
        <v>87</v>
      </c>
      <c r="E943" s="1" t="s">
        <v>59</v>
      </c>
      <c r="F943" s="1" t="s">
        <v>28</v>
      </c>
      <c r="G943" s="1" t="s">
        <v>19</v>
      </c>
      <c r="H943" s="1" t="s">
        <v>29</v>
      </c>
      <c r="I943" s="1" t="s">
        <v>223</v>
      </c>
      <c r="J943" s="1">
        <v>9</v>
      </c>
      <c r="K943" s="3">
        <v>8848.19</v>
      </c>
      <c r="L943" s="1" t="s">
        <v>110</v>
      </c>
      <c r="M943" s="1" t="s">
        <v>56</v>
      </c>
      <c r="N943" s="10" t="s">
        <v>45</v>
      </c>
      <c r="Q943"/>
    </row>
    <row r="944" spans="1:17" x14ac:dyDescent="0.25">
      <c r="A944" s="9" t="s">
        <v>1787</v>
      </c>
      <c r="B944" s="2">
        <v>45300</v>
      </c>
      <c r="C944" s="1" t="s">
        <v>80</v>
      </c>
      <c r="D944" s="1" t="s">
        <v>40</v>
      </c>
      <c r="E944" s="1" t="s">
        <v>27</v>
      </c>
      <c r="F944" s="1" t="s">
        <v>49</v>
      </c>
      <c r="G944" s="1" t="s">
        <v>19</v>
      </c>
      <c r="H944" s="1" t="s">
        <v>20</v>
      </c>
      <c r="I944" s="1" t="s">
        <v>583</v>
      </c>
      <c r="J944" s="1">
        <v>8</v>
      </c>
      <c r="K944" s="3">
        <v>19284.97</v>
      </c>
      <c r="L944" s="1">
        <v>10</v>
      </c>
      <c r="M944" s="1" t="s">
        <v>93</v>
      </c>
      <c r="N944" s="10" t="s">
        <v>23</v>
      </c>
      <c r="Q944"/>
    </row>
    <row r="945" spans="1:17" x14ac:dyDescent="0.25">
      <c r="A945" s="9" t="s">
        <v>1789</v>
      </c>
      <c r="B945" s="2">
        <v>45567</v>
      </c>
      <c r="C945" s="1" t="s">
        <v>1790</v>
      </c>
      <c r="D945" s="1" t="s">
        <v>81</v>
      </c>
      <c r="E945" s="1" t="s">
        <v>72</v>
      </c>
      <c r="F945" s="1" t="s">
        <v>99</v>
      </c>
      <c r="G945" s="1" t="s">
        <v>19</v>
      </c>
      <c r="H945" s="1" t="s">
        <v>20</v>
      </c>
      <c r="I945" s="1" t="s">
        <v>213</v>
      </c>
      <c r="J945" s="1">
        <v>6</v>
      </c>
      <c r="K945" s="3">
        <v>7101.74</v>
      </c>
      <c r="L945" s="1">
        <v>10</v>
      </c>
      <c r="M945" s="1" t="s">
        <v>36</v>
      </c>
      <c r="N945" s="10" t="s">
        <v>74</v>
      </c>
      <c r="Q945"/>
    </row>
    <row r="946" spans="1:17" x14ac:dyDescent="0.25">
      <c r="A946" s="9" t="s">
        <v>1791</v>
      </c>
      <c r="B946" s="2">
        <v>45464</v>
      </c>
      <c r="C946" s="1" t="s">
        <v>1411</v>
      </c>
      <c r="D946" s="1" t="s">
        <v>67</v>
      </c>
      <c r="E946" s="1" t="s">
        <v>72</v>
      </c>
      <c r="F946" s="1" t="s">
        <v>49</v>
      </c>
      <c r="G946" s="1" t="s">
        <v>42</v>
      </c>
      <c r="H946" s="1" t="s">
        <v>43</v>
      </c>
      <c r="I946" s="1" t="s">
        <v>566</v>
      </c>
      <c r="J946" s="1">
        <v>8</v>
      </c>
      <c r="K946" s="3">
        <v>38039.79</v>
      </c>
      <c r="L946" s="1">
        <v>15</v>
      </c>
      <c r="M946" s="1" t="s">
        <v>93</v>
      </c>
      <c r="N946" s="10" t="s">
        <v>23</v>
      </c>
      <c r="Q946"/>
    </row>
    <row r="947" spans="1:17" x14ac:dyDescent="0.25">
      <c r="A947" s="9" t="s">
        <v>1792</v>
      </c>
      <c r="B947" s="2">
        <v>45645</v>
      </c>
      <c r="C947" s="1" t="s">
        <v>589</v>
      </c>
      <c r="D947" s="1" t="s">
        <v>71</v>
      </c>
      <c r="E947" s="1" t="s">
        <v>17</v>
      </c>
      <c r="F947" s="1" t="s">
        <v>60</v>
      </c>
      <c r="G947" s="1" t="s">
        <v>42</v>
      </c>
      <c r="H947" s="1" t="s">
        <v>61</v>
      </c>
      <c r="I947" s="1" t="s">
        <v>62</v>
      </c>
      <c r="J947" s="1">
        <v>7</v>
      </c>
      <c r="K947" s="3">
        <v>10921.53</v>
      </c>
      <c r="L947" s="1">
        <v>20</v>
      </c>
      <c r="M947" s="1" t="s">
        <v>69</v>
      </c>
      <c r="N947" s="10" t="s">
        <v>37</v>
      </c>
      <c r="Q947"/>
    </row>
    <row r="948" spans="1:17" x14ac:dyDescent="0.25">
      <c r="A948" s="9" t="s">
        <v>1794</v>
      </c>
      <c r="B948" s="2">
        <v>45122</v>
      </c>
      <c r="C948" s="1" t="s">
        <v>1795</v>
      </c>
      <c r="D948" s="1" t="s">
        <v>147</v>
      </c>
      <c r="E948" s="1" t="s">
        <v>41</v>
      </c>
      <c r="F948" s="1" t="s">
        <v>82</v>
      </c>
      <c r="G948" s="1" t="s">
        <v>53</v>
      </c>
      <c r="H948" s="1" t="s">
        <v>54</v>
      </c>
      <c r="I948" s="1" t="s">
        <v>479</v>
      </c>
      <c r="J948" s="1">
        <v>5</v>
      </c>
      <c r="K948" s="3">
        <v>15543.42</v>
      </c>
      <c r="L948" s="1">
        <v>5</v>
      </c>
      <c r="M948" s="1" t="s">
        <v>69</v>
      </c>
      <c r="N948" s="10" t="s">
        <v>37</v>
      </c>
      <c r="Q948"/>
    </row>
    <row r="949" spans="1:17" x14ac:dyDescent="0.25">
      <c r="A949" s="9" t="s">
        <v>1796</v>
      </c>
      <c r="B949" s="2">
        <v>45156</v>
      </c>
      <c r="C949" s="1" t="s">
        <v>1797</v>
      </c>
      <c r="D949" s="1" t="s">
        <v>81</v>
      </c>
      <c r="E949" s="1" t="s">
        <v>17</v>
      </c>
      <c r="F949" s="1" t="s">
        <v>60</v>
      </c>
      <c r="G949" s="1" t="s">
        <v>19</v>
      </c>
      <c r="H949" s="1" t="s">
        <v>29</v>
      </c>
      <c r="I949" s="1" t="s">
        <v>141</v>
      </c>
      <c r="J949" s="1">
        <v>6</v>
      </c>
      <c r="K949" s="3">
        <v>26886.06</v>
      </c>
      <c r="L949" s="1">
        <v>5</v>
      </c>
      <c r="M949" s="1" t="s">
        <v>93</v>
      </c>
      <c r="N949" s="10" t="s">
        <v>37</v>
      </c>
      <c r="Q949"/>
    </row>
    <row r="950" spans="1:17" x14ac:dyDescent="0.25">
      <c r="A950" s="9" t="s">
        <v>1798</v>
      </c>
      <c r="B950" s="2">
        <v>45566</v>
      </c>
      <c r="C950" s="1" t="s">
        <v>1799</v>
      </c>
      <c r="D950" s="1" t="s">
        <v>33</v>
      </c>
      <c r="E950" s="1" t="s">
        <v>59</v>
      </c>
      <c r="F950" s="1" t="s">
        <v>82</v>
      </c>
      <c r="G950" s="1" t="s">
        <v>42</v>
      </c>
      <c r="H950" s="1" t="s">
        <v>61</v>
      </c>
      <c r="I950" s="1" t="s">
        <v>632</v>
      </c>
      <c r="J950" s="1">
        <v>8</v>
      </c>
      <c r="K950" s="3">
        <v>24050.34</v>
      </c>
      <c r="L950" s="1" t="s">
        <v>110</v>
      </c>
      <c r="M950" s="1" t="s">
        <v>56</v>
      </c>
      <c r="N950" s="10" t="s">
        <v>64</v>
      </c>
      <c r="Q950"/>
    </row>
    <row r="951" spans="1:17" x14ac:dyDescent="0.25">
      <c r="A951" s="9" t="s">
        <v>1800</v>
      </c>
      <c r="B951" s="2">
        <v>45008</v>
      </c>
      <c r="C951" s="1" t="s">
        <v>338</v>
      </c>
      <c r="D951" s="1" t="s">
        <v>33</v>
      </c>
      <c r="E951" s="1" t="s">
        <v>17</v>
      </c>
      <c r="F951" s="1" t="s">
        <v>49</v>
      </c>
      <c r="G951" s="1" t="s">
        <v>83</v>
      </c>
      <c r="H951" s="1" t="s">
        <v>43</v>
      </c>
      <c r="I951" s="1" t="s">
        <v>144</v>
      </c>
      <c r="J951" s="1">
        <v>4</v>
      </c>
      <c r="K951" s="3">
        <v>14204.39</v>
      </c>
      <c r="L951" s="1">
        <v>10</v>
      </c>
      <c r="M951" s="1" t="s">
        <v>22</v>
      </c>
      <c r="N951" s="10" t="s">
        <v>23</v>
      </c>
      <c r="Q951"/>
    </row>
    <row r="952" spans="1:17" x14ac:dyDescent="0.25">
      <c r="A952" s="9" t="s">
        <v>1801</v>
      </c>
      <c r="B952" s="2">
        <v>45276</v>
      </c>
      <c r="C952" s="1" t="s">
        <v>1135</v>
      </c>
      <c r="D952" s="1" t="s">
        <v>16</v>
      </c>
      <c r="E952" s="1" t="s">
        <v>59</v>
      </c>
      <c r="F952" s="1" t="s">
        <v>88</v>
      </c>
      <c r="G952" s="1" t="s">
        <v>19</v>
      </c>
      <c r="H952" s="1" t="s">
        <v>20</v>
      </c>
      <c r="I952" s="1" t="s">
        <v>583</v>
      </c>
      <c r="J952" s="1">
        <v>8</v>
      </c>
      <c r="K952" s="3">
        <v>17511.560000000001</v>
      </c>
      <c r="L952" s="1">
        <v>10</v>
      </c>
      <c r="M952" s="1" t="s">
        <v>69</v>
      </c>
      <c r="N952" s="10" t="s">
        <v>45</v>
      </c>
      <c r="Q952"/>
    </row>
    <row r="953" spans="1:17" x14ac:dyDescent="0.25">
      <c r="A953" s="9" t="s">
        <v>1802</v>
      </c>
      <c r="B953" s="2">
        <v>45182</v>
      </c>
      <c r="C953" s="1" t="s">
        <v>1803</v>
      </c>
      <c r="D953" s="1" t="s">
        <v>81</v>
      </c>
      <c r="E953" s="1" t="s">
        <v>17</v>
      </c>
      <c r="F953" s="1" t="s">
        <v>99</v>
      </c>
      <c r="G953" s="1" t="s">
        <v>19</v>
      </c>
      <c r="H953" s="1" t="s">
        <v>29</v>
      </c>
      <c r="I953" s="1" t="s">
        <v>162</v>
      </c>
      <c r="J953" s="1">
        <v>10</v>
      </c>
      <c r="K953" s="3">
        <v>15513.78</v>
      </c>
      <c r="L953" s="1">
        <v>10</v>
      </c>
      <c r="M953" s="1" t="s">
        <v>22</v>
      </c>
      <c r="N953" s="10" t="s">
        <v>31</v>
      </c>
      <c r="Q953"/>
    </row>
    <row r="954" spans="1:17" x14ac:dyDescent="0.25">
      <c r="A954" s="9" t="s">
        <v>1804</v>
      </c>
      <c r="B954" s="2">
        <v>45364</v>
      </c>
      <c r="C954" s="1" t="s">
        <v>335</v>
      </c>
      <c r="D954" s="1" t="s">
        <v>52</v>
      </c>
      <c r="E954" s="1" t="s">
        <v>27</v>
      </c>
      <c r="F954" s="1" t="s">
        <v>82</v>
      </c>
      <c r="G954" s="1" t="s">
        <v>19</v>
      </c>
      <c r="H954" s="1" t="s">
        <v>29</v>
      </c>
      <c r="I954" s="1" t="s">
        <v>635</v>
      </c>
      <c r="J954" s="1">
        <v>6</v>
      </c>
      <c r="K954" s="3">
        <v>11364.46</v>
      </c>
      <c r="L954" s="1" t="s">
        <v>110</v>
      </c>
      <c r="M954" s="1" t="s">
        <v>69</v>
      </c>
      <c r="N954" s="10" t="s">
        <v>64</v>
      </c>
      <c r="Q954"/>
    </row>
    <row r="955" spans="1:17" x14ac:dyDescent="0.25">
      <c r="A955" s="9" t="s">
        <v>468</v>
      </c>
      <c r="B955" s="2">
        <v>45160</v>
      </c>
      <c r="C955" s="1" t="s">
        <v>1564</v>
      </c>
      <c r="D955" s="1" t="s">
        <v>81</v>
      </c>
      <c r="E955" s="1" t="s">
        <v>27</v>
      </c>
      <c r="F955" s="1" t="s">
        <v>28</v>
      </c>
      <c r="G955" s="1" t="s">
        <v>83</v>
      </c>
      <c r="H955" s="1" t="s">
        <v>43</v>
      </c>
      <c r="I955" s="1" t="s">
        <v>288</v>
      </c>
      <c r="J955" s="1">
        <v>10</v>
      </c>
      <c r="K955" s="3">
        <v>39614.43</v>
      </c>
      <c r="L955" s="1">
        <v>15</v>
      </c>
      <c r="M955" s="1" t="s">
        <v>36</v>
      </c>
      <c r="N955" s="10" t="s">
        <v>74</v>
      </c>
      <c r="Q955"/>
    </row>
    <row r="956" spans="1:17" x14ac:dyDescent="0.25">
      <c r="A956" s="9" t="s">
        <v>1805</v>
      </c>
      <c r="B956" s="2">
        <v>45403</v>
      </c>
      <c r="C956" s="1" t="s">
        <v>1806</v>
      </c>
      <c r="D956" s="1" t="s">
        <v>40</v>
      </c>
      <c r="E956" s="1" t="s">
        <v>34</v>
      </c>
      <c r="F956" s="1" t="s">
        <v>28</v>
      </c>
      <c r="G956" s="1" t="s">
        <v>42</v>
      </c>
      <c r="H956" s="1" t="s">
        <v>61</v>
      </c>
      <c r="I956" s="1" t="s">
        <v>250</v>
      </c>
      <c r="J956" s="1">
        <v>10</v>
      </c>
      <c r="K956" s="3">
        <v>11269.75</v>
      </c>
      <c r="L956" s="1" t="s">
        <v>110</v>
      </c>
      <c r="M956" s="1" t="s">
        <v>36</v>
      </c>
      <c r="N956" s="10" t="s">
        <v>37</v>
      </c>
      <c r="Q956"/>
    </row>
    <row r="957" spans="1:17" x14ac:dyDescent="0.25">
      <c r="A957" s="9" t="s">
        <v>1807</v>
      </c>
      <c r="B957" s="2">
        <v>45260</v>
      </c>
      <c r="C957" s="1" t="s">
        <v>433</v>
      </c>
      <c r="D957" s="1" t="s">
        <v>33</v>
      </c>
      <c r="E957" s="1" t="s">
        <v>59</v>
      </c>
      <c r="F957" s="1" t="s">
        <v>82</v>
      </c>
      <c r="G957" s="1" t="s">
        <v>42</v>
      </c>
      <c r="H957" s="1" t="s">
        <v>61</v>
      </c>
      <c r="I957" s="1" t="s">
        <v>357</v>
      </c>
      <c r="J957" s="1">
        <v>9</v>
      </c>
      <c r="K957" s="3">
        <v>5869.04</v>
      </c>
      <c r="L957" s="1">
        <v>0</v>
      </c>
      <c r="M957" s="1" t="s">
        <v>93</v>
      </c>
      <c r="N957" s="10" t="s">
        <v>74</v>
      </c>
      <c r="Q957"/>
    </row>
    <row r="958" spans="1:17" x14ac:dyDescent="0.25">
      <c r="A958" s="9" t="s">
        <v>1808</v>
      </c>
      <c r="B958" s="2">
        <v>45441</v>
      </c>
      <c r="C958" s="1" t="s">
        <v>369</v>
      </c>
      <c r="D958" s="1" t="s">
        <v>40</v>
      </c>
      <c r="E958" s="1" t="s">
        <v>17</v>
      </c>
      <c r="F958" s="1" t="s">
        <v>99</v>
      </c>
      <c r="G958" s="1" t="s">
        <v>42</v>
      </c>
      <c r="H958" s="1" t="s">
        <v>61</v>
      </c>
      <c r="I958" s="1" t="s">
        <v>357</v>
      </c>
      <c r="J958" s="1">
        <v>10</v>
      </c>
      <c r="K958" s="3">
        <v>1282.5999999999999</v>
      </c>
      <c r="L958" s="1" t="s">
        <v>110</v>
      </c>
      <c r="M958" s="1" t="s">
        <v>56</v>
      </c>
      <c r="N958" s="10" t="s">
        <v>31</v>
      </c>
      <c r="Q958"/>
    </row>
    <row r="959" spans="1:17" x14ac:dyDescent="0.25">
      <c r="A959" s="9" t="s">
        <v>1809</v>
      </c>
      <c r="B959" s="2">
        <v>45034</v>
      </c>
      <c r="C959" s="1" t="s">
        <v>1810</v>
      </c>
      <c r="D959" s="1" t="s">
        <v>16</v>
      </c>
      <c r="E959" s="1" t="s">
        <v>34</v>
      </c>
      <c r="F959" s="1" t="s">
        <v>60</v>
      </c>
      <c r="G959" s="1" t="s">
        <v>19</v>
      </c>
      <c r="H959" s="1" t="s">
        <v>20</v>
      </c>
      <c r="I959" s="1" t="s">
        <v>138</v>
      </c>
      <c r="J959" s="1">
        <v>9</v>
      </c>
      <c r="K959" s="3">
        <v>24494.99</v>
      </c>
      <c r="L959" s="1" t="s">
        <v>110</v>
      </c>
      <c r="M959" s="1" t="s">
        <v>36</v>
      </c>
      <c r="N959" s="10" t="s">
        <v>31</v>
      </c>
      <c r="Q959"/>
    </row>
    <row r="960" spans="1:17" x14ac:dyDescent="0.25">
      <c r="A960" s="9" t="s">
        <v>1811</v>
      </c>
      <c r="B960" s="2">
        <v>45089</v>
      </c>
      <c r="C960" s="1" t="s">
        <v>47</v>
      </c>
      <c r="D960" s="1" t="s">
        <v>16</v>
      </c>
      <c r="E960" s="1" t="s">
        <v>72</v>
      </c>
      <c r="F960" s="1" t="s">
        <v>18</v>
      </c>
      <c r="G960" s="1" t="s">
        <v>83</v>
      </c>
      <c r="H960" s="1" t="s">
        <v>43</v>
      </c>
      <c r="I960" s="1" t="s">
        <v>566</v>
      </c>
      <c r="J960" s="1">
        <v>5</v>
      </c>
      <c r="K960" s="3">
        <v>6544.7</v>
      </c>
      <c r="L960" s="1">
        <v>20</v>
      </c>
      <c r="M960" s="1" t="s">
        <v>69</v>
      </c>
      <c r="N960" s="10" t="s">
        <v>74</v>
      </c>
      <c r="Q960"/>
    </row>
    <row r="961" spans="1:17" x14ac:dyDescent="0.25">
      <c r="A961" s="9" t="s">
        <v>1812</v>
      </c>
      <c r="B961" s="2">
        <v>45214</v>
      </c>
      <c r="C961" s="1" t="s">
        <v>920</v>
      </c>
      <c r="D961" s="1" t="s">
        <v>26</v>
      </c>
      <c r="E961" s="1" t="s">
        <v>72</v>
      </c>
      <c r="F961" s="1" t="s">
        <v>88</v>
      </c>
      <c r="G961" s="1" t="s">
        <v>19</v>
      </c>
      <c r="H961" s="1" t="s">
        <v>20</v>
      </c>
      <c r="I961" s="1" t="s">
        <v>731</v>
      </c>
      <c r="J961" s="1">
        <v>10</v>
      </c>
      <c r="K961" s="3">
        <v>22948.6</v>
      </c>
      <c r="L961" s="1">
        <v>15</v>
      </c>
      <c r="M961" s="1" t="s">
        <v>63</v>
      </c>
      <c r="N961" s="10" t="s">
        <v>37</v>
      </c>
      <c r="Q961"/>
    </row>
    <row r="962" spans="1:17" x14ac:dyDescent="0.25">
      <c r="A962" s="9" t="s">
        <v>1814</v>
      </c>
      <c r="B962" s="2">
        <v>44946</v>
      </c>
      <c r="C962" s="1" t="s">
        <v>1253</v>
      </c>
      <c r="D962" s="1" t="s">
        <v>81</v>
      </c>
      <c r="E962" s="1" t="s">
        <v>17</v>
      </c>
      <c r="F962" s="1" t="s">
        <v>18</v>
      </c>
      <c r="G962" s="1" t="s">
        <v>42</v>
      </c>
      <c r="H962" s="1" t="s">
        <v>61</v>
      </c>
      <c r="I962" s="1" t="s">
        <v>833</v>
      </c>
      <c r="J962" s="1">
        <v>3</v>
      </c>
      <c r="K962" s="3">
        <v>840.84</v>
      </c>
      <c r="L962" s="1">
        <v>5</v>
      </c>
      <c r="M962" s="1" t="s">
        <v>93</v>
      </c>
      <c r="N962" s="10" t="s">
        <v>37</v>
      </c>
      <c r="Q962"/>
    </row>
    <row r="963" spans="1:17" x14ac:dyDescent="0.25">
      <c r="A963" s="9" t="s">
        <v>1815</v>
      </c>
      <c r="B963" s="2">
        <v>45097</v>
      </c>
      <c r="C963" s="1" t="s">
        <v>1474</v>
      </c>
      <c r="D963" s="1" t="s">
        <v>52</v>
      </c>
      <c r="E963" s="1" t="s">
        <v>41</v>
      </c>
      <c r="F963" s="1" t="s">
        <v>99</v>
      </c>
      <c r="G963" s="1" t="s">
        <v>83</v>
      </c>
      <c r="H963" s="1" t="s">
        <v>43</v>
      </c>
      <c r="I963" s="1" t="s">
        <v>182</v>
      </c>
      <c r="J963" s="1">
        <v>5</v>
      </c>
      <c r="K963" s="3">
        <v>20326.38</v>
      </c>
      <c r="L963" s="1">
        <v>15</v>
      </c>
      <c r="M963" s="1" t="s">
        <v>69</v>
      </c>
      <c r="N963" s="10" t="s">
        <v>31</v>
      </c>
      <c r="Q963"/>
    </row>
    <row r="964" spans="1:17" x14ac:dyDescent="0.25">
      <c r="A964" s="9" t="s">
        <v>1816</v>
      </c>
      <c r="B964" s="2">
        <v>45495</v>
      </c>
      <c r="C964" s="1" t="s">
        <v>1817</v>
      </c>
      <c r="D964" s="1" t="s">
        <v>118</v>
      </c>
      <c r="E964" s="1" t="s">
        <v>59</v>
      </c>
      <c r="F964" s="1" t="s">
        <v>28</v>
      </c>
      <c r="G964" s="1" t="s">
        <v>42</v>
      </c>
      <c r="H964" s="1" t="s">
        <v>61</v>
      </c>
      <c r="I964" s="1" t="s">
        <v>302</v>
      </c>
      <c r="J964" s="1">
        <v>5</v>
      </c>
      <c r="K964" s="3">
        <v>5875.5</v>
      </c>
      <c r="L964" s="1">
        <v>10</v>
      </c>
      <c r="M964" s="1" t="s">
        <v>56</v>
      </c>
      <c r="N964" s="10" t="s">
        <v>23</v>
      </c>
      <c r="Q964"/>
    </row>
    <row r="965" spans="1:17" x14ac:dyDescent="0.25">
      <c r="A965" s="9" t="s">
        <v>1818</v>
      </c>
      <c r="B965" s="2">
        <v>45642</v>
      </c>
      <c r="C965" s="1" t="s">
        <v>1267</v>
      </c>
      <c r="D965" s="1" t="s">
        <v>33</v>
      </c>
      <c r="E965" s="1" t="s">
        <v>17</v>
      </c>
      <c r="F965" s="1" t="s">
        <v>88</v>
      </c>
      <c r="G965" s="1" t="s">
        <v>53</v>
      </c>
      <c r="H965" s="1" t="s">
        <v>54</v>
      </c>
      <c r="I965" s="1" t="s">
        <v>1053</v>
      </c>
      <c r="J965" s="1">
        <v>10</v>
      </c>
      <c r="K965" s="3">
        <v>46245.5</v>
      </c>
      <c r="L965" s="1">
        <v>15</v>
      </c>
      <c r="M965" s="1" t="s">
        <v>36</v>
      </c>
      <c r="N965" s="10" t="s">
        <v>31</v>
      </c>
      <c r="Q965"/>
    </row>
    <row r="966" spans="1:17" x14ac:dyDescent="0.25">
      <c r="A966" s="9" t="s">
        <v>1819</v>
      </c>
      <c r="B966" s="2">
        <v>44947</v>
      </c>
      <c r="C966" s="1" t="s">
        <v>931</v>
      </c>
      <c r="D966" s="1" t="s">
        <v>147</v>
      </c>
      <c r="E966" s="1" t="s">
        <v>27</v>
      </c>
      <c r="F966" s="1" t="s">
        <v>49</v>
      </c>
      <c r="G966" s="1" t="s">
        <v>19</v>
      </c>
      <c r="H966" s="1" t="s">
        <v>20</v>
      </c>
      <c r="I966" s="1" t="s">
        <v>164</v>
      </c>
      <c r="J966" s="1">
        <v>10</v>
      </c>
      <c r="K966" s="3">
        <v>42512.53</v>
      </c>
      <c r="L966" s="1">
        <v>5</v>
      </c>
      <c r="M966" s="1" t="s">
        <v>93</v>
      </c>
      <c r="N966" s="10" t="s">
        <v>31</v>
      </c>
      <c r="Q966"/>
    </row>
    <row r="967" spans="1:17" x14ac:dyDescent="0.25">
      <c r="A967" s="9" t="s">
        <v>1820</v>
      </c>
      <c r="B967" s="2">
        <v>45308</v>
      </c>
      <c r="C967" s="1" t="s">
        <v>1821</v>
      </c>
      <c r="D967" s="1" t="s">
        <v>147</v>
      </c>
      <c r="E967" s="1" t="s">
        <v>27</v>
      </c>
      <c r="F967" s="1" t="s">
        <v>49</v>
      </c>
      <c r="G967" s="1" t="s">
        <v>19</v>
      </c>
      <c r="H967" s="1" t="s">
        <v>29</v>
      </c>
      <c r="I967" s="1" t="s">
        <v>693</v>
      </c>
      <c r="J967" s="1">
        <v>9</v>
      </c>
      <c r="K967" s="3">
        <v>33711.03</v>
      </c>
      <c r="L967" s="1">
        <v>20</v>
      </c>
      <c r="M967" s="1" t="s">
        <v>63</v>
      </c>
      <c r="N967" s="10" t="s">
        <v>37</v>
      </c>
      <c r="Q967"/>
    </row>
    <row r="968" spans="1:17" x14ac:dyDescent="0.25">
      <c r="A968" s="9" t="s">
        <v>1822</v>
      </c>
      <c r="B968" s="2">
        <v>45229</v>
      </c>
      <c r="C968" s="1" t="s">
        <v>1823</v>
      </c>
      <c r="D968" s="1" t="s">
        <v>33</v>
      </c>
      <c r="E968" s="1" t="s">
        <v>17</v>
      </c>
      <c r="F968" s="1" t="s">
        <v>18</v>
      </c>
      <c r="G968" s="1" t="s">
        <v>53</v>
      </c>
      <c r="H968" s="1" t="s">
        <v>54</v>
      </c>
      <c r="I968" s="1" t="s">
        <v>173</v>
      </c>
      <c r="J968" s="1">
        <v>3</v>
      </c>
      <c r="K968" s="3">
        <v>12948.89</v>
      </c>
      <c r="L968" s="1">
        <v>0</v>
      </c>
      <c r="M968" s="1" t="s">
        <v>63</v>
      </c>
      <c r="N968" s="10" t="s">
        <v>45</v>
      </c>
      <c r="Q968"/>
    </row>
    <row r="969" spans="1:17" x14ac:dyDescent="0.25">
      <c r="A969" s="9" t="s">
        <v>1824</v>
      </c>
      <c r="B969" s="2">
        <v>44948</v>
      </c>
      <c r="C969" s="1" t="s">
        <v>1547</v>
      </c>
      <c r="D969" s="1" t="s">
        <v>40</v>
      </c>
      <c r="E969" s="1" t="s">
        <v>34</v>
      </c>
      <c r="F969" s="1" t="s">
        <v>99</v>
      </c>
      <c r="G969" s="1" t="s">
        <v>53</v>
      </c>
      <c r="H969" s="1" t="s">
        <v>54</v>
      </c>
      <c r="I969" s="1" t="s">
        <v>946</v>
      </c>
      <c r="J969" s="1">
        <v>5</v>
      </c>
      <c r="K969" s="3">
        <v>7352.24</v>
      </c>
      <c r="L969" s="1">
        <v>10</v>
      </c>
      <c r="M969" s="1" t="s">
        <v>63</v>
      </c>
      <c r="N969" s="10" t="s">
        <v>23</v>
      </c>
      <c r="Q969"/>
    </row>
    <row r="970" spans="1:17" x14ac:dyDescent="0.25">
      <c r="A970" s="9" t="s">
        <v>1825</v>
      </c>
      <c r="B970" s="2">
        <v>45413</v>
      </c>
      <c r="C970" s="1" t="s">
        <v>1355</v>
      </c>
      <c r="D970" s="1" t="s">
        <v>16</v>
      </c>
      <c r="E970" s="1" t="s">
        <v>27</v>
      </c>
      <c r="F970" s="1" t="s">
        <v>99</v>
      </c>
      <c r="G970" s="1" t="s">
        <v>42</v>
      </c>
      <c r="H970" s="1" t="s">
        <v>43</v>
      </c>
      <c r="I970" s="1" t="s">
        <v>100</v>
      </c>
      <c r="J970" s="1">
        <v>4</v>
      </c>
      <c r="K970" s="3">
        <v>4608.38</v>
      </c>
      <c r="L970" s="1">
        <v>10</v>
      </c>
      <c r="M970" s="1" t="s">
        <v>36</v>
      </c>
      <c r="N970" s="10" t="s">
        <v>45</v>
      </c>
      <c r="Q970"/>
    </row>
    <row r="971" spans="1:17" x14ac:dyDescent="0.25">
      <c r="A971" s="9" t="s">
        <v>1826</v>
      </c>
      <c r="B971" s="2">
        <v>45433</v>
      </c>
      <c r="C971" s="1" t="s">
        <v>1603</v>
      </c>
      <c r="D971" s="1" t="s">
        <v>26</v>
      </c>
      <c r="E971" s="1" t="s">
        <v>27</v>
      </c>
      <c r="F971" s="1" t="s">
        <v>49</v>
      </c>
      <c r="G971" s="1" t="s">
        <v>83</v>
      </c>
      <c r="H971" s="1" t="s">
        <v>43</v>
      </c>
      <c r="I971" s="1" t="s">
        <v>348</v>
      </c>
      <c r="J971" s="1">
        <v>2</v>
      </c>
      <c r="K971" s="3">
        <v>8936.1299999999992</v>
      </c>
      <c r="L971" s="1">
        <v>5</v>
      </c>
      <c r="M971" s="1" t="s">
        <v>93</v>
      </c>
      <c r="N971" s="10" t="s">
        <v>74</v>
      </c>
      <c r="Q971"/>
    </row>
    <row r="972" spans="1:17" x14ac:dyDescent="0.25">
      <c r="A972" s="9" t="s">
        <v>1827</v>
      </c>
      <c r="B972" s="2">
        <v>45638</v>
      </c>
      <c r="C972" s="1" t="s">
        <v>1828</v>
      </c>
      <c r="D972" s="1" t="s">
        <v>52</v>
      </c>
      <c r="E972" s="1" t="s">
        <v>27</v>
      </c>
      <c r="F972" s="1" t="s">
        <v>18</v>
      </c>
      <c r="G972" s="1" t="s">
        <v>42</v>
      </c>
      <c r="H972" s="1" t="s">
        <v>61</v>
      </c>
      <c r="I972" s="1" t="s">
        <v>196</v>
      </c>
      <c r="J972" s="1">
        <v>7</v>
      </c>
      <c r="K972" s="3">
        <v>19269.63</v>
      </c>
      <c r="L972" s="1">
        <v>15</v>
      </c>
      <c r="M972" s="1" t="s">
        <v>22</v>
      </c>
      <c r="N972" s="10" t="s">
        <v>74</v>
      </c>
      <c r="Q972"/>
    </row>
    <row r="973" spans="1:17" x14ac:dyDescent="0.25">
      <c r="A973" s="9" t="s">
        <v>1829</v>
      </c>
      <c r="B973" s="2">
        <v>45359</v>
      </c>
      <c r="C973" s="1" t="s">
        <v>1830</v>
      </c>
      <c r="D973" s="1" t="s">
        <v>87</v>
      </c>
      <c r="E973" s="1" t="s">
        <v>72</v>
      </c>
      <c r="F973" s="1" t="s">
        <v>28</v>
      </c>
      <c r="G973" s="1" t="s">
        <v>42</v>
      </c>
      <c r="H973" s="1" t="s">
        <v>43</v>
      </c>
      <c r="I973" s="1" t="s">
        <v>329</v>
      </c>
      <c r="J973" s="1">
        <v>2</v>
      </c>
      <c r="K973" s="3">
        <v>8657.75</v>
      </c>
      <c r="L973" s="1">
        <v>15</v>
      </c>
      <c r="M973" s="1" t="s">
        <v>22</v>
      </c>
      <c r="N973" s="10" t="s">
        <v>64</v>
      </c>
      <c r="Q973"/>
    </row>
    <row r="974" spans="1:17" x14ac:dyDescent="0.25">
      <c r="A974" s="9" t="s">
        <v>1831</v>
      </c>
      <c r="B974" s="2">
        <v>45563</v>
      </c>
      <c r="C974" s="1" t="s">
        <v>257</v>
      </c>
      <c r="D974" s="1" t="s">
        <v>26</v>
      </c>
      <c r="E974" s="1" t="s">
        <v>17</v>
      </c>
      <c r="F974" s="1" t="s">
        <v>60</v>
      </c>
      <c r="G974" s="1" t="s">
        <v>53</v>
      </c>
      <c r="H974" s="1" t="s">
        <v>54</v>
      </c>
      <c r="I974" s="1" t="s">
        <v>608</v>
      </c>
      <c r="J974" s="1">
        <v>2</v>
      </c>
      <c r="K974" s="3">
        <v>8607.91</v>
      </c>
      <c r="L974" s="1">
        <v>20</v>
      </c>
      <c r="M974" s="1" t="s">
        <v>93</v>
      </c>
      <c r="N974" s="10" t="s">
        <v>23</v>
      </c>
      <c r="Q974"/>
    </row>
    <row r="975" spans="1:17" x14ac:dyDescent="0.25">
      <c r="A975" s="9" t="s">
        <v>1832</v>
      </c>
      <c r="B975" s="2">
        <v>45230</v>
      </c>
      <c r="C975" s="1" t="s">
        <v>296</v>
      </c>
      <c r="D975" s="1" t="s">
        <v>81</v>
      </c>
      <c r="E975" s="1" t="s">
        <v>17</v>
      </c>
      <c r="F975" s="1" t="s">
        <v>88</v>
      </c>
      <c r="G975" s="1" t="s">
        <v>19</v>
      </c>
      <c r="H975" s="1" t="s">
        <v>20</v>
      </c>
      <c r="I975" s="1" t="s">
        <v>928</v>
      </c>
      <c r="J975" s="1">
        <v>5</v>
      </c>
      <c r="K975" s="3">
        <v>12045.77</v>
      </c>
      <c r="L975" s="1">
        <v>5</v>
      </c>
      <c r="M975" s="1" t="s">
        <v>93</v>
      </c>
      <c r="N975" s="10" t="s">
        <v>37</v>
      </c>
      <c r="Q975"/>
    </row>
    <row r="976" spans="1:17" x14ac:dyDescent="0.25">
      <c r="A976" s="9" t="s">
        <v>1833</v>
      </c>
      <c r="B976" s="2">
        <v>45087</v>
      </c>
      <c r="C976" s="1" t="s">
        <v>1834</v>
      </c>
      <c r="D976" s="1" t="s">
        <v>40</v>
      </c>
      <c r="E976" s="1" t="s">
        <v>72</v>
      </c>
      <c r="F976" s="1" t="s">
        <v>28</v>
      </c>
      <c r="G976" s="1" t="s">
        <v>19</v>
      </c>
      <c r="H976" s="1" t="s">
        <v>29</v>
      </c>
      <c r="I976" s="1" t="s">
        <v>374</v>
      </c>
      <c r="J976" s="1">
        <v>2</v>
      </c>
      <c r="K976" s="3">
        <v>8284.44</v>
      </c>
      <c r="L976" s="1">
        <v>15</v>
      </c>
      <c r="M976" s="1" t="s">
        <v>36</v>
      </c>
      <c r="N976" s="10" t="s">
        <v>23</v>
      </c>
      <c r="Q976"/>
    </row>
    <row r="977" spans="1:17" x14ac:dyDescent="0.25">
      <c r="A977" s="9" t="s">
        <v>1835</v>
      </c>
      <c r="B977" s="2">
        <v>45497</v>
      </c>
      <c r="C977" s="1" t="s">
        <v>1479</v>
      </c>
      <c r="D977" s="1" t="s">
        <v>40</v>
      </c>
      <c r="E977" s="1" t="s">
        <v>34</v>
      </c>
      <c r="F977" s="1" t="s">
        <v>82</v>
      </c>
      <c r="G977" s="1" t="s">
        <v>42</v>
      </c>
      <c r="H977" s="1" t="s">
        <v>43</v>
      </c>
      <c r="I977" s="1" t="s">
        <v>258</v>
      </c>
      <c r="J977" s="1">
        <v>1</v>
      </c>
      <c r="K977" s="3">
        <v>3057.42</v>
      </c>
      <c r="L977" s="1">
        <v>5</v>
      </c>
      <c r="M977" s="1" t="s">
        <v>93</v>
      </c>
      <c r="N977" s="10" t="s">
        <v>37</v>
      </c>
      <c r="Q977"/>
    </row>
    <row r="978" spans="1:17" x14ac:dyDescent="0.25">
      <c r="A978" s="9" t="s">
        <v>1836</v>
      </c>
      <c r="B978" s="2">
        <v>45035</v>
      </c>
      <c r="C978" s="1" t="s">
        <v>699</v>
      </c>
      <c r="D978" s="1" t="s">
        <v>33</v>
      </c>
      <c r="E978" s="1" t="s">
        <v>34</v>
      </c>
      <c r="F978" s="1" t="s">
        <v>60</v>
      </c>
      <c r="G978" s="1" t="s">
        <v>19</v>
      </c>
      <c r="H978" s="1" t="s">
        <v>20</v>
      </c>
      <c r="I978" s="1" t="s">
        <v>179</v>
      </c>
      <c r="J978" s="1">
        <v>5</v>
      </c>
      <c r="K978" s="3">
        <v>11731.81</v>
      </c>
      <c r="L978" s="1">
        <v>10</v>
      </c>
      <c r="M978" s="1" t="s">
        <v>93</v>
      </c>
      <c r="N978" s="10" t="s">
        <v>31</v>
      </c>
      <c r="Q978"/>
    </row>
    <row r="979" spans="1:17" x14ac:dyDescent="0.25">
      <c r="A979" s="9" t="s">
        <v>1837</v>
      </c>
      <c r="B979" s="2">
        <v>44983</v>
      </c>
      <c r="C979" s="1" t="s">
        <v>497</v>
      </c>
      <c r="D979" s="1" t="s">
        <v>87</v>
      </c>
      <c r="E979" s="1" t="s">
        <v>27</v>
      </c>
      <c r="F979" s="1" t="s">
        <v>82</v>
      </c>
      <c r="G979" s="1" t="s">
        <v>83</v>
      </c>
      <c r="H979" s="1" t="s">
        <v>43</v>
      </c>
      <c r="I979" s="1" t="s">
        <v>488</v>
      </c>
      <c r="J979" s="1">
        <v>6</v>
      </c>
      <c r="K979" s="3">
        <v>10488.35</v>
      </c>
      <c r="L979" s="1" t="s">
        <v>110</v>
      </c>
      <c r="M979" s="1" t="s">
        <v>69</v>
      </c>
      <c r="N979" s="10" t="s">
        <v>31</v>
      </c>
      <c r="Q979"/>
    </row>
    <row r="980" spans="1:17" x14ac:dyDescent="0.25">
      <c r="A980" s="9" t="s">
        <v>1838</v>
      </c>
      <c r="B980" s="2">
        <v>45309</v>
      </c>
      <c r="C980" s="1" t="s">
        <v>793</v>
      </c>
      <c r="D980" s="1" t="s">
        <v>16</v>
      </c>
      <c r="E980" s="1" t="s">
        <v>59</v>
      </c>
      <c r="F980" s="1" t="s">
        <v>82</v>
      </c>
      <c r="G980" s="1" t="s">
        <v>42</v>
      </c>
      <c r="H980" s="1" t="s">
        <v>61</v>
      </c>
      <c r="I980" s="1" t="s">
        <v>106</v>
      </c>
      <c r="J980" s="1">
        <v>1</v>
      </c>
      <c r="K980" s="3">
        <v>1219.8800000000001</v>
      </c>
      <c r="L980" s="1" t="s">
        <v>110</v>
      </c>
      <c r="M980" s="1" t="s">
        <v>56</v>
      </c>
      <c r="N980" s="10" t="s">
        <v>64</v>
      </c>
      <c r="Q980"/>
    </row>
    <row r="981" spans="1:17" x14ac:dyDescent="0.25">
      <c r="A981" s="9" t="s">
        <v>1839</v>
      </c>
      <c r="B981" s="2">
        <v>45342</v>
      </c>
      <c r="C981" s="1" t="s">
        <v>1840</v>
      </c>
      <c r="D981" s="1" t="s">
        <v>147</v>
      </c>
      <c r="E981" s="1" t="s">
        <v>34</v>
      </c>
      <c r="F981" s="1" t="s">
        <v>28</v>
      </c>
      <c r="G981" s="1" t="s">
        <v>83</v>
      </c>
      <c r="H981" s="1" t="s">
        <v>43</v>
      </c>
      <c r="I981" s="1" t="s">
        <v>157</v>
      </c>
      <c r="J981" s="1">
        <v>3</v>
      </c>
      <c r="K981" s="3">
        <v>7096.96</v>
      </c>
      <c r="L981" s="1">
        <v>0</v>
      </c>
      <c r="M981" s="1" t="s">
        <v>63</v>
      </c>
      <c r="N981" s="10" t="s">
        <v>74</v>
      </c>
      <c r="Q981"/>
    </row>
    <row r="982" spans="1:17" x14ac:dyDescent="0.25">
      <c r="A982" s="9" t="s">
        <v>1841</v>
      </c>
      <c r="B982" s="2">
        <v>45474</v>
      </c>
      <c r="C982" s="1" t="s">
        <v>1052</v>
      </c>
      <c r="D982" s="1" t="s">
        <v>147</v>
      </c>
      <c r="E982" s="1" t="s">
        <v>34</v>
      </c>
      <c r="F982" s="1" t="s">
        <v>60</v>
      </c>
      <c r="G982" s="1" t="s">
        <v>19</v>
      </c>
      <c r="H982" s="1" t="s">
        <v>29</v>
      </c>
      <c r="I982" s="1" t="s">
        <v>35</v>
      </c>
      <c r="J982" s="1">
        <v>9</v>
      </c>
      <c r="K982" s="3">
        <v>16143.28</v>
      </c>
      <c r="L982" s="1">
        <v>0</v>
      </c>
      <c r="M982" s="1" t="s">
        <v>56</v>
      </c>
      <c r="N982" s="10" t="s">
        <v>31</v>
      </c>
      <c r="Q982"/>
    </row>
    <row r="983" spans="1:17" x14ac:dyDescent="0.25">
      <c r="A983" s="9" t="s">
        <v>1842</v>
      </c>
      <c r="B983" s="2">
        <v>44932</v>
      </c>
      <c r="C983" s="1" t="s">
        <v>1843</v>
      </c>
      <c r="D983" s="1" t="s">
        <v>52</v>
      </c>
      <c r="E983" s="1" t="s">
        <v>27</v>
      </c>
      <c r="F983" s="1" t="s">
        <v>49</v>
      </c>
      <c r="G983" s="1" t="s">
        <v>42</v>
      </c>
      <c r="H983" s="1" t="s">
        <v>61</v>
      </c>
      <c r="I983" s="1" t="s">
        <v>388</v>
      </c>
      <c r="J983" s="1">
        <v>4</v>
      </c>
      <c r="K983" s="3">
        <v>14339.97</v>
      </c>
      <c r="L983" s="1">
        <v>0</v>
      </c>
      <c r="M983" s="1" t="s">
        <v>56</v>
      </c>
      <c r="N983" s="10" t="s">
        <v>64</v>
      </c>
      <c r="Q983"/>
    </row>
    <row r="984" spans="1:17" x14ac:dyDescent="0.25">
      <c r="A984" s="9" t="s">
        <v>1844</v>
      </c>
      <c r="B984" s="2">
        <v>45644</v>
      </c>
      <c r="C984" s="1" t="s">
        <v>474</v>
      </c>
      <c r="D984" s="1" t="s">
        <v>26</v>
      </c>
      <c r="E984" s="1" t="s">
        <v>59</v>
      </c>
      <c r="F984" s="1" t="s">
        <v>49</v>
      </c>
      <c r="G984" s="1" t="s">
        <v>53</v>
      </c>
      <c r="H984" s="1" t="s">
        <v>54</v>
      </c>
      <c r="I984" s="1" t="s">
        <v>173</v>
      </c>
      <c r="J984" s="1">
        <v>2</v>
      </c>
      <c r="K984" s="3">
        <v>9542.07</v>
      </c>
      <c r="L984" s="1">
        <v>10</v>
      </c>
      <c r="M984" s="1" t="s">
        <v>63</v>
      </c>
      <c r="N984" s="10" t="s">
        <v>64</v>
      </c>
      <c r="Q984"/>
    </row>
    <row r="985" spans="1:17" x14ac:dyDescent="0.25">
      <c r="A985" s="9" t="s">
        <v>1845</v>
      </c>
      <c r="B985" s="2">
        <v>45325</v>
      </c>
      <c r="C985" s="1" t="s">
        <v>1411</v>
      </c>
      <c r="D985" s="1" t="s">
        <v>33</v>
      </c>
      <c r="E985" s="1" t="s">
        <v>34</v>
      </c>
      <c r="F985" s="1" t="s">
        <v>18</v>
      </c>
      <c r="G985" s="1" t="s">
        <v>83</v>
      </c>
      <c r="H985" s="1" t="s">
        <v>43</v>
      </c>
      <c r="I985" s="1" t="s">
        <v>336</v>
      </c>
      <c r="J985" s="1">
        <v>5</v>
      </c>
      <c r="K985" s="3">
        <v>12681.92</v>
      </c>
      <c r="L985" s="1">
        <v>10</v>
      </c>
      <c r="M985" s="1" t="s">
        <v>69</v>
      </c>
      <c r="N985" s="10" t="s">
        <v>45</v>
      </c>
      <c r="Q985"/>
    </row>
    <row r="986" spans="1:17" x14ac:dyDescent="0.25">
      <c r="A986" s="9" t="s">
        <v>1846</v>
      </c>
      <c r="B986" s="2">
        <v>45298</v>
      </c>
      <c r="C986" s="1" t="s">
        <v>894</v>
      </c>
      <c r="D986" s="1" t="s">
        <v>169</v>
      </c>
      <c r="E986" s="1" t="s">
        <v>34</v>
      </c>
      <c r="F986" s="1" t="s">
        <v>18</v>
      </c>
      <c r="G986" s="1" t="s">
        <v>42</v>
      </c>
      <c r="H986" s="1" t="s">
        <v>43</v>
      </c>
      <c r="I986" s="1" t="s">
        <v>258</v>
      </c>
      <c r="J986" s="1">
        <v>10</v>
      </c>
      <c r="K986" s="3">
        <v>2481.37</v>
      </c>
      <c r="L986" s="1">
        <v>20</v>
      </c>
      <c r="M986" s="1" t="s">
        <v>69</v>
      </c>
      <c r="N986" s="10" t="s">
        <v>23</v>
      </c>
      <c r="Q986"/>
    </row>
    <row r="987" spans="1:17" x14ac:dyDescent="0.25">
      <c r="A987" s="9" t="s">
        <v>1847</v>
      </c>
      <c r="B987" s="2">
        <v>45625</v>
      </c>
      <c r="C987" s="1" t="s">
        <v>1538</v>
      </c>
      <c r="D987" s="1" t="s">
        <v>147</v>
      </c>
      <c r="E987" s="1" t="s">
        <v>72</v>
      </c>
      <c r="F987" s="1" t="s">
        <v>28</v>
      </c>
      <c r="G987" s="1" t="s">
        <v>19</v>
      </c>
      <c r="H987" s="1" t="s">
        <v>29</v>
      </c>
      <c r="I987" s="1" t="s">
        <v>885</v>
      </c>
      <c r="J987" s="1">
        <v>9</v>
      </c>
      <c r="K987" s="3">
        <v>37019.5</v>
      </c>
      <c r="L987" s="1">
        <v>0</v>
      </c>
      <c r="M987" s="1" t="s">
        <v>63</v>
      </c>
      <c r="N987" s="10" t="s">
        <v>45</v>
      </c>
      <c r="Q987"/>
    </row>
    <row r="988" spans="1:17" x14ac:dyDescent="0.25">
      <c r="A988" s="9" t="s">
        <v>1848</v>
      </c>
      <c r="B988" s="2">
        <v>45318</v>
      </c>
      <c r="C988" s="1" t="s">
        <v>246</v>
      </c>
      <c r="D988" s="1" t="s">
        <v>16</v>
      </c>
      <c r="E988" s="1" t="s">
        <v>72</v>
      </c>
      <c r="F988" s="1" t="s">
        <v>99</v>
      </c>
      <c r="G988" s="1" t="s">
        <v>42</v>
      </c>
      <c r="H988" s="1" t="s">
        <v>61</v>
      </c>
      <c r="I988" s="1" t="s">
        <v>402</v>
      </c>
      <c r="J988" s="1">
        <v>7</v>
      </c>
      <c r="K988" s="3">
        <v>7660.76</v>
      </c>
      <c r="L988" s="1" t="s">
        <v>110</v>
      </c>
      <c r="M988" s="1" t="s">
        <v>56</v>
      </c>
      <c r="N988" s="10" t="s">
        <v>64</v>
      </c>
      <c r="Q988"/>
    </row>
    <row r="989" spans="1:17" x14ac:dyDescent="0.25">
      <c r="A989" s="9" t="s">
        <v>1849</v>
      </c>
      <c r="B989" s="2">
        <v>45448</v>
      </c>
      <c r="C989" s="1" t="s">
        <v>140</v>
      </c>
      <c r="D989" s="1" t="s">
        <v>67</v>
      </c>
      <c r="E989" s="1" t="s">
        <v>59</v>
      </c>
      <c r="F989" s="1" t="s">
        <v>99</v>
      </c>
      <c r="G989" s="1" t="s">
        <v>42</v>
      </c>
      <c r="H989" s="1" t="s">
        <v>43</v>
      </c>
      <c r="I989" s="1" t="s">
        <v>652</v>
      </c>
      <c r="J989" s="1">
        <v>5</v>
      </c>
      <c r="K989" s="3">
        <v>13347.32</v>
      </c>
      <c r="L989" s="1">
        <v>20</v>
      </c>
      <c r="M989" s="1" t="s">
        <v>69</v>
      </c>
      <c r="N989" s="10" t="s">
        <v>74</v>
      </c>
      <c r="Q989"/>
    </row>
    <row r="990" spans="1:17" x14ac:dyDescent="0.25">
      <c r="A990" s="9" t="s">
        <v>1850</v>
      </c>
      <c r="B990" s="2">
        <v>45406</v>
      </c>
      <c r="C990" s="1" t="s">
        <v>1202</v>
      </c>
      <c r="D990" s="1" t="s">
        <v>81</v>
      </c>
      <c r="E990" s="1" t="s">
        <v>34</v>
      </c>
      <c r="F990" s="1" t="s">
        <v>49</v>
      </c>
      <c r="G990" s="1" t="s">
        <v>53</v>
      </c>
      <c r="H990" s="1" t="s">
        <v>54</v>
      </c>
      <c r="I990" s="1" t="s">
        <v>518</v>
      </c>
      <c r="J990" s="1">
        <v>2</v>
      </c>
      <c r="K990" s="3">
        <v>8855.9</v>
      </c>
      <c r="L990" s="1">
        <v>10</v>
      </c>
      <c r="M990" s="1" t="s">
        <v>93</v>
      </c>
      <c r="N990" s="10" t="s">
        <v>37</v>
      </c>
      <c r="Q990"/>
    </row>
    <row r="991" spans="1:17" x14ac:dyDescent="0.25">
      <c r="A991" s="9" t="s">
        <v>1851</v>
      </c>
      <c r="B991" s="2">
        <v>45172</v>
      </c>
      <c r="C991" s="1" t="s">
        <v>1615</v>
      </c>
      <c r="D991" s="1" t="s">
        <v>52</v>
      </c>
      <c r="E991" s="1" t="s">
        <v>41</v>
      </c>
      <c r="F991" s="1" t="s">
        <v>88</v>
      </c>
      <c r="G991" s="1" t="s">
        <v>53</v>
      </c>
      <c r="H991" s="1" t="s">
        <v>54</v>
      </c>
      <c r="I991" s="1" t="s">
        <v>272</v>
      </c>
      <c r="J991" s="1">
        <v>5</v>
      </c>
      <c r="K991" s="3">
        <v>943</v>
      </c>
      <c r="L991" s="1" t="s">
        <v>110</v>
      </c>
      <c r="M991" s="1" t="s">
        <v>36</v>
      </c>
      <c r="N991" s="10" t="s">
        <v>64</v>
      </c>
      <c r="Q991"/>
    </row>
    <row r="992" spans="1:17" x14ac:dyDescent="0.25">
      <c r="A992" s="9" t="s">
        <v>1852</v>
      </c>
      <c r="B992" s="2">
        <v>45625</v>
      </c>
      <c r="C992" s="1" t="s">
        <v>1853</v>
      </c>
      <c r="D992" s="1" t="s">
        <v>147</v>
      </c>
      <c r="E992" s="1" t="s">
        <v>27</v>
      </c>
      <c r="F992" s="1" t="s">
        <v>88</v>
      </c>
      <c r="G992" s="1" t="s">
        <v>42</v>
      </c>
      <c r="H992" s="1" t="s">
        <v>43</v>
      </c>
      <c r="I992" s="1" t="s">
        <v>339</v>
      </c>
      <c r="J992" s="1">
        <v>5</v>
      </c>
      <c r="K992" s="3">
        <v>16358.2</v>
      </c>
      <c r="L992" s="1">
        <v>5</v>
      </c>
      <c r="M992" s="1" t="s">
        <v>22</v>
      </c>
      <c r="N992" s="10" t="s">
        <v>37</v>
      </c>
      <c r="Q992"/>
    </row>
    <row r="993" spans="1:17" x14ac:dyDescent="0.25">
      <c r="A993" s="9" t="s">
        <v>1854</v>
      </c>
      <c r="B993" s="2">
        <v>45117</v>
      </c>
      <c r="C993" s="1" t="s">
        <v>495</v>
      </c>
      <c r="D993" s="1" t="s">
        <v>52</v>
      </c>
      <c r="E993" s="1" t="s">
        <v>27</v>
      </c>
      <c r="F993" s="1" t="s">
        <v>88</v>
      </c>
      <c r="G993" s="1" t="s">
        <v>53</v>
      </c>
      <c r="H993" s="1" t="s">
        <v>54</v>
      </c>
      <c r="I993" s="1" t="s">
        <v>639</v>
      </c>
      <c r="J993" s="1">
        <v>4</v>
      </c>
      <c r="K993" s="3">
        <v>7680.26</v>
      </c>
      <c r="L993" s="1">
        <v>10</v>
      </c>
      <c r="M993" s="1" t="s">
        <v>56</v>
      </c>
      <c r="N993" s="10" t="s">
        <v>31</v>
      </c>
      <c r="Q993"/>
    </row>
    <row r="994" spans="1:17" x14ac:dyDescent="0.25">
      <c r="A994" s="9" t="s">
        <v>1855</v>
      </c>
      <c r="B994" s="2">
        <v>45317</v>
      </c>
      <c r="C994" s="1" t="s">
        <v>637</v>
      </c>
      <c r="D994" s="1" t="s">
        <v>26</v>
      </c>
      <c r="E994" s="1" t="s">
        <v>41</v>
      </c>
      <c r="F994" s="1" t="s">
        <v>88</v>
      </c>
      <c r="G994" s="1" t="s">
        <v>53</v>
      </c>
      <c r="H994" s="1" t="s">
        <v>54</v>
      </c>
      <c r="I994" s="1" t="s">
        <v>946</v>
      </c>
      <c r="J994" s="1">
        <v>8</v>
      </c>
      <c r="K994" s="3">
        <v>7578.33</v>
      </c>
      <c r="L994" s="1">
        <v>5</v>
      </c>
      <c r="M994" s="1" t="s">
        <v>69</v>
      </c>
      <c r="N994" s="10" t="s">
        <v>23</v>
      </c>
      <c r="Q994"/>
    </row>
    <row r="995" spans="1:17" x14ac:dyDescent="0.25">
      <c r="A995" s="9" t="s">
        <v>1856</v>
      </c>
      <c r="B995" s="2">
        <v>45430</v>
      </c>
      <c r="C995" s="1" t="s">
        <v>153</v>
      </c>
      <c r="D995" s="1" t="s">
        <v>16</v>
      </c>
      <c r="E995" s="1" t="s">
        <v>72</v>
      </c>
      <c r="F995" s="1" t="s">
        <v>82</v>
      </c>
      <c r="G995" s="1" t="s">
        <v>42</v>
      </c>
      <c r="H995" s="1" t="s">
        <v>43</v>
      </c>
      <c r="I995" s="1" t="s">
        <v>258</v>
      </c>
      <c r="J995" s="1">
        <v>8</v>
      </c>
      <c r="K995" s="3">
        <v>28129.71</v>
      </c>
      <c r="L995" s="1">
        <v>20</v>
      </c>
      <c r="M995" s="1" t="s">
        <v>56</v>
      </c>
      <c r="N995" s="10" t="s">
        <v>31</v>
      </c>
      <c r="Q995"/>
    </row>
    <row r="996" spans="1:17" x14ac:dyDescent="0.25">
      <c r="A996" s="9" t="s">
        <v>1857</v>
      </c>
      <c r="B996" s="2">
        <v>45654</v>
      </c>
      <c r="C996" s="1" t="s">
        <v>1683</v>
      </c>
      <c r="D996" s="1" t="s">
        <v>71</v>
      </c>
      <c r="E996" s="1" t="s">
        <v>59</v>
      </c>
      <c r="F996" s="1" t="s">
        <v>18</v>
      </c>
      <c r="G996" s="1" t="s">
        <v>53</v>
      </c>
      <c r="H996" s="1" t="s">
        <v>54</v>
      </c>
      <c r="I996" s="1" t="s">
        <v>608</v>
      </c>
      <c r="J996" s="1">
        <v>7</v>
      </c>
      <c r="K996" s="3">
        <v>9389.57</v>
      </c>
      <c r="L996" s="1" t="s">
        <v>110</v>
      </c>
      <c r="M996" s="1" t="s">
        <v>63</v>
      </c>
      <c r="N996" s="10" t="s">
        <v>23</v>
      </c>
      <c r="Q996"/>
    </row>
    <row r="997" spans="1:17" x14ac:dyDescent="0.25">
      <c r="A997" s="9" t="s">
        <v>1858</v>
      </c>
      <c r="B997" s="2">
        <v>44962</v>
      </c>
      <c r="C997" s="1" t="s">
        <v>1365</v>
      </c>
      <c r="D997" s="1" t="s">
        <v>378</v>
      </c>
      <c r="E997" s="1" t="s">
        <v>17</v>
      </c>
      <c r="F997" s="1" t="s">
        <v>82</v>
      </c>
      <c r="G997" s="1" t="s">
        <v>19</v>
      </c>
      <c r="H997" s="1" t="s">
        <v>20</v>
      </c>
      <c r="I997" s="1" t="s">
        <v>801</v>
      </c>
      <c r="J997" s="1">
        <v>4</v>
      </c>
      <c r="K997" s="3">
        <v>941.04</v>
      </c>
      <c r="L997" s="1">
        <v>5</v>
      </c>
      <c r="M997" s="1" t="s">
        <v>93</v>
      </c>
      <c r="N997" s="10" t="s">
        <v>31</v>
      </c>
      <c r="Q997"/>
    </row>
    <row r="998" spans="1:17" x14ac:dyDescent="0.25">
      <c r="A998" s="9" t="s">
        <v>1859</v>
      </c>
      <c r="B998" s="2">
        <v>45081</v>
      </c>
      <c r="C998" s="1" t="s">
        <v>172</v>
      </c>
      <c r="D998" s="1" t="s">
        <v>67</v>
      </c>
      <c r="E998" s="1" t="s">
        <v>17</v>
      </c>
      <c r="F998" s="1" t="s">
        <v>60</v>
      </c>
      <c r="G998" s="1" t="s">
        <v>42</v>
      </c>
      <c r="H998" s="1" t="s">
        <v>61</v>
      </c>
      <c r="I998" s="1" t="s">
        <v>196</v>
      </c>
      <c r="J998" s="1">
        <v>8</v>
      </c>
      <c r="K998" s="3">
        <v>11859.39</v>
      </c>
      <c r="L998" s="1">
        <v>20</v>
      </c>
      <c r="M998" s="1" t="s">
        <v>93</v>
      </c>
      <c r="N998" s="10" t="s">
        <v>64</v>
      </c>
      <c r="Q998"/>
    </row>
    <row r="999" spans="1:17" x14ac:dyDescent="0.25">
      <c r="A999" s="9" t="s">
        <v>1860</v>
      </c>
      <c r="B999" s="2">
        <v>45347</v>
      </c>
      <c r="C999" s="1" t="s">
        <v>1861</v>
      </c>
      <c r="D999" s="1" t="s">
        <v>40</v>
      </c>
      <c r="E999" s="1" t="s">
        <v>34</v>
      </c>
      <c r="F999" s="1" t="s">
        <v>88</v>
      </c>
      <c r="G999" s="1" t="s">
        <v>19</v>
      </c>
      <c r="H999" s="1" t="s">
        <v>20</v>
      </c>
      <c r="I999" s="1" t="s">
        <v>214</v>
      </c>
      <c r="J999" s="1">
        <v>6</v>
      </c>
      <c r="K999" s="3">
        <v>19536.13</v>
      </c>
      <c r="L999" s="1">
        <v>10</v>
      </c>
      <c r="M999" s="1" t="s">
        <v>93</v>
      </c>
      <c r="N999" s="10" t="s">
        <v>37</v>
      </c>
      <c r="Q999"/>
    </row>
    <row r="1000" spans="1:17" x14ac:dyDescent="0.25">
      <c r="A1000" s="9" t="s">
        <v>1862</v>
      </c>
      <c r="B1000" s="2">
        <v>45426</v>
      </c>
      <c r="C1000" s="1" t="s">
        <v>813</v>
      </c>
      <c r="D1000" s="1" t="s">
        <v>52</v>
      </c>
      <c r="E1000" s="1" t="s">
        <v>59</v>
      </c>
      <c r="F1000" s="1" t="s">
        <v>60</v>
      </c>
      <c r="G1000" s="1" t="s">
        <v>42</v>
      </c>
      <c r="H1000" s="1" t="s">
        <v>43</v>
      </c>
      <c r="I1000" s="1" t="s">
        <v>329</v>
      </c>
      <c r="J1000" s="1">
        <v>7</v>
      </c>
      <c r="K1000" s="3">
        <v>1989.88</v>
      </c>
      <c r="L1000" s="1">
        <v>0</v>
      </c>
      <c r="M1000" s="1" t="s">
        <v>22</v>
      </c>
      <c r="N1000" s="10" t="s">
        <v>45</v>
      </c>
      <c r="Q1000"/>
    </row>
    <row r="1001" spans="1:17" x14ac:dyDescent="0.25">
      <c r="A1001" s="9" t="s">
        <v>1863</v>
      </c>
      <c r="B1001" s="2">
        <v>45036</v>
      </c>
      <c r="C1001" s="1" t="s">
        <v>429</v>
      </c>
      <c r="D1001" s="1" t="s">
        <v>147</v>
      </c>
      <c r="E1001" s="1" t="s">
        <v>17</v>
      </c>
      <c r="F1001" s="1" t="s">
        <v>18</v>
      </c>
      <c r="G1001" s="1" t="s">
        <v>53</v>
      </c>
      <c r="H1001" s="1" t="s">
        <v>54</v>
      </c>
      <c r="I1001" s="1" t="s">
        <v>548</v>
      </c>
      <c r="J1001" s="1">
        <v>8</v>
      </c>
      <c r="K1001" s="3">
        <v>7599.9</v>
      </c>
      <c r="L1001" s="1">
        <v>5</v>
      </c>
      <c r="M1001" s="1" t="s">
        <v>56</v>
      </c>
      <c r="N1001" s="10" t="s">
        <v>74</v>
      </c>
      <c r="Q1001"/>
    </row>
    <row r="1002" spans="1:17" x14ac:dyDescent="0.25">
      <c r="A1002" s="9" t="s">
        <v>1864</v>
      </c>
      <c r="B1002" s="2">
        <v>45621</v>
      </c>
      <c r="C1002" s="1" t="s">
        <v>471</v>
      </c>
      <c r="D1002" s="1" t="s">
        <v>436</v>
      </c>
      <c r="E1002" s="1" t="s">
        <v>34</v>
      </c>
      <c r="F1002" s="1" t="s">
        <v>99</v>
      </c>
      <c r="G1002" s="1" t="s">
        <v>53</v>
      </c>
      <c r="H1002" s="1" t="s">
        <v>54</v>
      </c>
      <c r="I1002" s="1" t="s">
        <v>109</v>
      </c>
      <c r="J1002" s="1">
        <v>3</v>
      </c>
      <c r="K1002" s="3">
        <v>11394.01</v>
      </c>
      <c r="L1002" s="1">
        <v>10</v>
      </c>
      <c r="M1002" s="1" t="s">
        <v>63</v>
      </c>
      <c r="N1002" s="10" t="s">
        <v>45</v>
      </c>
      <c r="Q1002"/>
    </row>
    <row r="1003" spans="1:17" x14ac:dyDescent="0.25">
      <c r="A1003" s="9" t="s">
        <v>1865</v>
      </c>
      <c r="B1003" s="2">
        <v>45334</v>
      </c>
      <c r="C1003" s="1" t="s">
        <v>1120</v>
      </c>
      <c r="D1003" s="1" t="s">
        <v>67</v>
      </c>
      <c r="E1003" s="1" t="s">
        <v>17</v>
      </c>
      <c r="F1003" s="1" t="s">
        <v>99</v>
      </c>
      <c r="G1003" s="1" t="s">
        <v>19</v>
      </c>
      <c r="H1003" s="1" t="s">
        <v>29</v>
      </c>
      <c r="I1003" s="1" t="s">
        <v>385</v>
      </c>
      <c r="J1003" s="1">
        <v>6</v>
      </c>
      <c r="K1003" s="3">
        <v>12181.72</v>
      </c>
      <c r="L1003" s="1">
        <v>15</v>
      </c>
      <c r="M1003" s="1" t="s">
        <v>93</v>
      </c>
      <c r="N1003" s="10" t="s">
        <v>64</v>
      </c>
      <c r="Q1003"/>
    </row>
    <row r="1004" spans="1:17" x14ac:dyDescent="0.25">
      <c r="A1004" s="9" t="s">
        <v>1866</v>
      </c>
      <c r="B1004" s="2">
        <v>45289</v>
      </c>
      <c r="C1004" s="1" t="s">
        <v>1867</v>
      </c>
      <c r="D1004" s="1" t="s">
        <v>26</v>
      </c>
      <c r="E1004" s="1" t="s">
        <v>72</v>
      </c>
      <c r="F1004" s="1" t="s">
        <v>60</v>
      </c>
      <c r="G1004" s="1" t="s">
        <v>19</v>
      </c>
      <c r="H1004" s="1" t="s">
        <v>29</v>
      </c>
      <c r="I1004" s="1" t="s">
        <v>223</v>
      </c>
      <c r="J1004" s="1">
        <v>8</v>
      </c>
      <c r="K1004" s="3">
        <v>7833.47</v>
      </c>
      <c r="L1004" s="1">
        <v>15</v>
      </c>
      <c r="M1004" s="1" t="s">
        <v>36</v>
      </c>
      <c r="N1004" s="10" t="s">
        <v>31</v>
      </c>
      <c r="Q1004"/>
    </row>
    <row r="1005" spans="1:17" x14ac:dyDescent="0.25">
      <c r="A1005" s="9" t="s">
        <v>1868</v>
      </c>
      <c r="B1005" s="2">
        <v>45371</v>
      </c>
      <c r="C1005" s="1" t="s">
        <v>1869</v>
      </c>
      <c r="D1005" s="1" t="s">
        <v>33</v>
      </c>
      <c r="E1005" s="1" t="s">
        <v>72</v>
      </c>
      <c r="F1005" s="1" t="s">
        <v>49</v>
      </c>
      <c r="G1005" s="1" t="s">
        <v>42</v>
      </c>
      <c r="H1005" s="1" t="s">
        <v>43</v>
      </c>
      <c r="I1005" s="1" t="s">
        <v>348</v>
      </c>
      <c r="J1005" s="1">
        <v>5</v>
      </c>
      <c r="K1005" s="3">
        <v>8913.77</v>
      </c>
      <c r="L1005" s="1">
        <v>0</v>
      </c>
      <c r="M1005" s="1" t="s">
        <v>36</v>
      </c>
      <c r="N1005" s="10" t="s">
        <v>23</v>
      </c>
      <c r="Q1005"/>
    </row>
    <row r="1006" spans="1:17" x14ac:dyDescent="0.25">
      <c r="A1006" s="9" t="s">
        <v>1870</v>
      </c>
      <c r="B1006" s="2">
        <v>45487</v>
      </c>
      <c r="C1006" s="1" t="s">
        <v>1871</v>
      </c>
      <c r="D1006" s="1" t="s">
        <v>147</v>
      </c>
      <c r="E1006" s="1" t="s">
        <v>17</v>
      </c>
      <c r="F1006" s="1" t="s">
        <v>28</v>
      </c>
      <c r="G1006" s="1" t="s">
        <v>42</v>
      </c>
      <c r="H1006" s="1" t="s">
        <v>43</v>
      </c>
      <c r="I1006" s="1" t="s">
        <v>365</v>
      </c>
      <c r="J1006" s="1">
        <v>4</v>
      </c>
      <c r="K1006" s="3">
        <v>15385.64</v>
      </c>
      <c r="L1006" s="1">
        <v>0</v>
      </c>
      <c r="M1006" s="1" t="s">
        <v>36</v>
      </c>
      <c r="N1006" s="10" t="s">
        <v>45</v>
      </c>
      <c r="Q1006"/>
    </row>
    <row r="1007" spans="1:17" x14ac:dyDescent="0.25">
      <c r="A1007" s="9" t="s">
        <v>1872</v>
      </c>
      <c r="B1007" s="2">
        <v>45217</v>
      </c>
      <c r="C1007" s="1" t="s">
        <v>375</v>
      </c>
      <c r="D1007" s="1" t="s">
        <v>16</v>
      </c>
      <c r="E1007" s="1" t="s">
        <v>27</v>
      </c>
      <c r="F1007" s="1" t="s">
        <v>18</v>
      </c>
      <c r="G1007" s="1" t="s">
        <v>42</v>
      </c>
      <c r="H1007" s="1" t="s">
        <v>43</v>
      </c>
      <c r="I1007" s="1" t="s">
        <v>336</v>
      </c>
      <c r="J1007" s="1">
        <v>6</v>
      </c>
      <c r="K1007" s="3">
        <v>16886.830000000002</v>
      </c>
      <c r="L1007" s="1" t="s">
        <v>110</v>
      </c>
      <c r="M1007" s="1" t="s">
        <v>36</v>
      </c>
      <c r="N1007" s="10" t="s">
        <v>31</v>
      </c>
      <c r="Q1007"/>
    </row>
    <row r="1008" spans="1:17" x14ac:dyDescent="0.25">
      <c r="A1008" s="9" t="s">
        <v>1873</v>
      </c>
      <c r="B1008" s="2">
        <v>45337</v>
      </c>
      <c r="C1008" s="1" t="s">
        <v>1284</v>
      </c>
      <c r="D1008" s="1" t="s">
        <v>81</v>
      </c>
      <c r="E1008" s="1" t="s">
        <v>34</v>
      </c>
      <c r="F1008" s="1" t="s">
        <v>60</v>
      </c>
      <c r="G1008" s="1" t="s">
        <v>19</v>
      </c>
      <c r="H1008" s="1" t="s">
        <v>20</v>
      </c>
      <c r="I1008" s="1" t="s">
        <v>280</v>
      </c>
      <c r="J1008" s="1">
        <v>3</v>
      </c>
      <c r="K1008" s="3">
        <v>3045.94</v>
      </c>
      <c r="L1008" s="1" t="s">
        <v>110</v>
      </c>
      <c r="M1008" s="1" t="s">
        <v>69</v>
      </c>
      <c r="N1008" s="10" t="s">
        <v>23</v>
      </c>
      <c r="Q1008"/>
    </row>
    <row r="1009" spans="1:17" x14ac:dyDescent="0.25">
      <c r="A1009" s="9" t="s">
        <v>1874</v>
      </c>
      <c r="B1009" s="2">
        <v>45508</v>
      </c>
      <c r="C1009" s="1" t="s">
        <v>1875</v>
      </c>
      <c r="D1009" s="1" t="s">
        <v>40</v>
      </c>
      <c r="E1009" s="1" t="s">
        <v>41</v>
      </c>
      <c r="F1009" s="1" t="s">
        <v>82</v>
      </c>
      <c r="G1009" s="1" t="s">
        <v>53</v>
      </c>
      <c r="H1009" s="1" t="s">
        <v>54</v>
      </c>
      <c r="I1009" s="1" t="s">
        <v>109</v>
      </c>
      <c r="J1009" s="1">
        <v>5</v>
      </c>
      <c r="K1009" s="3">
        <v>4648.79</v>
      </c>
      <c r="L1009" s="1">
        <v>10</v>
      </c>
      <c r="M1009" s="1" t="s">
        <v>56</v>
      </c>
      <c r="N1009" s="10" t="s">
        <v>45</v>
      </c>
      <c r="Q1009"/>
    </row>
    <row r="1010" spans="1:17" x14ac:dyDescent="0.25">
      <c r="A1010" s="9" t="s">
        <v>1876</v>
      </c>
      <c r="B1010" s="2">
        <v>45653</v>
      </c>
      <c r="C1010" s="1" t="s">
        <v>627</v>
      </c>
      <c r="D1010" s="1" t="s">
        <v>33</v>
      </c>
      <c r="E1010" s="1" t="s">
        <v>72</v>
      </c>
      <c r="F1010" s="1" t="s">
        <v>60</v>
      </c>
      <c r="G1010" s="1" t="s">
        <v>42</v>
      </c>
      <c r="H1010" s="1" t="s">
        <v>61</v>
      </c>
      <c r="I1010" s="1" t="s">
        <v>667</v>
      </c>
      <c r="J1010" s="1">
        <v>-4</v>
      </c>
      <c r="K1010" s="3">
        <v>9683.84</v>
      </c>
      <c r="L1010" s="1">
        <v>10</v>
      </c>
      <c r="M1010" s="1" t="s">
        <v>36</v>
      </c>
      <c r="N1010" s="10" t="s">
        <v>23</v>
      </c>
      <c r="Q1010"/>
    </row>
    <row r="1011" spans="1:17" x14ac:dyDescent="0.25">
      <c r="A1011" s="9" t="s">
        <v>1877</v>
      </c>
      <c r="B1011" s="2">
        <v>45573</v>
      </c>
      <c r="C1011" s="1" t="s">
        <v>190</v>
      </c>
      <c r="D1011" s="1" t="s">
        <v>40</v>
      </c>
      <c r="E1011" s="1" t="s">
        <v>34</v>
      </c>
      <c r="F1011" s="1" t="s">
        <v>28</v>
      </c>
      <c r="G1011" s="1" t="s">
        <v>19</v>
      </c>
      <c r="H1011" s="1" t="s">
        <v>29</v>
      </c>
      <c r="I1011" s="1" t="s">
        <v>635</v>
      </c>
      <c r="J1011" s="1">
        <v>10</v>
      </c>
      <c r="K1011" s="3">
        <v>26932.95</v>
      </c>
      <c r="L1011" s="1">
        <v>10</v>
      </c>
      <c r="M1011" s="1" t="s">
        <v>69</v>
      </c>
      <c r="N1011" s="10" t="s">
        <v>23</v>
      </c>
      <c r="Q1011"/>
    </row>
    <row r="1012" spans="1:17" x14ac:dyDescent="0.25">
      <c r="A1012" s="9" t="s">
        <v>1878</v>
      </c>
      <c r="B1012" s="2">
        <v>45407</v>
      </c>
      <c r="C1012" s="1" t="s">
        <v>1009</v>
      </c>
      <c r="D1012" s="1" t="s">
        <v>67</v>
      </c>
      <c r="E1012" s="1" t="s">
        <v>34</v>
      </c>
      <c r="F1012" s="1" t="s">
        <v>18</v>
      </c>
      <c r="G1012" s="1" t="s">
        <v>19</v>
      </c>
      <c r="H1012" s="1" t="s">
        <v>20</v>
      </c>
      <c r="I1012" s="1" t="s">
        <v>280</v>
      </c>
      <c r="J1012" s="1">
        <v>4</v>
      </c>
      <c r="K1012" s="3">
        <v>17560.439999999999</v>
      </c>
      <c r="L1012" s="1">
        <v>0</v>
      </c>
      <c r="M1012" s="1" t="s">
        <v>63</v>
      </c>
      <c r="N1012" s="10" t="s">
        <v>74</v>
      </c>
      <c r="Q1012"/>
    </row>
    <row r="1013" spans="1:17" x14ac:dyDescent="0.25">
      <c r="A1013" s="9" t="s">
        <v>1879</v>
      </c>
      <c r="B1013" s="2">
        <v>45581</v>
      </c>
      <c r="C1013" s="1" t="s">
        <v>514</v>
      </c>
      <c r="D1013" s="1" t="s">
        <v>52</v>
      </c>
      <c r="E1013" s="1" t="s">
        <v>59</v>
      </c>
      <c r="F1013" s="1" t="s">
        <v>60</v>
      </c>
      <c r="G1013" s="1" t="s">
        <v>42</v>
      </c>
      <c r="H1013" s="1" t="s">
        <v>43</v>
      </c>
      <c r="I1013" s="1" t="s">
        <v>154</v>
      </c>
      <c r="J1013" s="1">
        <v>2</v>
      </c>
      <c r="K1013" s="3">
        <v>6474.13</v>
      </c>
      <c r="L1013" s="1" t="s">
        <v>110</v>
      </c>
      <c r="M1013" s="1" t="s">
        <v>36</v>
      </c>
      <c r="N1013" s="10" t="s">
        <v>31</v>
      </c>
      <c r="Q1013"/>
    </row>
    <row r="1014" spans="1:17" x14ac:dyDescent="0.25">
      <c r="A1014" s="9" t="s">
        <v>1880</v>
      </c>
      <c r="B1014" s="2">
        <v>45042</v>
      </c>
      <c r="C1014" s="1" t="s">
        <v>642</v>
      </c>
      <c r="D1014" s="1" t="s">
        <v>118</v>
      </c>
      <c r="E1014" s="1" t="s">
        <v>59</v>
      </c>
      <c r="F1014" s="1" t="s">
        <v>88</v>
      </c>
      <c r="G1014" s="1" t="s">
        <v>19</v>
      </c>
      <c r="H1014" s="1" t="s">
        <v>29</v>
      </c>
      <c r="I1014" s="1" t="s">
        <v>96</v>
      </c>
      <c r="J1014" s="1">
        <v>7</v>
      </c>
      <c r="K1014" s="3">
        <v>10506.24</v>
      </c>
      <c r="L1014" s="1" t="s">
        <v>110</v>
      </c>
      <c r="M1014" s="1" t="s">
        <v>56</v>
      </c>
      <c r="N1014" s="10" t="s">
        <v>37</v>
      </c>
      <c r="Q1014"/>
    </row>
    <row r="1015" spans="1:17" x14ac:dyDescent="0.25">
      <c r="A1015" s="9" t="s">
        <v>1882</v>
      </c>
      <c r="B1015" s="2">
        <v>44949</v>
      </c>
      <c r="C1015" s="1" t="s">
        <v>1091</v>
      </c>
      <c r="D1015" s="1" t="s">
        <v>16</v>
      </c>
      <c r="E1015" s="1" t="s">
        <v>59</v>
      </c>
      <c r="F1015" s="1" t="s">
        <v>82</v>
      </c>
      <c r="G1015" s="1" t="s">
        <v>83</v>
      </c>
      <c r="H1015" s="1" t="s">
        <v>43</v>
      </c>
      <c r="I1015" s="1" t="s">
        <v>100</v>
      </c>
      <c r="J1015" s="1">
        <v>5</v>
      </c>
      <c r="K1015" s="3">
        <v>16614.21</v>
      </c>
      <c r="L1015" s="1">
        <v>20</v>
      </c>
      <c r="M1015" s="1" t="s">
        <v>69</v>
      </c>
      <c r="N1015" s="10" t="s">
        <v>37</v>
      </c>
      <c r="Q1015"/>
    </row>
    <row r="1016" spans="1:17" x14ac:dyDescent="0.25">
      <c r="A1016" s="9" t="s">
        <v>1884</v>
      </c>
      <c r="B1016" s="2">
        <v>44985</v>
      </c>
      <c r="C1016" s="1" t="s">
        <v>1885</v>
      </c>
      <c r="D1016" s="1" t="s">
        <v>26</v>
      </c>
      <c r="E1016" s="1" t="s">
        <v>41</v>
      </c>
      <c r="F1016" s="1" t="s">
        <v>18</v>
      </c>
      <c r="G1016" s="1" t="s">
        <v>42</v>
      </c>
      <c r="H1016" s="1" t="s">
        <v>61</v>
      </c>
      <c r="I1016" s="1" t="s">
        <v>440</v>
      </c>
      <c r="J1016" s="1">
        <v>1</v>
      </c>
      <c r="K1016" s="3">
        <v>3687.6</v>
      </c>
      <c r="L1016" s="1">
        <v>15</v>
      </c>
      <c r="M1016" s="1" t="s">
        <v>22</v>
      </c>
      <c r="N1016" s="10" t="s">
        <v>64</v>
      </c>
      <c r="Q1016"/>
    </row>
    <row r="1017" spans="1:17" x14ac:dyDescent="0.25">
      <c r="A1017" s="9" t="s">
        <v>1886</v>
      </c>
      <c r="B1017" s="2">
        <v>44994</v>
      </c>
      <c r="C1017" s="1" t="s">
        <v>528</v>
      </c>
      <c r="D1017" s="1" t="s">
        <v>40</v>
      </c>
      <c r="E1017" s="1" t="s">
        <v>59</v>
      </c>
      <c r="F1017" s="1" t="s">
        <v>49</v>
      </c>
      <c r="G1017" s="1" t="s">
        <v>83</v>
      </c>
      <c r="H1017" s="1" t="s">
        <v>43</v>
      </c>
      <c r="I1017" s="1" t="s">
        <v>100</v>
      </c>
      <c r="J1017" s="1">
        <v>10</v>
      </c>
      <c r="K1017" s="3">
        <v>12963.08</v>
      </c>
      <c r="L1017" s="1">
        <v>15</v>
      </c>
      <c r="M1017" s="1" t="s">
        <v>63</v>
      </c>
      <c r="N1017" s="10" t="s">
        <v>37</v>
      </c>
      <c r="Q1017"/>
    </row>
    <row r="1018" spans="1:17" x14ac:dyDescent="0.25">
      <c r="A1018" s="9" t="s">
        <v>1887</v>
      </c>
      <c r="B1018" s="2">
        <v>45356</v>
      </c>
      <c r="C1018" s="1" t="s">
        <v>181</v>
      </c>
      <c r="D1018" s="1" t="s">
        <v>67</v>
      </c>
      <c r="E1018" s="1" t="s">
        <v>17</v>
      </c>
      <c r="F1018" s="1" t="s">
        <v>60</v>
      </c>
      <c r="G1018" s="1" t="s">
        <v>19</v>
      </c>
      <c r="H1018" s="1" t="s">
        <v>29</v>
      </c>
      <c r="I1018" s="1" t="s">
        <v>135</v>
      </c>
      <c r="J1018" s="1">
        <v>1</v>
      </c>
      <c r="K1018" s="3">
        <v>2025.06</v>
      </c>
      <c r="L1018" s="1">
        <v>0</v>
      </c>
      <c r="M1018" s="1" t="s">
        <v>36</v>
      </c>
      <c r="N1018" s="10" t="s">
        <v>64</v>
      </c>
      <c r="Q1018"/>
    </row>
    <row r="1019" spans="1:17" x14ac:dyDescent="0.25">
      <c r="A1019" s="9" t="s">
        <v>1888</v>
      </c>
      <c r="B1019" s="2">
        <v>45558</v>
      </c>
      <c r="C1019" s="1" t="s">
        <v>817</v>
      </c>
      <c r="D1019" s="1" t="s">
        <v>67</v>
      </c>
      <c r="E1019" s="1" t="s">
        <v>17</v>
      </c>
      <c r="F1019" s="1" t="s">
        <v>99</v>
      </c>
      <c r="G1019" s="1" t="s">
        <v>83</v>
      </c>
      <c r="H1019" s="1" t="s">
        <v>43</v>
      </c>
      <c r="I1019" s="1" t="s">
        <v>89</v>
      </c>
      <c r="J1019" s="1">
        <v>1</v>
      </c>
      <c r="K1019" s="3">
        <v>618.04999999999995</v>
      </c>
      <c r="L1019" s="1">
        <v>0</v>
      </c>
      <c r="M1019" s="1" t="s">
        <v>22</v>
      </c>
      <c r="N1019" s="10" t="s">
        <v>23</v>
      </c>
      <c r="Q1019"/>
    </row>
    <row r="1020" spans="1:17" x14ac:dyDescent="0.25">
      <c r="A1020" s="9" t="s">
        <v>1889</v>
      </c>
      <c r="B1020" s="2">
        <v>45582</v>
      </c>
      <c r="C1020" s="1" t="s">
        <v>625</v>
      </c>
      <c r="D1020" s="1" t="s">
        <v>52</v>
      </c>
      <c r="E1020" s="1" t="s">
        <v>27</v>
      </c>
      <c r="F1020" s="1" t="s">
        <v>60</v>
      </c>
      <c r="G1020" s="1" t="s">
        <v>19</v>
      </c>
      <c r="H1020" s="1" t="s">
        <v>20</v>
      </c>
      <c r="I1020" s="1" t="s">
        <v>312</v>
      </c>
      <c r="J1020" s="1">
        <v>9</v>
      </c>
      <c r="K1020" s="3">
        <v>8963.49</v>
      </c>
      <c r="L1020" s="1">
        <v>15</v>
      </c>
      <c r="M1020" s="1" t="s">
        <v>69</v>
      </c>
      <c r="N1020" s="10" t="s">
        <v>37</v>
      </c>
      <c r="Q1020"/>
    </row>
    <row r="1021" spans="1:17" x14ac:dyDescent="0.25">
      <c r="A1021" s="9" t="s">
        <v>1891</v>
      </c>
      <c r="B1021" s="2">
        <v>45591</v>
      </c>
      <c r="C1021" s="1" t="s">
        <v>1570</v>
      </c>
      <c r="D1021" s="1" t="s">
        <v>52</v>
      </c>
      <c r="E1021" s="1" t="s">
        <v>17</v>
      </c>
      <c r="F1021" s="1" t="s">
        <v>60</v>
      </c>
      <c r="G1021" s="1" t="s">
        <v>83</v>
      </c>
      <c r="H1021" s="1" t="s">
        <v>43</v>
      </c>
      <c r="I1021" s="1" t="s">
        <v>329</v>
      </c>
      <c r="J1021" s="1">
        <v>3</v>
      </c>
      <c r="K1021" s="3">
        <v>9970</v>
      </c>
      <c r="L1021" s="1">
        <v>5</v>
      </c>
      <c r="M1021" s="1" t="s">
        <v>36</v>
      </c>
      <c r="N1021" s="10" t="s">
        <v>74</v>
      </c>
      <c r="Q1021"/>
    </row>
    <row r="1022" spans="1:17" x14ac:dyDescent="0.25">
      <c r="A1022" s="9" t="s">
        <v>1892</v>
      </c>
      <c r="B1022" s="2">
        <v>45122</v>
      </c>
      <c r="C1022" s="1" t="s">
        <v>249</v>
      </c>
      <c r="D1022" s="1" t="s">
        <v>52</v>
      </c>
      <c r="E1022" s="1" t="s">
        <v>59</v>
      </c>
      <c r="F1022" s="1" t="s">
        <v>82</v>
      </c>
      <c r="G1022" s="1" t="s">
        <v>83</v>
      </c>
      <c r="H1022" s="1" t="s">
        <v>43</v>
      </c>
      <c r="I1022" s="1" t="s">
        <v>652</v>
      </c>
      <c r="J1022" s="1">
        <v>7</v>
      </c>
      <c r="K1022" s="3">
        <v>9889.74</v>
      </c>
      <c r="L1022" s="1">
        <v>15</v>
      </c>
      <c r="M1022" s="1" t="s">
        <v>22</v>
      </c>
      <c r="N1022" s="10" t="s">
        <v>37</v>
      </c>
      <c r="Q1022"/>
    </row>
    <row r="1023" spans="1:17" x14ac:dyDescent="0.25">
      <c r="A1023" s="9" t="s">
        <v>1893</v>
      </c>
      <c r="B1023" s="2">
        <v>45018</v>
      </c>
      <c r="C1023" s="1" t="s">
        <v>1741</v>
      </c>
      <c r="D1023" s="1" t="s">
        <v>52</v>
      </c>
      <c r="E1023" s="1" t="s">
        <v>34</v>
      </c>
      <c r="F1023" s="1" t="s">
        <v>49</v>
      </c>
      <c r="G1023" s="1" t="s">
        <v>42</v>
      </c>
      <c r="H1023" s="1" t="s">
        <v>43</v>
      </c>
      <c r="I1023" s="1" t="s">
        <v>488</v>
      </c>
      <c r="J1023" s="1">
        <v>3</v>
      </c>
      <c r="K1023" s="3">
        <v>4844.0600000000004</v>
      </c>
      <c r="L1023" s="1">
        <v>5</v>
      </c>
      <c r="M1023" s="1" t="s">
        <v>63</v>
      </c>
      <c r="N1023" s="10" t="s">
        <v>64</v>
      </c>
      <c r="Q1023"/>
    </row>
    <row r="1024" spans="1:17" x14ac:dyDescent="0.25">
      <c r="A1024" s="9" t="s">
        <v>1894</v>
      </c>
      <c r="B1024" s="2">
        <v>45406</v>
      </c>
      <c r="C1024" s="1" t="s">
        <v>1029</v>
      </c>
      <c r="D1024" s="1" t="s">
        <v>33</v>
      </c>
      <c r="E1024" s="1" t="s">
        <v>41</v>
      </c>
      <c r="F1024" s="1" t="s">
        <v>99</v>
      </c>
      <c r="G1024" s="1" t="s">
        <v>53</v>
      </c>
      <c r="H1024" s="1" t="s">
        <v>54</v>
      </c>
      <c r="I1024" s="1" t="s">
        <v>1334</v>
      </c>
      <c r="J1024" s="1">
        <v>1</v>
      </c>
      <c r="K1024" s="3">
        <v>1878.12</v>
      </c>
      <c r="L1024" s="1" t="s">
        <v>110</v>
      </c>
      <c r="M1024" s="1" t="s">
        <v>93</v>
      </c>
      <c r="N1024" s="10" t="s">
        <v>31</v>
      </c>
      <c r="Q1024"/>
    </row>
    <row r="1025" spans="1:17" x14ac:dyDescent="0.25">
      <c r="A1025" s="9" t="s">
        <v>1895</v>
      </c>
      <c r="B1025" s="2">
        <v>45032</v>
      </c>
      <c r="C1025" s="1" t="s">
        <v>793</v>
      </c>
      <c r="D1025" s="1" t="s">
        <v>147</v>
      </c>
      <c r="E1025" s="1" t="s">
        <v>34</v>
      </c>
      <c r="F1025" s="1" t="s">
        <v>18</v>
      </c>
      <c r="G1025" s="1" t="s">
        <v>83</v>
      </c>
      <c r="H1025" s="1" t="s">
        <v>43</v>
      </c>
      <c r="I1025" s="1" t="s">
        <v>488</v>
      </c>
      <c r="J1025" s="1">
        <v>6</v>
      </c>
      <c r="K1025" s="3">
        <v>16020.81</v>
      </c>
      <c r="L1025" s="1">
        <v>20</v>
      </c>
      <c r="M1025" s="1" t="s">
        <v>69</v>
      </c>
      <c r="N1025" s="10" t="s">
        <v>31</v>
      </c>
      <c r="Q1025"/>
    </row>
    <row r="1026" spans="1:17" x14ac:dyDescent="0.25">
      <c r="A1026" s="9" t="s">
        <v>1896</v>
      </c>
      <c r="B1026" s="2">
        <v>45057</v>
      </c>
      <c r="C1026" s="1" t="s">
        <v>1897</v>
      </c>
      <c r="D1026" s="1" t="s">
        <v>71</v>
      </c>
      <c r="E1026" s="1" t="s">
        <v>59</v>
      </c>
      <c r="F1026" s="1" t="s">
        <v>60</v>
      </c>
      <c r="G1026" s="1" t="s">
        <v>83</v>
      </c>
      <c r="H1026" s="1" t="s">
        <v>43</v>
      </c>
      <c r="I1026" s="1" t="s">
        <v>89</v>
      </c>
      <c r="J1026" s="1">
        <v>8</v>
      </c>
      <c r="K1026" s="3">
        <v>4085.29</v>
      </c>
      <c r="L1026" s="1" t="s">
        <v>110</v>
      </c>
      <c r="M1026" s="1" t="s">
        <v>93</v>
      </c>
      <c r="N1026" s="10" t="s">
        <v>37</v>
      </c>
      <c r="Q1026"/>
    </row>
    <row r="1027" spans="1:17" x14ac:dyDescent="0.25">
      <c r="A1027" s="9" t="s">
        <v>1898</v>
      </c>
      <c r="B1027" s="2">
        <v>45273</v>
      </c>
      <c r="C1027" s="1" t="s">
        <v>284</v>
      </c>
      <c r="D1027" s="1" t="s">
        <v>71</v>
      </c>
      <c r="E1027" s="1" t="s">
        <v>72</v>
      </c>
      <c r="F1027" s="1" t="s">
        <v>88</v>
      </c>
      <c r="G1027" s="1" t="s">
        <v>83</v>
      </c>
      <c r="H1027" s="1" t="s">
        <v>43</v>
      </c>
      <c r="I1027" s="1" t="s">
        <v>288</v>
      </c>
      <c r="J1027" s="1">
        <v>1</v>
      </c>
      <c r="K1027" s="3">
        <v>485.11</v>
      </c>
      <c r="L1027" s="1" t="s">
        <v>110</v>
      </c>
      <c r="M1027" s="1" t="s">
        <v>22</v>
      </c>
      <c r="N1027" s="10" t="s">
        <v>74</v>
      </c>
      <c r="Q1027"/>
    </row>
    <row r="1028" spans="1:17" x14ac:dyDescent="0.25">
      <c r="A1028" s="9" t="s">
        <v>1899</v>
      </c>
      <c r="B1028" s="2">
        <v>45310</v>
      </c>
      <c r="C1028" s="1" t="s">
        <v>1900</v>
      </c>
      <c r="D1028" s="1" t="s">
        <v>81</v>
      </c>
      <c r="E1028" s="1" t="s">
        <v>17</v>
      </c>
      <c r="F1028" s="1" t="s">
        <v>99</v>
      </c>
      <c r="G1028" s="1" t="s">
        <v>83</v>
      </c>
      <c r="H1028" s="1" t="s">
        <v>43</v>
      </c>
      <c r="I1028" s="1" t="s">
        <v>467</v>
      </c>
      <c r="J1028" s="1">
        <v>5</v>
      </c>
      <c r="K1028" s="3">
        <v>15429.89</v>
      </c>
      <c r="L1028" s="1">
        <v>10</v>
      </c>
      <c r="M1028" s="1" t="s">
        <v>22</v>
      </c>
      <c r="N1028" s="10" t="s">
        <v>23</v>
      </c>
      <c r="Q1028"/>
    </row>
    <row r="1029" spans="1:17" x14ac:dyDescent="0.25">
      <c r="A1029" s="9" t="s">
        <v>1901</v>
      </c>
      <c r="B1029" s="2">
        <v>45487</v>
      </c>
      <c r="C1029" s="1" t="s">
        <v>1871</v>
      </c>
      <c r="D1029" s="1" t="s">
        <v>52</v>
      </c>
      <c r="E1029" s="1" t="s">
        <v>34</v>
      </c>
      <c r="F1029" s="1" t="s">
        <v>99</v>
      </c>
      <c r="G1029" s="1" t="s">
        <v>19</v>
      </c>
      <c r="H1029" s="1" t="s">
        <v>20</v>
      </c>
      <c r="I1029" s="1" t="s">
        <v>239</v>
      </c>
      <c r="J1029" s="1">
        <v>7</v>
      </c>
      <c r="K1029" s="3">
        <v>14475.34</v>
      </c>
      <c r="L1029" s="1">
        <v>10</v>
      </c>
      <c r="M1029" s="1" t="s">
        <v>56</v>
      </c>
      <c r="N1029" s="10" t="s">
        <v>31</v>
      </c>
      <c r="Q1029"/>
    </row>
    <row r="1030" spans="1:17" x14ac:dyDescent="0.25">
      <c r="A1030" s="9" t="s">
        <v>1902</v>
      </c>
      <c r="B1030" s="2">
        <v>45099</v>
      </c>
      <c r="C1030" s="1" t="s">
        <v>1597</v>
      </c>
      <c r="D1030" s="1" t="s">
        <v>67</v>
      </c>
      <c r="E1030" s="1" t="s">
        <v>59</v>
      </c>
      <c r="F1030" s="1" t="s">
        <v>49</v>
      </c>
      <c r="G1030" s="1" t="s">
        <v>19</v>
      </c>
      <c r="H1030" s="1" t="s">
        <v>20</v>
      </c>
      <c r="I1030" s="1" t="s">
        <v>254</v>
      </c>
      <c r="J1030" s="1">
        <v>9</v>
      </c>
      <c r="K1030" s="3">
        <v>1286.58</v>
      </c>
      <c r="L1030" s="1">
        <v>20</v>
      </c>
      <c r="M1030" s="1" t="s">
        <v>22</v>
      </c>
      <c r="N1030" s="10" t="s">
        <v>31</v>
      </c>
      <c r="Q1030"/>
    </row>
    <row r="1031" spans="1:17" x14ac:dyDescent="0.25">
      <c r="A1031" s="9" t="s">
        <v>1903</v>
      </c>
      <c r="B1031" s="2">
        <v>45368</v>
      </c>
      <c r="C1031" s="1" t="s">
        <v>1035</v>
      </c>
      <c r="D1031" s="1" t="s">
        <v>87</v>
      </c>
      <c r="E1031" s="1" t="s">
        <v>17</v>
      </c>
      <c r="F1031" s="1" t="s">
        <v>82</v>
      </c>
      <c r="G1031" s="1" t="s">
        <v>83</v>
      </c>
      <c r="H1031" s="1" t="s">
        <v>43</v>
      </c>
      <c r="I1031" s="1" t="s">
        <v>323</v>
      </c>
      <c r="J1031" s="1">
        <v>1</v>
      </c>
      <c r="K1031" s="3">
        <v>3750.37</v>
      </c>
      <c r="L1031" s="1">
        <v>20</v>
      </c>
      <c r="M1031" s="1" t="s">
        <v>22</v>
      </c>
      <c r="N1031" s="10" t="s">
        <v>74</v>
      </c>
      <c r="Q1031"/>
    </row>
    <row r="1032" spans="1:17" x14ac:dyDescent="0.25">
      <c r="A1032" s="9" t="s">
        <v>1905</v>
      </c>
      <c r="B1032" s="2">
        <v>45446</v>
      </c>
      <c r="C1032" s="1" t="s">
        <v>200</v>
      </c>
      <c r="D1032" s="1" t="s">
        <v>81</v>
      </c>
      <c r="E1032" s="1" t="s">
        <v>34</v>
      </c>
      <c r="F1032" s="1" t="s">
        <v>28</v>
      </c>
      <c r="G1032" s="1" t="s">
        <v>42</v>
      </c>
      <c r="H1032" s="1" t="s">
        <v>61</v>
      </c>
      <c r="I1032" s="1" t="s">
        <v>151</v>
      </c>
      <c r="J1032" s="1">
        <v>4</v>
      </c>
      <c r="K1032" s="3">
        <v>12194.88</v>
      </c>
      <c r="L1032" s="1">
        <v>10</v>
      </c>
      <c r="M1032" s="1" t="s">
        <v>69</v>
      </c>
      <c r="N1032" s="10" t="s">
        <v>31</v>
      </c>
      <c r="Q1032"/>
    </row>
    <row r="1033" spans="1:17" x14ac:dyDescent="0.25">
      <c r="A1033" s="9" t="s">
        <v>1906</v>
      </c>
      <c r="B1033" s="2">
        <v>45281</v>
      </c>
      <c r="C1033" s="1" t="s">
        <v>1907</v>
      </c>
      <c r="D1033" s="1" t="s">
        <v>67</v>
      </c>
      <c r="E1033" s="1" t="s">
        <v>17</v>
      </c>
      <c r="F1033" s="1" t="s">
        <v>49</v>
      </c>
      <c r="G1033" s="1" t="s">
        <v>42</v>
      </c>
      <c r="H1033" s="1" t="s">
        <v>43</v>
      </c>
      <c r="I1033" s="1" t="s">
        <v>394</v>
      </c>
      <c r="J1033" s="1">
        <v>10</v>
      </c>
      <c r="K1033" s="3">
        <v>36211.29</v>
      </c>
      <c r="L1033" s="1">
        <v>5</v>
      </c>
      <c r="M1033" s="1" t="s">
        <v>36</v>
      </c>
      <c r="N1033" s="10" t="s">
        <v>74</v>
      </c>
      <c r="Q1033"/>
    </row>
    <row r="1034" spans="1:17" x14ac:dyDescent="0.25">
      <c r="A1034" s="9" t="s">
        <v>1908</v>
      </c>
      <c r="B1034" s="2">
        <v>45631</v>
      </c>
      <c r="C1034" s="1" t="s">
        <v>1909</v>
      </c>
      <c r="D1034" s="1" t="s">
        <v>16</v>
      </c>
      <c r="E1034" s="1" t="s">
        <v>27</v>
      </c>
      <c r="F1034" s="1" t="s">
        <v>99</v>
      </c>
      <c r="G1034" s="1" t="s">
        <v>53</v>
      </c>
      <c r="H1034" s="1" t="s">
        <v>54</v>
      </c>
      <c r="I1034" s="1" t="s">
        <v>518</v>
      </c>
      <c r="J1034" s="1">
        <v>2</v>
      </c>
      <c r="K1034" s="3">
        <v>236.11</v>
      </c>
      <c r="L1034" s="1" t="s">
        <v>110</v>
      </c>
      <c r="M1034" s="1" t="s">
        <v>93</v>
      </c>
      <c r="N1034" s="10" t="s">
        <v>74</v>
      </c>
      <c r="Q1034"/>
    </row>
    <row r="1035" spans="1:17" x14ac:dyDescent="0.25">
      <c r="A1035" s="9" t="s">
        <v>1911</v>
      </c>
      <c r="B1035" s="2">
        <v>45381</v>
      </c>
      <c r="C1035" s="1" t="s">
        <v>1881</v>
      </c>
      <c r="D1035" s="1" t="s">
        <v>87</v>
      </c>
      <c r="E1035" s="1" t="s">
        <v>17</v>
      </c>
      <c r="F1035" s="1" t="s">
        <v>60</v>
      </c>
      <c r="G1035" s="1" t="s">
        <v>19</v>
      </c>
      <c r="H1035" s="1" t="s">
        <v>29</v>
      </c>
      <c r="I1035" s="1" t="s">
        <v>472</v>
      </c>
      <c r="J1035" s="1">
        <v>5</v>
      </c>
      <c r="K1035" s="3">
        <v>21572.9</v>
      </c>
      <c r="L1035" s="1">
        <v>20</v>
      </c>
      <c r="M1035" s="1" t="s">
        <v>93</v>
      </c>
      <c r="N1035" s="10" t="s">
        <v>23</v>
      </c>
      <c r="Q1035"/>
    </row>
    <row r="1036" spans="1:17" x14ac:dyDescent="0.25">
      <c r="A1036" s="9" t="s">
        <v>1912</v>
      </c>
      <c r="B1036" s="2">
        <v>44970</v>
      </c>
      <c r="C1036" s="1" t="s">
        <v>1883</v>
      </c>
      <c r="D1036" s="1" t="s">
        <v>40</v>
      </c>
      <c r="E1036" s="1" t="s">
        <v>72</v>
      </c>
      <c r="F1036" s="1" t="s">
        <v>18</v>
      </c>
      <c r="G1036" s="1" t="s">
        <v>83</v>
      </c>
      <c r="H1036" s="1" t="s">
        <v>43</v>
      </c>
      <c r="I1036" s="1" t="s">
        <v>50</v>
      </c>
      <c r="J1036" s="1">
        <v>6</v>
      </c>
      <c r="K1036" s="3">
        <v>27409.55</v>
      </c>
      <c r="L1036" s="1">
        <v>5</v>
      </c>
      <c r="M1036" s="1" t="s">
        <v>69</v>
      </c>
      <c r="N1036" s="10" t="s">
        <v>23</v>
      </c>
      <c r="Q1036"/>
    </row>
    <row r="1037" spans="1:17" x14ac:dyDescent="0.25">
      <c r="A1037" s="9" t="s">
        <v>1913</v>
      </c>
      <c r="B1037" s="2">
        <v>45024</v>
      </c>
      <c r="C1037" s="1" t="s">
        <v>1914</v>
      </c>
      <c r="D1037" s="1" t="s">
        <v>40</v>
      </c>
      <c r="E1037" s="1" t="s">
        <v>72</v>
      </c>
      <c r="F1037" s="1" t="s">
        <v>88</v>
      </c>
      <c r="G1037" s="1" t="s">
        <v>19</v>
      </c>
      <c r="H1037" s="1" t="s">
        <v>20</v>
      </c>
      <c r="I1037" s="1" t="s">
        <v>179</v>
      </c>
      <c r="J1037" s="1">
        <v>6</v>
      </c>
      <c r="K1037" s="3">
        <v>16695.099999999999</v>
      </c>
      <c r="L1037" s="1">
        <v>15</v>
      </c>
      <c r="M1037" s="1" t="s">
        <v>69</v>
      </c>
      <c r="N1037" s="10" t="s">
        <v>31</v>
      </c>
      <c r="Q1037"/>
    </row>
    <row r="1038" spans="1:17" x14ac:dyDescent="0.25">
      <c r="A1038" s="9" t="s">
        <v>1915</v>
      </c>
      <c r="B1038" s="2">
        <v>45204</v>
      </c>
      <c r="C1038" s="1" t="s">
        <v>284</v>
      </c>
      <c r="D1038" s="1" t="s">
        <v>71</v>
      </c>
      <c r="E1038" s="1" t="s">
        <v>27</v>
      </c>
      <c r="F1038" s="1" t="s">
        <v>49</v>
      </c>
      <c r="G1038" s="1" t="s">
        <v>19</v>
      </c>
      <c r="H1038" s="1" t="s">
        <v>20</v>
      </c>
      <c r="I1038" s="1" t="s">
        <v>263</v>
      </c>
      <c r="J1038" s="1">
        <v>9</v>
      </c>
      <c r="K1038" s="3">
        <v>7782.69</v>
      </c>
      <c r="L1038" s="1">
        <v>10</v>
      </c>
      <c r="M1038" s="1" t="s">
        <v>93</v>
      </c>
      <c r="N1038" s="10" t="s">
        <v>23</v>
      </c>
      <c r="Q1038"/>
    </row>
    <row r="1039" spans="1:17" x14ac:dyDescent="0.25">
      <c r="A1039" s="9" t="s">
        <v>1917</v>
      </c>
      <c r="B1039" s="2">
        <v>45211</v>
      </c>
      <c r="C1039" s="1" t="s">
        <v>1152</v>
      </c>
      <c r="D1039" s="1" t="s">
        <v>87</v>
      </c>
      <c r="E1039" s="1" t="s">
        <v>17</v>
      </c>
      <c r="F1039" s="1" t="s">
        <v>28</v>
      </c>
      <c r="G1039" s="1" t="s">
        <v>19</v>
      </c>
      <c r="H1039" s="1" t="s">
        <v>20</v>
      </c>
      <c r="I1039" s="1" t="s">
        <v>254</v>
      </c>
      <c r="J1039" s="1">
        <v>10</v>
      </c>
      <c r="K1039" s="3">
        <v>13859.66</v>
      </c>
      <c r="L1039" s="1">
        <v>0</v>
      </c>
      <c r="M1039" s="1" t="s">
        <v>36</v>
      </c>
      <c r="N1039" s="10" t="s">
        <v>23</v>
      </c>
      <c r="Q1039"/>
    </row>
    <row r="1040" spans="1:17" x14ac:dyDescent="0.25">
      <c r="A1040" s="9" t="s">
        <v>1918</v>
      </c>
      <c r="B1040" s="2">
        <v>45052</v>
      </c>
      <c r="C1040" s="1" t="s">
        <v>1834</v>
      </c>
      <c r="D1040" s="1" t="s">
        <v>399</v>
      </c>
      <c r="E1040" s="1" t="s">
        <v>17</v>
      </c>
      <c r="F1040" s="1" t="s">
        <v>60</v>
      </c>
      <c r="G1040" s="1" t="s">
        <v>83</v>
      </c>
      <c r="H1040" s="1" t="s">
        <v>43</v>
      </c>
      <c r="I1040" s="1" t="s">
        <v>348</v>
      </c>
      <c r="J1040" s="1">
        <v>2</v>
      </c>
      <c r="K1040" s="3">
        <v>5219.37</v>
      </c>
      <c r="L1040" s="1">
        <v>5</v>
      </c>
      <c r="M1040" s="1" t="s">
        <v>36</v>
      </c>
      <c r="N1040" s="10" t="s">
        <v>23</v>
      </c>
      <c r="Q1040"/>
    </row>
    <row r="1041" spans="1:17" x14ac:dyDescent="0.25">
      <c r="A1041" s="9" t="s">
        <v>1919</v>
      </c>
      <c r="B1041" s="2">
        <v>45381</v>
      </c>
      <c r="C1041" s="1" t="s">
        <v>493</v>
      </c>
      <c r="D1041" s="1" t="s">
        <v>16</v>
      </c>
      <c r="E1041" s="1" t="s">
        <v>17</v>
      </c>
      <c r="F1041" s="1" t="s">
        <v>18</v>
      </c>
      <c r="G1041" s="1" t="s">
        <v>42</v>
      </c>
      <c r="H1041" s="1" t="s">
        <v>43</v>
      </c>
      <c r="I1041" s="1" t="s">
        <v>467</v>
      </c>
      <c r="J1041" s="1">
        <v>3</v>
      </c>
      <c r="K1041" s="3">
        <v>10238.69</v>
      </c>
      <c r="L1041" s="1" t="s">
        <v>110</v>
      </c>
      <c r="M1041" s="1" t="s">
        <v>56</v>
      </c>
      <c r="N1041" s="10" t="s">
        <v>31</v>
      </c>
      <c r="Q1041"/>
    </row>
    <row r="1042" spans="1:17" x14ac:dyDescent="0.25">
      <c r="A1042" s="9" t="s">
        <v>1920</v>
      </c>
      <c r="B1042" s="2">
        <v>45117</v>
      </c>
      <c r="C1042" s="1" t="s">
        <v>981</v>
      </c>
      <c r="D1042" s="1" t="s">
        <v>81</v>
      </c>
      <c r="E1042" s="1" t="s">
        <v>41</v>
      </c>
      <c r="F1042" s="1" t="s">
        <v>60</v>
      </c>
      <c r="G1042" s="1" t="s">
        <v>83</v>
      </c>
      <c r="H1042" s="1" t="s">
        <v>43</v>
      </c>
      <c r="I1042" s="1" t="s">
        <v>323</v>
      </c>
      <c r="J1042" s="1">
        <v>7</v>
      </c>
      <c r="K1042" s="3">
        <v>19510.63</v>
      </c>
      <c r="L1042" s="1">
        <v>20</v>
      </c>
      <c r="M1042" s="1" t="s">
        <v>69</v>
      </c>
      <c r="N1042" s="10" t="s">
        <v>31</v>
      </c>
      <c r="Q1042"/>
    </row>
    <row r="1043" spans="1:17" x14ac:dyDescent="0.25">
      <c r="A1043" s="9" t="s">
        <v>1922</v>
      </c>
      <c r="B1043" s="2">
        <v>45569</v>
      </c>
      <c r="C1043" s="1" t="s">
        <v>528</v>
      </c>
      <c r="D1043" s="1" t="s">
        <v>67</v>
      </c>
      <c r="E1043" s="1" t="s">
        <v>41</v>
      </c>
      <c r="F1043" s="1" t="s">
        <v>60</v>
      </c>
      <c r="G1043" s="1" t="s">
        <v>19</v>
      </c>
      <c r="H1043" s="1" t="s">
        <v>29</v>
      </c>
      <c r="I1043" s="1" t="s">
        <v>135</v>
      </c>
      <c r="J1043" s="1">
        <v>8</v>
      </c>
      <c r="K1043" s="3">
        <v>5677.66</v>
      </c>
      <c r="L1043" s="1" t="s">
        <v>110</v>
      </c>
      <c r="M1043" s="1" t="s">
        <v>36</v>
      </c>
      <c r="N1043" s="10" t="s">
        <v>64</v>
      </c>
      <c r="Q1043"/>
    </row>
    <row r="1044" spans="1:17" x14ac:dyDescent="0.25">
      <c r="A1044" s="9" t="s">
        <v>1923</v>
      </c>
      <c r="B1044" s="2">
        <v>45321</v>
      </c>
      <c r="C1044" s="1" t="s">
        <v>1039</v>
      </c>
      <c r="D1044" s="1" t="s">
        <v>87</v>
      </c>
      <c r="E1044" s="1" t="s">
        <v>41</v>
      </c>
      <c r="F1044" s="1" t="s">
        <v>88</v>
      </c>
      <c r="G1044" s="1" t="s">
        <v>19</v>
      </c>
      <c r="H1044" s="1" t="s">
        <v>29</v>
      </c>
      <c r="I1044" s="1" t="s">
        <v>148</v>
      </c>
      <c r="J1044" s="1">
        <v>5</v>
      </c>
      <c r="K1044" s="3">
        <v>18672.77</v>
      </c>
      <c r="L1044" s="1">
        <v>15</v>
      </c>
      <c r="M1044" s="1" t="s">
        <v>22</v>
      </c>
      <c r="N1044" s="10" t="s">
        <v>45</v>
      </c>
      <c r="Q1044"/>
    </row>
    <row r="1045" spans="1:17" x14ac:dyDescent="0.25">
      <c r="A1045" s="9" t="s">
        <v>1924</v>
      </c>
      <c r="B1045" s="2">
        <v>45227</v>
      </c>
      <c r="C1045" s="1" t="s">
        <v>1282</v>
      </c>
      <c r="D1045" s="1" t="s">
        <v>52</v>
      </c>
      <c r="E1045" s="1" t="s">
        <v>27</v>
      </c>
      <c r="F1045" s="1" t="s">
        <v>18</v>
      </c>
      <c r="G1045" s="1" t="s">
        <v>42</v>
      </c>
      <c r="H1045" s="1" t="s">
        <v>61</v>
      </c>
      <c r="I1045" s="1" t="s">
        <v>1011</v>
      </c>
      <c r="J1045" s="1">
        <v>3</v>
      </c>
      <c r="K1045" s="3">
        <v>10110.85</v>
      </c>
      <c r="L1045" s="1">
        <v>0</v>
      </c>
      <c r="M1045" s="1" t="s">
        <v>69</v>
      </c>
      <c r="N1045" s="10" t="s">
        <v>45</v>
      </c>
      <c r="Q1045"/>
    </row>
    <row r="1046" spans="1:17" x14ac:dyDescent="0.25">
      <c r="A1046" s="9" t="s">
        <v>1925</v>
      </c>
      <c r="B1046" s="2">
        <v>45289</v>
      </c>
      <c r="C1046" s="1" t="s">
        <v>1926</v>
      </c>
      <c r="D1046" s="1" t="s">
        <v>71</v>
      </c>
      <c r="E1046" s="1" t="s">
        <v>27</v>
      </c>
      <c r="F1046" s="1" t="s">
        <v>60</v>
      </c>
      <c r="G1046" s="1" t="s">
        <v>19</v>
      </c>
      <c r="H1046" s="1" t="s">
        <v>20</v>
      </c>
      <c r="I1046" s="1" t="s">
        <v>176</v>
      </c>
      <c r="J1046" s="1">
        <v>9</v>
      </c>
      <c r="K1046" s="3">
        <v>7530.24</v>
      </c>
      <c r="L1046" s="1">
        <v>20</v>
      </c>
      <c r="M1046" s="1" t="s">
        <v>22</v>
      </c>
      <c r="N1046" s="10" t="s">
        <v>31</v>
      </c>
      <c r="Q1046"/>
    </row>
    <row r="1047" spans="1:17" x14ac:dyDescent="0.25">
      <c r="A1047" s="9" t="s">
        <v>1927</v>
      </c>
      <c r="B1047" s="2">
        <v>45129</v>
      </c>
      <c r="C1047" s="1" t="s">
        <v>1928</v>
      </c>
      <c r="D1047" s="1" t="s">
        <v>52</v>
      </c>
      <c r="E1047" s="1" t="s">
        <v>34</v>
      </c>
      <c r="F1047" s="1" t="s">
        <v>88</v>
      </c>
      <c r="G1047" s="1" t="s">
        <v>83</v>
      </c>
      <c r="H1047" s="1" t="s">
        <v>43</v>
      </c>
      <c r="I1047" s="1" t="s">
        <v>380</v>
      </c>
      <c r="J1047" s="1">
        <v>7</v>
      </c>
      <c r="K1047" s="3">
        <v>1441.31</v>
      </c>
      <c r="L1047" s="1">
        <v>0</v>
      </c>
      <c r="M1047" s="1" t="s">
        <v>56</v>
      </c>
      <c r="N1047" s="10" t="s">
        <v>45</v>
      </c>
      <c r="Q1047"/>
    </row>
    <row r="1048" spans="1:17" x14ac:dyDescent="0.25">
      <c r="A1048" s="9" t="s">
        <v>1929</v>
      </c>
      <c r="B1048" s="2">
        <v>45036</v>
      </c>
      <c r="C1048" s="1" t="s">
        <v>1175</v>
      </c>
      <c r="D1048" s="1" t="s">
        <v>147</v>
      </c>
      <c r="E1048" s="1" t="s">
        <v>41</v>
      </c>
      <c r="F1048" s="1" t="s">
        <v>82</v>
      </c>
      <c r="G1048" s="1" t="s">
        <v>83</v>
      </c>
      <c r="H1048" s="1" t="s">
        <v>43</v>
      </c>
      <c r="I1048" s="1" t="s">
        <v>288</v>
      </c>
      <c r="J1048" s="1">
        <v>3</v>
      </c>
      <c r="K1048" s="3">
        <v>11475.84</v>
      </c>
      <c r="L1048" s="1">
        <v>10</v>
      </c>
      <c r="M1048" s="1" t="s">
        <v>63</v>
      </c>
      <c r="N1048" s="10" t="s">
        <v>37</v>
      </c>
      <c r="Q1048"/>
    </row>
    <row r="1049" spans="1:17" x14ac:dyDescent="0.25">
      <c r="A1049" s="9" t="s">
        <v>1930</v>
      </c>
      <c r="B1049" s="2">
        <v>45365</v>
      </c>
      <c r="C1049" s="1" t="s">
        <v>634</v>
      </c>
      <c r="D1049" s="1" t="s">
        <v>81</v>
      </c>
      <c r="E1049" s="1" t="s">
        <v>41</v>
      </c>
      <c r="F1049" s="1" t="s">
        <v>99</v>
      </c>
      <c r="G1049" s="1" t="s">
        <v>42</v>
      </c>
      <c r="H1049" s="1" t="s">
        <v>43</v>
      </c>
      <c r="I1049" s="1" t="s">
        <v>339</v>
      </c>
      <c r="J1049" s="1">
        <v>7</v>
      </c>
      <c r="K1049" s="3">
        <v>16834.8</v>
      </c>
      <c r="L1049" s="1" t="s">
        <v>110</v>
      </c>
      <c r="M1049" s="1" t="s">
        <v>63</v>
      </c>
      <c r="N1049" s="10" t="s">
        <v>45</v>
      </c>
      <c r="Q1049"/>
    </row>
    <row r="1050" spans="1:17" x14ac:dyDescent="0.25">
      <c r="A1050" s="9" t="s">
        <v>1931</v>
      </c>
      <c r="B1050" s="2">
        <v>45066</v>
      </c>
      <c r="C1050" s="1" t="s">
        <v>1890</v>
      </c>
      <c r="D1050" s="1" t="s">
        <v>16</v>
      </c>
      <c r="E1050" s="1" t="s">
        <v>34</v>
      </c>
      <c r="F1050" s="1" t="s">
        <v>88</v>
      </c>
      <c r="G1050" s="1" t="s">
        <v>42</v>
      </c>
      <c r="H1050" s="1" t="s">
        <v>43</v>
      </c>
      <c r="I1050" s="1" t="s">
        <v>365</v>
      </c>
      <c r="J1050" s="1">
        <v>6</v>
      </c>
      <c r="K1050" s="3">
        <v>26497.200000000001</v>
      </c>
      <c r="L1050" s="1">
        <v>0</v>
      </c>
      <c r="M1050" s="1" t="s">
        <v>93</v>
      </c>
      <c r="N1050" s="10" t="s">
        <v>23</v>
      </c>
      <c r="Q1050"/>
    </row>
    <row r="1051" spans="1:17" x14ac:dyDescent="0.25">
      <c r="A1051" s="9" t="s">
        <v>1932</v>
      </c>
      <c r="B1051" s="2">
        <v>45490</v>
      </c>
      <c r="C1051" s="1" t="s">
        <v>884</v>
      </c>
      <c r="D1051" s="1" t="s">
        <v>52</v>
      </c>
      <c r="E1051" s="1" t="s">
        <v>27</v>
      </c>
      <c r="F1051" s="1" t="s">
        <v>60</v>
      </c>
      <c r="G1051" s="1" t="s">
        <v>53</v>
      </c>
      <c r="H1051" s="1" t="s">
        <v>54</v>
      </c>
      <c r="I1051" s="1" t="s">
        <v>608</v>
      </c>
      <c r="J1051" s="1">
        <v>4</v>
      </c>
      <c r="K1051" s="3">
        <v>2492.12</v>
      </c>
      <c r="L1051" s="1">
        <v>5</v>
      </c>
      <c r="M1051" s="1" t="s">
        <v>36</v>
      </c>
      <c r="N1051" s="10" t="s">
        <v>31</v>
      </c>
      <c r="Q1051"/>
    </row>
    <row r="1052" spans="1:17" x14ac:dyDescent="0.25">
      <c r="A1052" s="9" t="s">
        <v>1933</v>
      </c>
      <c r="B1052" s="2">
        <v>45035</v>
      </c>
      <c r="C1052" s="1" t="s">
        <v>1934</v>
      </c>
      <c r="D1052" s="1" t="s">
        <v>16</v>
      </c>
      <c r="E1052" s="1" t="s">
        <v>59</v>
      </c>
      <c r="F1052" s="1" t="s">
        <v>82</v>
      </c>
      <c r="G1052" s="1" t="s">
        <v>19</v>
      </c>
      <c r="H1052" s="1" t="s">
        <v>29</v>
      </c>
      <c r="I1052" s="1" t="s">
        <v>452</v>
      </c>
      <c r="J1052" s="1">
        <v>5</v>
      </c>
      <c r="K1052" s="3">
        <v>20636.05</v>
      </c>
      <c r="L1052" s="1">
        <v>20</v>
      </c>
      <c r="M1052" s="1" t="s">
        <v>93</v>
      </c>
      <c r="N1052" s="10" t="s">
        <v>23</v>
      </c>
      <c r="Q1052"/>
    </row>
    <row r="1053" spans="1:17" x14ac:dyDescent="0.25">
      <c r="A1053" s="9" t="s">
        <v>1935</v>
      </c>
      <c r="B1053" s="2">
        <v>45406</v>
      </c>
      <c r="C1053" s="1" t="s">
        <v>1936</v>
      </c>
      <c r="D1053" s="1" t="s">
        <v>81</v>
      </c>
      <c r="E1053" s="1" t="s">
        <v>27</v>
      </c>
      <c r="F1053" s="1" t="s">
        <v>88</v>
      </c>
      <c r="G1053" s="1" t="s">
        <v>19</v>
      </c>
      <c r="H1053" s="1" t="s">
        <v>20</v>
      </c>
      <c r="I1053" s="1" t="s">
        <v>1234</v>
      </c>
      <c r="J1053" s="1">
        <v>5</v>
      </c>
      <c r="K1053" s="3">
        <v>17220.11</v>
      </c>
      <c r="L1053" s="1" t="s">
        <v>110</v>
      </c>
      <c r="M1053" s="1" t="s">
        <v>22</v>
      </c>
      <c r="N1053" s="10" t="s">
        <v>45</v>
      </c>
      <c r="Q1053"/>
    </row>
    <row r="1054" spans="1:17" x14ac:dyDescent="0.25">
      <c r="A1054" s="9" t="s">
        <v>1937</v>
      </c>
      <c r="B1054" s="2">
        <v>45502</v>
      </c>
      <c r="C1054" s="1" t="s">
        <v>401</v>
      </c>
      <c r="D1054" s="1" t="s">
        <v>26</v>
      </c>
      <c r="E1054" s="1" t="s">
        <v>59</v>
      </c>
      <c r="F1054" s="1" t="s">
        <v>18</v>
      </c>
      <c r="G1054" s="1" t="s">
        <v>19</v>
      </c>
      <c r="H1054" s="1" t="s">
        <v>29</v>
      </c>
      <c r="I1054" s="1" t="s">
        <v>320</v>
      </c>
      <c r="J1054" s="1">
        <v>10</v>
      </c>
      <c r="K1054" s="3">
        <v>29486.36</v>
      </c>
      <c r="L1054" s="1">
        <v>5</v>
      </c>
      <c r="M1054" s="1" t="s">
        <v>36</v>
      </c>
      <c r="N1054" s="10" t="s">
        <v>37</v>
      </c>
      <c r="Q1054"/>
    </row>
    <row r="1055" spans="1:17" x14ac:dyDescent="0.25">
      <c r="A1055" s="9" t="s">
        <v>1938</v>
      </c>
      <c r="B1055" s="2">
        <v>45541</v>
      </c>
      <c r="C1055" s="1" t="s">
        <v>699</v>
      </c>
      <c r="D1055" s="1" t="s">
        <v>48</v>
      </c>
      <c r="E1055" s="1" t="s">
        <v>72</v>
      </c>
      <c r="F1055" s="1" t="s">
        <v>18</v>
      </c>
      <c r="G1055" s="1" t="s">
        <v>83</v>
      </c>
      <c r="H1055" s="1" t="s">
        <v>43</v>
      </c>
      <c r="I1055" s="1" t="s">
        <v>467</v>
      </c>
      <c r="J1055" s="1">
        <v>5</v>
      </c>
      <c r="K1055" s="3">
        <v>16309.98</v>
      </c>
      <c r="L1055" s="1" t="s">
        <v>110</v>
      </c>
      <c r="M1055" s="1" t="s">
        <v>22</v>
      </c>
      <c r="N1055" s="10" t="s">
        <v>74</v>
      </c>
      <c r="Q1055"/>
    </row>
    <row r="1056" spans="1:17" x14ac:dyDescent="0.25">
      <c r="A1056" s="9" t="s">
        <v>1939</v>
      </c>
      <c r="B1056" s="2">
        <v>45453</v>
      </c>
      <c r="C1056" s="1" t="s">
        <v>150</v>
      </c>
      <c r="D1056" s="1" t="s">
        <v>67</v>
      </c>
      <c r="E1056" s="1" t="s">
        <v>72</v>
      </c>
      <c r="F1056" s="1" t="s">
        <v>18</v>
      </c>
      <c r="G1056" s="1" t="s">
        <v>19</v>
      </c>
      <c r="H1056" s="1" t="s">
        <v>29</v>
      </c>
      <c r="I1056" s="1" t="s">
        <v>693</v>
      </c>
      <c r="J1056" s="1">
        <v>8</v>
      </c>
      <c r="K1056" s="3">
        <v>20526.32</v>
      </c>
      <c r="L1056" s="1">
        <v>20</v>
      </c>
      <c r="M1056" s="1" t="s">
        <v>63</v>
      </c>
      <c r="N1056" s="10" t="s">
        <v>64</v>
      </c>
      <c r="Q1056"/>
    </row>
    <row r="1057" spans="1:17" x14ac:dyDescent="0.25">
      <c r="A1057" s="9" t="s">
        <v>1940</v>
      </c>
      <c r="B1057" s="2">
        <v>45314</v>
      </c>
      <c r="C1057" s="1" t="s">
        <v>1941</v>
      </c>
      <c r="D1057" s="1" t="s">
        <v>67</v>
      </c>
      <c r="E1057" s="1" t="s">
        <v>72</v>
      </c>
      <c r="F1057" s="1" t="s">
        <v>28</v>
      </c>
      <c r="G1057" s="1" t="s">
        <v>42</v>
      </c>
      <c r="H1057" s="1" t="s">
        <v>43</v>
      </c>
      <c r="I1057" s="1" t="s">
        <v>182</v>
      </c>
      <c r="J1057" s="1">
        <v>9</v>
      </c>
      <c r="K1057" s="3">
        <v>22426.080000000002</v>
      </c>
      <c r="L1057" s="1">
        <v>5</v>
      </c>
      <c r="M1057" s="1" t="s">
        <v>22</v>
      </c>
      <c r="N1057" s="10" t="s">
        <v>23</v>
      </c>
      <c r="Q1057"/>
    </row>
    <row r="1058" spans="1:17" x14ac:dyDescent="0.25">
      <c r="A1058" s="9" t="s">
        <v>1942</v>
      </c>
      <c r="B1058" s="2">
        <v>45608</v>
      </c>
      <c r="C1058" s="1" t="s">
        <v>1943</v>
      </c>
      <c r="D1058" s="1" t="s">
        <v>40</v>
      </c>
      <c r="E1058" s="1" t="s">
        <v>27</v>
      </c>
      <c r="F1058" s="1" t="s">
        <v>99</v>
      </c>
      <c r="G1058" s="1" t="s">
        <v>19</v>
      </c>
      <c r="H1058" s="1" t="s">
        <v>29</v>
      </c>
      <c r="I1058" s="1" t="s">
        <v>475</v>
      </c>
      <c r="J1058" s="1">
        <v>10</v>
      </c>
      <c r="K1058" s="3">
        <v>35630.639999999999</v>
      </c>
      <c r="L1058" s="1">
        <v>0</v>
      </c>
      <c r="M1058" s="1" t="s">
        <v>56</v>
      </c>
      <c r="N1058" s="10" t="s">
        <v>23</v>
      </c>
      <c r="Q1058"/>
    </row>
    <row r="1059" spans="1:17" x14ac:dyDescent="0.25">
      <c r="A1059" s="9" t="s">
        <v>1944</v>
      </c>
      <c r="B1059" s="2">
        <v>45495</v>
      </c>
      <c r="C1059" s="1" t="s">
        <v>210</v>
      </c>
      <c r="D1059" s="1" t="s">
        <v>71</v>
      </c>
      <c r="E1059" s="1" t="s">
        <v>72</v>
      </c>
      <c r="F1059" s="1" t="s">
        <v>18</v>
      </c>
      <c r="G1059" s="1" t="s">
        <v>42</v>
      </c>
      <c r="H1059" s="1" t="s">
        <v>61</v>
      </c>
      <c r="I1059" s="1" t="s">
        <v>1020</v>
      </c>
      <c r="J1059" s="1">
        <v>1</v>
      </c>
      <c r="K1059" s="3">
        <v>3535.19</v>
      </c>
      <c r="L1059" s="1">
        <v>10</v>
      </c>
      <c r="M1059" s="1" t="s">
        <v>22</v>
      </c>
      <c r="N1059" s="10" t="s">
        <v>74</v>
      </c>
      <c r="Q1059"/>
    </row>
    <row r="1060" spans="1:17" x14ac:dyDescent="0.25">
      <c r="A1060" s="9" t="s">
        <v>1945</v>
      </c>
      <c r="B1060" s="2">
        <v>45656</v>
      </c>
      <c r="C1060" s="1" t="s">
        <v>998</v>
      </c>
      <c r="D1060" s="1" t="s">
        <v>33</v>
      </c>
      <c r="E1060" s="1" t="s">
        <v>41</v>
      </c>
      <c r="F1060" s="1" t="s">
        <v>18</v>
      </c>
      <c r="G1060" s="1" t="s">
        <v>83</v>
      </c>
      <c r="H1060" s="1" t="s">
        <v>43</v>
      </c>
      <c r="I1060" s="1" t="s">
        <v>329</v>
      </c>
      <c r="J1060" s="1">
        <v>8</v>
      </c>
      <c r="K1060" s="3">
        <v>2594.08</v>
      </c>
      <c r="L1060" s="1">
        <v>20</v>
      </c>
      <c r="M1060" s="1" t="s">
        <v>93</v>
      </c>
      <c r="N1060" s="10" t="s">
        <v>31</v>
      </c>
      <c r="Q1060"/>
    </row>
    <row r="1061" spans="1:17" x14ac:dyDescent="0.25">
      <c r="A1061" s="9" t="s">
        <v>1946</v>
      </c>
      <c r="B1061" s="2">
        <v>45216</v>
      </c>
      <c r="C1061" s="1" t="s">
        <v>1909</v>
      </c>
      <c r="D1061" s="1" t="s">
        <v>40</v>
      </c>
      <c r="E1061" s="1" t="s">
        <v>72</v>
      </c>
      <c r="F1061" s="1" t="s">
        <v>18</v>
      </c>
      <c r="G1061" s="1" t="s">
        <v>19</v>
      </c>
      <c r="H1061" s="1" t="s">
        <v>29</v>
      </c>
      <c r="I1061" s="1" t="s">
        <v>124</v>
      </c>
      <c r="J1061" s="1">
        <v>5</v>
      </c>
      <c r="K1061" s="3">
        <v>2596.36</v>
      </c>
      <c r="L1061" s="1">
        <v>0</v>
      </c>
      <c r="M1061" s="1" t="s">
        <v>69</v>
      </c>
      <c r="N1061" s="10" t="s">
        <v>74</v>
      </c>
      <c r="Q1061"/>
    </row>
    <row r="1062" spans="1:17" x14ac:dyDescent="0.25">
      <c r="A1062" s="9" t="s">
        <v>1947</v>
      </c>
      <c r="B1062" s="2">
        <v>45217</v>
      </c>
      <c r="C1062" s="1" t="s">
        <v>1052</v>
      </c>
      <c r="D1062" s="1" t="s">
        <v>147</v>
      </c>
      <c r="E1062" s="1" t="s">
        <v>17</v>
      </c>
      <c r="F1062" s="1" t="s">
        <v>82</v>
      </c>
      <c r="G1062" s="1" t="s">
        <v>42</v>
      </c>
      <c r="H1062" s="1" t="s">
        <v>43</v>
      </c>
      <c r="I1062" s="1" t="s">
        <v>336</v>
      </c>
      <c r="J1062" s="1">
        <v>8</v>
      </c>
      <c r="K1062" s="3">
        <v>26309.97</v>
      </c>
      <c r="L1062" s="1" t="s">
        <v>110</v>
      </c>
      <c r="M1062" s="1" t="s">
        <v>63</v>
      </c>
      <c r="N1062" s="10" t="s">
        <v>74</v>
      </c>
      <c r="Q1062"/>
    </row>
    <row r="1063" spans="1:17" x14ac:dyDescent="0.25">
      <c r="A1063" s="9" t="s">
        <v>1948</v>
      </c>
      <c r="B1063" s="2">
        <v>45474</v>
      </c>
      <c r="C1063" s="1" t="s">
        <v>1949</v>
      </c>
      <c r="D1063" s="1" t="s">
        <v>40</v>
      </c>
      <c r="E1063" s="1" t="s">
        <v>41</v>
      </c>
      <c r="F1063" s="1" t="s">
        <v>28</v>
      </c>
      <c r="G1063" s="1" t="s">
        <v>42</v>
      </c>
      <c r="H1063" s="1" t="s">
        <v>61</v>
      </c>
      <c r="I1063" s="1" t="s">
        <v>196</v>
      </c>
      <c r="J1063" s="1">
        <v>6</v>
      </c>
      <c r="K1063" s="3">
        <v>7332.53</v>
      </c>
      <c r="L1063" s="1">
        <v>0</v>
      </c>
      <c r="M1063" s="1" t="s">
        <v>63</v>
      </c>
      <c r="N1063" s="10" t="s">
        <v>37</v>
      </c>
      <c r="Q1063"/>
    </row>
    <row r="1064" spans="1:17" x14ac:dyDescent="0.25">
      <c r="A1064" s="9" t="s">
        <v>1950</v>
      </c>
      <c r="B1064" s="2">
        <v>45595</v>
      </c>
      <c r="C1064" s="1" t="s">
        <v>1951</v>
      </c>
      <c r="D1064" s="1" t="s">
        <v>87</v>
      </c>
      <c r="E1064" s="1" t="s">
        <v>59</v>
      </c>
      <c r="F1064" s="1" t="s">
        <v>82</v>
      </c>
      <c r="G1064" s="1" t="s">
        <v>19</v>
      </c>
      <c r="H1064" s="1" t="s">
        <v>20</v>
      </c>
      <c r="I1064" s="1" t="s">
        <v>731</v>
      </c>
      <c r="J1064" s="1">
        <v>8</v>
      </c>
      <c r="K1064" s="3">
        <v>27616.48</v>
      </c>
      <c r="L1064" s="1">
        <v>0</v>
      </c>
      <c r="M1064" s="1" t="s">
        <v>56</v>
      </c>
      <c r="N1064" s="10" t="s">
        <v>74</v>
      </c>
      <c r="Q1064"/>
    </row>
    <row r="1065" spans="1:17" x14ac:dyDescent="0.25">
      <c r="A1065" s="9" t="s">
        <v>1952</v>
      </c>
      <c r="B1065" s="2">
        <v>45101</v>
      </c>
      <c r="C1065" s="1" t="s">
        <v>375</v>
      </c>
      <c r="D1065" s="1" t="s">
        <v>71</v>
      </c>
      <c r="E1065" s="1" t="s">
        <v>41</v>
      </c>
      <c r="F1065" s="1" t="s">
        <v>28</v>
      </c>
      <c r="G1065" s="1" t="s">
        <v>53</v>
      </c>
      <c r="H1065" s="1" t="s">
        <v>54</v>
      </c>
      <c r="I1065" s="1" t="s">
        <v>55</v>
      </c>
      <c r="J1065" s="1">
        <v>6</v>
      </c>
      <c r="K1065" s="3">
        <v>23440.48</v>
      </c>
      <c r="L1065" s="1">
        <v>20</v>
      </c>
      <c r="M1065" s="1" t="s">
        <v>22</v>
      </c>
      <c r="N1065" s="10" t="s">
        <v>23</v>
      </c>
      <c r="Q1065"/>
    </row>
    <row r="1066" spans="1:17" x14ac:dyDescent="0.25">
      <c r="A1066" s="9" t="s">
        <v>1953</v>
      </c>
      <c r="B1066" s="2">
        <v>45119</v>
      </c>
      <c r="C1066" s="1" t="s">
        <v>1954</v>
      </c>
      <c r="D1066" s="1" t="s">
        <v>67</v>
      </c>
      <c r="E1066" s="1" t="s">
        <v>41</v>
      </c>
      <c r="F1066" s="1" t="s">
        <v>60</v>
      </c>
      <c r="G1066" s="1" t="s">
        <v>19</v>
      </c>
      <c r="H1066" s="1" t="s">
        <v>20</v>
      </c>
      <c r="I1066" s="1" t="s">
        <v>239</v>
      </c>
      <c r="J1066" s="1">
        <v>5</v>
      </c>
      <c r="K1066" s="3">
        <v>5212.28</v>
      </c>
      <c r="L1066" s="1">
        <v>0</v>
      </c>
      <c r="M1066" s="1" t="s">
        <v>69</v>
      </c>
      <c r="N1066" s="10" t="s">
        <v>23</v>
      </c>
      <c r="Q1066"/>
    </row>
    <row r="1067" spans="1:17" x14ac:dyDescent="0.25">
      <c r="A1067" s="9" t="s">
        <v>1955</v>
      </c>
      <c r="B1067" s="2">
        <v>44991</v>
      </c>
      <c r="C1067" s="1" t="s">
        <v>66</v>
      </c>
      <c r="D1067" s="1" t="s">
        <v>26</v>
      </c>
      <c r="E1067" s="1" t="s">
        <v>41</v>
      </c>
      <c r="F1067" s="1" t="s">
        <v>18</v>
      </c>
      <c r="G1067" s="1" t="s">
        <v>42</v>
      </c>
      <c r="H1067" s="1" t="s">
        <v>43</v>
      </c>
      <c r="I1067" s="1" t="s">
        <v>182</v>
      </c>
      <c r="J1067" s="1">
        <v>8</v>
      </c>
      <c r="K1067" s="3">
        <v>7567.07</v>
      </c>
      <c r="L1067" s="1">
        <v>0</v>
      </c>
      <c r="M1067" s="1" t="s">
        <v>36</v>
      </c>
      <c r="N1067" s="10" t="s">
        <v>37</v>
      </c>
      <c r="Q1067"/>
    </row>
    <row r="1068" spans="1:17" x14ac:dyDescent="0.25">
      <c r="A1068" s="9" t="s">
        <v>1956</v>
      </c>
      <c r="B1068" s="2">
        <v>44942</v>
      </c>
      <c r="C1068" s="1" t="s">
        <v>1957</v>
      </c>
      <c r="D1068" s="1" t="s">
        <v>26</v>
      </c>
      <c r="E1068" s="1" t="s">
        <v>72</v>
      </c>
      <c r="F1068" s="1" t="s">
        <v>49</v>
      </c>
      <c r="G1068" s="1" t="s">
        <v>19</v>
      </c>
      <c r="H1068" s="1" t="s">
        <v>20</v>
      </c>
      <c r="I1068" s="1" t="s">
        <v>731</v>
      </c>
      <c r="J1068" s="1">
        <v>6</v>
      </c>
      <c r="K1068" s="3">
        <v>11975.7</v>
      </c>
      <c r="L1068" s="1">
        <v>20</v>
      </c>
      <c r="M1068" s="1" t="s">
        <v>69</v>
      </c>
      <c r="N1068" s="10" t="s">
        <v>23</v>
      </c>
      <c r="Q1068"/>
    </row>
    <row r="1069" spans="1:17" x14ac:dyDescent="0.25">
      <c r="A1069" s="9" t="s">
        <v>1958</v>
      </c>
      <c r="B1069" s="2">
        <v>45638</v>
      </c>
      <c r="C1069" s="1" t="s">
        <v>654</v>
      </c>
      <c r="D1069" s="1" t="s">
        <v>40</v>
      </c>
      <c r="E1069" s="1" t="s">
        <v>34</v>
      </c>
      <c r="F1069" s="1" t="s">
        <v>88</v>
      </c>
      <c r="G1069" s="1" t="s">
        <v>83</v>
      </c>
      <c r="H1069" s="1" t="s">
        <v>43</v>
      </c>
      <c r="I1069" s="1" t="s">
        <v>89</v>
      </c>
      <c r="J1069" s="1">
        <v>5</v>
      </c>
      <c r="K1069" s="3">
        <v>13312.23</v>
      </c>
      <c r="L1069" s="1">
        <v>0</v>
      </c>
      <c r="M1069" s="1" t="s">
        <v>69</v>
      </c>
      <c r="N1069" s="10" t="s">
        <v>23</v>
      </c>
      <c r="Q1069"/>
    </row>
    <row r="1070" spans="1:17" x14ac:dyDescent="0.25">
      <c r="A1070" s="9" t="s">
        <v>1959</v>
      </c>
      <c r="B1070" s="2">
        <v>45426</v>
      </c>
      <c r="C1070" s="1" t="s">
        <v>271</v>
      </c>
      <c r="D1070" s="1" t="s">
        <v>33</v>
      </c>
      <c r="E1070" s="1" t="s">
        <v>72</v>
      </c>
      <c r="F1070" s="1" t="s">
        <v>28</v>
      </c>
      <c r="G1070" s="1" t="s">
        <v>19</v>
      </c>
      <c r="H1070" s="1" t="s">
        <v>20</v>
      </c>
      <c r="I1070" s="1" t="s">
        <v>263</v>
      </c>
      <c r="J1070" s="1">
        <v>3</v>
      </c>
      <c r="K1070" s="3">
        <v>3190.81</v>
      </c>
      <c r="L1070" s="1">
        <v>0</v>
      </c>
      <c r="M1070" s="1" t="s">
        <v>56</v>
      </c>
      <c r="N1070" s="10" t="s">
        <v>23</v>
      </c>
      <c r="Q1070"/>
    </row>
    <row r="1071" spans="1:17" x14ac:dyDescent="0.25">
      <c r="A1071" s="9" t="s">
        <v>1960</v>
      </c>
      <c r="B1071" s="2">
        <v>45028</v>
      </c>
      <c r="C1071" s="1" t="s">
        <v>1706</v>
      </c>
      <c r="D1071" s="1" t="s">
        <v>33</v>
      </c>
      <c r="E1071" s="1" t="s">
        <v>34</v>
      </c>
      <c r="F1071" s="1" t="s">
        <v>60</v>
      </c>
      <c r="G1071" s="1" t="s">
        <v>42</v>
      </c>
      <c r="H1071" s="1" t="s">
        <v>43</v>
      </c>
      <c r="I1071" s="1" t="s">
        <v>494</v>
      </c>
      <c r="J1071" s="1">
        <v>6</v>
      </c>
      <c r="K1071" s="3">
        <v>21989.22</v>
      </c>
      <c r="L1071" s="1">
        <v>0</v>
      </c>
      <c r="M1071" s="1" t="s">
        <v>22</v>
      </c>
      <c r="N1071" s="10" t="s">
        <v>37</v>
      </c>
      <c r="Q1071"/>
    </row>
    <row r="1072" spans="1:17" x14ac:dyDescent="0.25">
      <c r="A1072" s="9" t="s">
        <v>1961</v>
      </c>
      <c r="B1072" s="2">
        <v>45558</v>
      </c>
      <c r="C1072" s="1" t="s">
        <v>1282</v>
      </c>
      <c r="D1072" s="1" t="s">
        <v>16</v>
      </c>
      <c r="E1072" s="1" t="s">
        <v>17</v>
      </c>
      <c r="F1072" s="1" t="s">
        <v>88</v>
      </c>
      <c r="G1072" s="1" t="s">
        <v>19</v>
      </c>
      <c r="H1072" s="1" t="s">
        <v>20</v>
      </c>
      <c r="I1072" s="1" t="s">
        <v>193</v>
      </c>
      <c r="J1072" s="1">
        <v>9</v>
      </c>
      <c r="K1072" s="3">
        <v>35602.78</v>
      </c>
      <c r="L1072" s="1">
        <v>20</v>
      </c>
      <c r="M1072" s="1" t="s">
        <v>22</v>
      </c>
      <c r="N1072" s="10" t="s">
        <v>37</v>
      </c>
      <c r="Q1072"/>
    </row>
    <row r="1073" spans="1:17" x14ac:dyDescent="0.25">
      <c r="A1073" s="9" t="s">
        <v>1962</v>
      </c>
      <c r="B1073" s="2">
        <v>45613</v>
      </c>
      <c r="C1073" s="1" t="s">
        <v>986</v>
      </c>
      <c r="D1073" s="1" t="s">
        <v>40</v>
      </c>
      <c r="E1073" s="1" t="s">
        <v>41</v>
      </c>
      <c r="F1073" s="1" t="s">
        <v>99</v>
      </c>
      <c r="G1073" s="1" t="s">
        <v>83</v>
      </c>
      <c r="H1073" s="1" t="s">
        <v>43</v>
      </c>
      <c r="I1073" s="1" t="s">
        <v>144</v>
      </c>
      <c r="J1073" s="1">
        <v>10</v>
      </c>
      <c r="K1073" s="3">
        <v>24998.61</v>
      </c>
      <c r="L1073" s="1" t="s">
        <v>110</v>
      </c>
      <c r="M1073" s="1" t="s">
        <v>63</v>
      </c>
      <c r="N1073" s="10" t="s">
        <v>74</v>
      </c>
      <c r="Q1073"/>
    </row>
    <row r="1074" spans="1:17" x14ac:dyDescent="0.25">
      <c r="A1074" s="9" t="s">
        <v>1963</v>
      </c>
      <c r="B1074" s="2">
        <v>45531</v>
      </c>
      <c r="C1074" s="1" t="s">
        <v>458</v>
      </c>
      <c r="D1074" s="1" t="s">
        <v>71</v>
      </c>
      <c r="E1074" s="1" t="s">
        <v>27</v>
      </c>
      <c r="F1074" s="1" t="s">
        <v>88</v>
      </c>
      <c r="G1074" s="1" t="s">
        <v>19</v>
      </c>
      <c r="H1074" s="1" t="s">
        <v>20</v>
      </c>
      <c r="I1074" s="1" t="s">
        <v>280</v>
      </c>
      <c r="J1074" s="1">
        <v>7</v>
      </c>
      <c r="K1074" s="3">
        <v>22617.87</v>
      </c>
      <c r="L1074" s="1">
        <v>20</v>
      </c>
      <c r="M1074" s="1" t="s">
        <v>93</v>
      </c>
      <c r="N1074" s="10" t="s">
        <v>45</v>
      </c>
      <c r="Q1074"/>
    </row>
    <row r="1075" spans="1:17" x14ac:dyDescent="0.25">
      <c r="A1075" s="9" t="s">
        <v>1964</v>
      </c>
      <c r="B1075" s="2">
        <v>44978</v>
      </c>
      <c r="C1075" s="1" t="s">
        <v>984</v>
      </c>
      <c r="D1075" s="1" t="s">
        <v>52</v>
      </c>
      <c r="E1075" s="1" t="s">
        <v>27</v>
      </c>
      <c r="F1075" s="1" t="s">
        <v>18</v>
      </c>
      <c r="G1075" s="1" t="s">
        <v>53</v>
      </c>
      <c r="H1075" s="1" t="s">
        <v>54</v>
      </c>
      <c r="I1075" s="1" t="s">
        <v>109</v>
      </c>
      <c r="J1075" s="1">
        <v>7</v>
      </c>
      <c r="K1075" s="3">
        <v>19007.169999999998</v>
      </c>
      <c r="L1075" s="1">
        <v>5</v>
      </c>
      <c r="M1075" s="1" t="s">
        <v>69</v>
      </c>
      <c r="N1075" s="10" t="s">
        <v>31</v>
      </c>
      <c r="Q1075"/>
    </row>
    <row r="1076" spans="1:17" x14ac:dyDescent="0.25">
      <c r="A1076" s="9" t="s">
        <v>1965</v>
      </c>
      <c r="B1076" s="2">
        <v>45610</v>
      </c>
      <c r="C1076" s="1" t="s">
        <v>1674</v>
      </c>
      <c r="D1076" s="1" t="s">
        <v>87</v>
      </c>
      <c r="E1076" s="1" t="s">
        <v>27</v>
      </c>
      <c r="F1076" s="1" t="s">
        <v>18</v>
      </c>
      <c r="G1076" s="1" t="s">
        <v>42</v>
      </c>
      <c r="H1076" s="1" t="s">
        <v>43</v>
      </c>
      <c r="I1076" s="1" t="s">
        <v>467</v>
      </c>
      <c r="J1076" s="1">
        <v>-2</v>
      </c>
      <c r="K1076" s="3">
        <v>9763.7800000000007</v>
      </c>
      <c r="L1076" s="1" t="s">
        <v>110</v>
      </c>
      <c r="M1076" s="1" t="s">
        <v>93</v>
      </c>
      <c r="N1076" s="10" t="s">
        <v>64</v>
      </c>
      <c r="Q1076"/>
    </row>
    <row r="1077" spans="1:17" x14ac:dyDescent="0.25">
      <c r="A1077" s="9" t="s">
        <v>1966</v>
      </c>
      <c r="B1077" s="2">
        <v>45420</v>
      </c>
      <c r="C1077" s="1" t="s">
        <v>362</v>
      </c>
      <c r="D1077" s="1" t="s">
        <v>40</v>
      </c>
      <c r="E1077" s="1" t="s">
        <v>59</v>
      </c>
      <c r="F1077" s="1" t="s">
        <v>18</v>
      </c>
      <c r="G1077" s="1" t="s">
        <v>42</v>
      </c>
      <c r="H1077" s="1" t="s">
        <v>61</v>
      </c>
      <c r="I1077" s="1" t="s">
        <v>185</v>
      </c>
      <c r="J1077" s="1">
        <v>5</v>
      </c>
      <c r="K1077" s="3">
        <v>23940.11</v>
      </c>
      <c r="L1077" s="1">
        <v>15</v>
      </c>
      <c r="M1077" s="1" t="s">
        <v>36</v>
      </c>
      <c r="N1077" s="10" t="s">
        <v>23</v>
      </c>
      <c r="Q1077"/>
    </row>
    <row r="1078" spans="1:17" x14ac:dyDescent="0.25">
      <c r="A1078" s="9" t="s">
        <v>1967</v>
      </c>
      <c r="B1078" s="2">
        <v>45600</v>
      </c>
      <c r="C1078" s="1" t="s">
        <v>1739</v>
      </c>
      <c r="D1078" s="1" t="s">
        <v>16</v>
      </c>
      <c r="E1078" s="1" t="s">
        <v>72</v>
      </c>
      <c r="F1078" s="1" t="s">
        <v>49</v>
      </c>
      <c r="G1078" s="1" t="s">
        <v>19</v>
      </c>
      <c r="H1078" s="1" t="s">
        <v>29</v>
      </c>
      <c r="I1078" s="1" t="s">
        <v>556</v>
      </c>
      <c r="J1078" s="1">
        <v>5</v>
      </c>
      <c r="K1078" s="3">
        <v>12335.62</v>
      </c>
      <c r="L1078" s="1">
        <v>0</v>
      </c>
      <c r="M1078" s="1" t="s">
        <v>36</v>
      </c>
      <c r="N1078" s="10" t="s">
        <v>37</v>
      </c>
      <c r="Q1078"/>
    </row>
    <row r="1079" spans="1:17" x14ac:dyDescent="0.25">
      <c r="A1079" s="9" t="s">
        <v>1968</v>
      </c>
      <c r="B1079" s="2">
        <v>44962</v>
      </c>
      <c r="C1079" s="1" t="s">
        <v>163</v>
      </c>
      <c r="D1079" s="1" t="s">
        <v>147</v>
      </c>
      <c r="E1079" s="1" t="s">
        <v>59</v>
      </c>
      <c r="F1079" s="1" t="s">
        <v>18</v>
      </c>
      <c r="G1079" s="1" t="s">
        <v>19</v>
      </c>
      <c r="H1079" s="1" t="s">
        <v>29</v>
      </c>
      <c r="I1079" s="1" t="s">
        <v>374</v>
      </c>
      <c r="J1079" s="1">
        <v>1</v>
      </c>
      <c r="K1079" s="3">
        <v>3947.92</v>
      </c>
      <c r="L1079" s="1">
        <v>5</v>
      </c>
      <c r="M1079" s="1" t="s">
        <v>69</v>
      </c>
      <c r="N1079" s="10" t="s">
        <v>23</v>
      </c>
      <c r="Q1079"/>
    </row>
    <row r="1080" spans="1:17" x14ac:dyDescent="0.25">
      <c r="A1080" s="9" t="s">
        <v>1969</v>
      </c>
      <c r="B1080" s="2">
        <v>45626</v>
      </c>
      <c r="C1080" s="1" t="s">
        <v>727</v>
      </c>
      <c r="D1080" s="1" t="s">
        <v>360</v>
      </c>
      <c r="E1080" s="1" t="s">
        <v>59</v>
      </c>
      <c r="F1080" s="1" t="s">
        <v>18</v>
      </c>
      <c r="G1080" s="1" t="s">
        <v>19</v>
      </c>
      <c r="H1080" s="1" t="s">
        <v>29</v>
      </c>
      <c r="I1080" s="1" t="s">
        <v>693</v>
      </c>
      <c r="J1080" s="1">
        <v>1</v>
      </c>
      <c r="K1080" s="3">
        <v>2404.12</v>
      </c>
      <c r="L1080" s="1">
        <v>15</v>
      </c>
      <c r="M1080" s="1" t="s">
        <v>22</v>
      </c>
      <c r="N1080" s="10" t="s">
        <v>37</v>
      </c>
      <c r="Q1080"/>
    </row>
    <row r="1081" spans="1:17" x14ac:dyDescent="0.25">
      <c r="A1081" s="9" t="s">
        <v>1970</v>
      </c>
      <c r="B1081" s="2">
        <v>45255</v>
      </c>
      <c r="C1081" s="1" t="s">
        <v>1971</v>
      </c>
      <c r="D1081" s="1" t="s">
        <v>87</v>
      </c>
      <c r="E1081" s="1" t="s">
        <v>17</v>
      </c>
      <c r="F1081" s="1" t="s">
        <v>99</v>
      </c>
      <c r="G1081" s="1" t="s">
        <v>19</v>
      </c>
      <c r="H1081" s="1" t="s">
        <v>29</v>
      </c>
      <c r="I1081" s="1" t="s">
        <v>635</v>
      </c>
      <c r="J1081" s="1">
        <v>3</v>
      </c>
      <c r="K1081" s="3">
        <v>768</v>
      </c>
      <c r="L1081" s="1">
        <v>10</v>
      </c>
      <c r="M1081" s="1" t="s">
        <v>36</v>
      </c>
      <c r="N1081" s="10" t="s">
        <v>45</v>
      </c>
      <c r="Q1081"/>
    </row>
    <row r="1082" spans="1:17" x14ac:dyDescent="0.25">
      <c r="A1082" s="9" t="s">
        <v>970</v>
      </c>
      <c r="B1082" s="2">
        <v>45390</v>
      </c>
      <c r="C1082" s="1" t="s">
        <v>1897</v>
      </c>
      <c r="D1082" s="1" t="s">
        <v>26</v>
      </c>
      <c r="E1082" s="1" t="s">
        <v>41</v>
      </c>
      <c r="F1082" s="1" t="s">
        <v>60</v>
      </c>
      <c r="G1082" s="1" t="s">
        <v>42</v>
      </c>
      <c r="H1082" s="1" t="s">
        <v>61</v>
      </c>
      <c r="I1082" s="1" t="s">
        <v>247</v>
      </c>
      <c r="J1082" s="1">
        <v>7</v>
      </c>
      <c r="K1082" s="3">
        <v>22659.75</v>
      </c>
      <c r="L1082" s="1">
        <v>20</v>
      </c>
      <c r="M1082" s="1" t="s">
        <v>93</v>
      </c>
      <c r="N1082" s="10" t="s">
        <v>37</v>
      </c>
      <c r="Q1082"/>
    </row>
    <row r="1083" spans="1:17" x14ac:dyDescent="0.25">
      <c r="A1083" s="9" t="s">
        <v>1972</v>
      </c>
      <c r="B1083" s="2">
        <v>45179</v>
      </c>
      <c r="C1083" s="1" t="s">
        <v>1085</v>
      </c>
      <c r="D1083" s="1" t="s">
        <v>81</v>
      </c>
      <c r="E1083" s="1" t="s">
        <v>59</v>
      </c>
      <c r="F1083" s="1" t="s">
        <v>28</v>
      </c>
      <c r="G1083" s="1" t="s">
        <v>42</v>
      </c>
      <c r="H1083" s="1" t="s">
        <v>43</v>
      </c>
      <c r="I1083" s="1" t="s">
        <v>44</v>
      </c>
      <c r="J1083" s="1">
        <v>3</v>
      </c>
      <c r="K1083" s="3">
        <v>14874.95</v>
      </c>
      <c r="L1083" s="1">
        <v>10</v>
      </c>
      <c r="M1083" s="1" t="s">
        <v>22</v>
      </c>
      <c r="N1083" s="10" t="s">
        <v>31</v>
      </c>
      <c r="Q1083"/>
    </row>
    <row r="1084" spans="1:17" x14ac:dyDescent="0.25">
      <c r="A1084" s="9" t="s">
        <v>1973</v>
      </c>
      <c r="B1084" s="2">
        <v>44999</v>
      </c>
      <c r="C1084" s="1" t="s">
        <v>597</v>
      </c>
      <c r="D1084" s="1" t="s">
        <v>26</v>
      </c>
      <c r="E1084" s="1" t="s">
        <v>34</v>
      </c>
      <c r="F1084" s="1" t="s">
        <v>18</v>
      </c>
      <c r="G1084" s="1" t="s">
        <v>42</v>
      </c>
      <c r="H1084" s="1" t="s">
        <v>61</v>
      </c>
      <c r="I1084" s="1" t="s">
        <v>196</v>
      </c>
      <c r="J1084" s="1">
        <v>7</v>
      </c>
      <c r="K1084" s="3">
        <v>13692.32</v>
      </c>
      <c r="L1084" s="1">
        <v>20</v>
      </c>
      <c r="M1084" s="1" t="s">
        <v>36</v>
      </c>
      <c r="N1084" s="10" t="s">
        <v>31</v>
      </c>
      <c r="Q1084"/>
    </row>
    <row r="1085" spans="1:17" x14ac:dyDescent="0.25">
      <c r="A1085" s="9" t="s">
        <v>1974</v>
      </c>
      <c r="B1085" s="2">
        <v>45219</v>
      </c>
      <c r="C1085" s="1" t="s">
        <v>1975</v>
      </c>
      <c r="D1085" s="1" t="s">
        <v>67</v>
      </c>
      <c r="E1085" s="1" t="s">
        <v>41</v>
      </c>
      <c r="F1085" s="1" t="s">
        <v>28</v>
      </c>
      <c r="G1085" s="1" t="s">
        <v>53</v>
      </c>
      <c r="H1085" s="1" t="s">
        <v>54</v>
      </c>
      <c r="I1085" s="1" t="s">
        <v>554</v>
      </c>
      <c r="J1085" s="1">
        <v>4</v>
      </c>
      <c r="K1085" s="3">
        <v>8986.92</v>
      </c>
      <c r="L1085" s="1" t="s">
        <v>110</v>
      </c>
      <c r="M1085" s="1" t="s">
        <v>22</v>
      </c>
      <c r="N1085" s="10" t="s">
        <v>45</v>
      </c>
      <c r="Q1085"/>
    </row>
    <row r="1086" spans="1:17" x14ac:dyDescent="0.25">
      <c r="A1086" s="9" t="s">
        <v>1976</v>
      </c>
      <c r="B1086" s="2">
        <v>45277</v>
      </c>
      <c r="C1086" s="1" t="s">
        <v>1977</v>
      </c>
      <c r="D1086" s="1" t="s">
        <v>16</v>
      </c>
      <c r="E1086" s="1" t="s">
        <v>17</v>
      </c>
      <c r="F1086" s="1" t="s">
        <v>60</v>
      </c>
      <c r="G1086" s="1" t="s">
        <v>42</v>
      </c>
      <c r="H1086" s="1" t="s">
        <v>61</v>
      </c>
      <c r="I1086" s="1" t="s">
        <v>115</v>
      </c>
      <c r="J1086" s="1">
        <v>8</v>
      </c>
      <c r="K1086" s="3">
        <v>10296.09</v>
      </c>
      <c r="L1086" s="1">
        <v>0</v>
      </c>
      <c r="M1086" s="1" t="s">
        <v>63</v>
      </c>
      <c r="N1086" s="10" t="s">
        <v>45</v>
      </c>
      <c r="Q1086"/>
    </row>
    <row r="1087" spans="1:17" x14ac:dyDescent="0.25">
      <c r="A1087" s="9" t="s">
        <v>1978</v>
      </c>
      <c r="B1087" s="2">
        <v>45041</v>
      </c>
      <c r="C1087" s="1" t="s">
        <v>685</v>
      </c>
      <c r="D1087" s="1" t="s">
        <v>192</v>
      </c>
      <c r="E1087" s="1" t="s">
        <v>34</v>
      </c>
      <c r="F1087" s="1" t="s">
        <v>28</v>
      </c>
      <c r="G1087" s="1" t="s">
        <v>19</v>
      </c>
      <c r="H1087" s="1" t="s">
        <v>20</v>
      </c>
      <c r="I1087" s="1" t="s">
        <v>261</v>
      </c>
      <c r="J1087" s="1">
        <v>3</v>
      </c>
      <c r="K1087" s="3">
        <v>5096.0600000000004</v>
      </c>
      <c r="L1087" s="1">
        <v>0</v>
      </c>
      <c r="M1087" s="1" t="s">
        <v>36</v>
      </c>
      <c r="N1087" s="10" t="s">
        <v>37</v>
      </c>
      <c r="Q1087"/>
    </row>
    <row r="1088" spans="1:17" x14ac:dyDescent="0.25">
      <c r="A1088" s="9" t="s">
        <v>1979</v>
      </c>
      <c r="B1088" s="2">
        <v>45356</v>
      </c>
      <c r="C1088" s="1" t="s">
        <v>401</v>
      </c>
      <c r="D1088" s="1" t="s">
        <v>40</v>
      </c>
      <c r="E1088" s="1" t="s">
        <v>27</v>
      </c>
      <c r="F1088" s="1" t="s">
        <v>49</v>
      </c>
      <c r="G1088" s="1" t="s">
        <v>19</v>
      </c>
      <c r="H1088" s="1" t="s">
        <v>20</v>
      </c>
      <c r="I1088" s="1" t="s">
        <v>21</v>
      </c>
      <c r="J1088" s="1">
        <v>2</v>
      </c>
      <c r="K1088" s="3">
        <v>6894.7</v>
      </c>
      <c r="L1088" s="1">
        <v>20</v>
      </c>
      <c r="M1088" s="1" t="s">
        <v>63</v>
      </c>
      <c r="N1088" s="10" t="s">
        <v>31</v>
      </c>
      <c r="Q1088"/>
    </row>
    <row r="1089" spans="1:17" x14ac:dyDescent="0.25">
      <c r="A1089" s="9" t="s">
        <v>1980</v>
      </c>
      <c r="B1089" s="2">
        <v>45453</v>
      </c>
      <c r="C1089" s="1" t="s">
        <v>1735</v>
      </c>
      <c r="D1089" s="1" t="s">
        <v>26</v>
      </c>
      <c r="E1089" s="1" t="s">
        <v>34</v>
      </c>
      <c r="F1089" s="1" t="s">
        <v>28</v>
      </c>
      <c r="G1089" s="1" t="s">
        <v>19</v>
      </c>
      <c r="H1089" s="1" t="s">
        <v>20</v>
      </c>
      <c r="I1089" s="1" t="s">
        <v>563</v>
      </c>
      <c r="J1089" s="1">
        <v>8</v>
      </c>
      <c r="K1089" s="3">
        <v>29249.91</v>
      </c>
      <c r="L1089" s="1">
        <v>5</v>
      </c>
      <c r="M1089" s="1" t="s">
        <v>63</v>
      </c>
      <c r="N1089" s="10" t="s">
        <v>45</v>
      </c>
      <c r="Q1089"/>
    </row>
    <row r="1090" spans="1:17" x14ac:dyDescent="0.25">
      <c r="A1090" s="9" t="s">
        <v>1981</v>
      </c>
      <c r="B1090" s="2">
        <v>45450</v>
      </c>
      <c r="C1090" s="1" t="s">
        <v>1007</v>
      </c>
      <c r="D1090" s="1" t="s">
        <v>16</v>
      </c>
      <c r="E1090" s="1" t="s">
        <v>17</v>
      </c>
      <c r="F1090" s="1" t="s">
        <v>49</v>
      </c>
      <c r="G1090" s="1" t="s">
        <v>83</v>
      </c>
      <c r="H1090" s="1" t="s">
        <v>43</v>
      </c>
      <c r="I1090" s="1" t="s">
        <v>258</v>
      </c>
      <c r="J1090" s="1">
        <v>10</v>
      </c>
      <c r="K1090" s="3">
        <v>22446.21</v>
      </c>
      <c r="L1090" s="1">
        <v>10</v>
      </c>
      <c r="M1090" s="1" t="s">
        <v>63</v>
      </c>
      <c r="N1090" s="10" t="s">
        <v>64</v>
      </c>
      <c r="Q1090"/>
    </row>
    <row r="1091" spans="1:17" x14ac:dyDescent="0.25">
      <c r="A1091" s="9" t="s">
        <v>1982</v>
      </c>
      <c r="B1091" s="2">
        <v>45179</v>
      </c>
      <c r="C1091" s="1" t="s">
        <v>1351</v>
      </c>
      <c r="D1091" s="1" t="s">
        <v>67</v>
      </c>
      <c r="E1091" s="1" t="s">
        <v>34</v>
      </c>
      <c r="F1091" s="1" t="s">
        <v>82</v>
      </c>
      <c r="G1091" s="1" t="s">
        <v>19</v>
      </c>
      <c r="H1091" s="1" t="s">
        <v>20</v>
      </c>
      <c r="I1091" s="1" t="s">
        <v>176</v>
      </c>
      <c r="J1091" s="1">
        <v>5</v>
      </c>
      <c r="K1091" s="3">
        <v>16734.03</v>
      </c>
      <c r="L1091" s="1">
        <v>10</v>
      </c>
      <c r="M1091" s="1" t="s">
        <v>69</v>
      </c>
      <c r="N1091" s="10" t="s">
        <v>31</v>
      </c>
      <c r="Q1091"/>
    </row>
    <row r="1092" spans="1:17" x14ac:dyDescent="0.25">
      <c r="A1092" s="9" t="s">
        <v>1984</v>
      </c>
      <c r="B1092" s="2">
        <v>45214</v>
      </c>
      <c r="C1092" s="1" t="s">
        <v>1687</v>
      </c>
      <c r="D1092" s="1" t="s">
        <v>40</v>
      </c>
      <c r="E1092" s="1" t="s">
        <v>17</v>
      </c>
      <c r="F1092" s="1" t="s">
        <v>49</v>
      </c>
      <c r="G1092" s="1" t="s">
        <v>42</v>
      </c>
      <c r="H1092" s="1" t="s">
        <v>43</v>
      </c>
      <c r="I1092" s="1" t="s">
        <v>380</v>
      </c>
      <c r="J1092" s="1">
        <v>10</v>
      </c>
      <c r="K1092" s="3">
        <v>3418.97</v>
      </c>
      <c r="L1092" s="1" t="s">
        <v>110</v>
      </c>
      <c r="M1092" s="1" t="s">
        <v>69</v>
      </c>
      <c r="N1092" s="10" t="s">
        <v>45</v>
      </c>
      <c r="Q1092"/>
    </row>
    <row r="1093" spans="1:17" x14ac:dyDescent="0.25">
      <c r="A1093" s="9" t="s">
        <v>1985</v>
      </c>
      <c r="B1093" s="2">
        <v>45611</v>
      </c>
      <c r="C1093" s="1" t="s">
        <v>172</v>
      </c>
      <c r="D1093" s="1" t="s">
        <v>48</v>
      </c>
      <c r="E1093" s="1" t="s">
        <v>27</v>
      </c>
      <c r="F1093" s="1" t="s">
        <v>99</v>
      </c>
      <c r="G1093" s="1" t="s">
        <v>19</v>
      </c>
      <c r="H1093" s="1" t="s">
        <v>29</v>
      </c>
      <c r="I1093" s="1" t="s">
        <v>472</v>
      </c>
      <c r="J1093" s="1">
        <v>2</v>
      </c>
      <c r="K1093" s="3">
        <v>7816.03</v>
      </c>
      <c r="L1093" s="1">
        <v>20</v>
      </c>
      <c r="M1093" s="1" t="s">
        <v>56</v>
      </c>
      <c r="N1093" s="10" t="s">
        <v>74</v>
      </c>
      <c r="Q1093"/>
    </row>
    <row r="1094" spans="1:17" x14ac:dyDescent="0.25">
      <c r="A1094" s="9" t="s">
        <v>1987</v>
      </c>
      <c r="B1094" s="2">
        <v>45187</v>
      </c>
      <c r="C1094" s="1" t="s">
        <v>1988</v>
      </c>
      <c r="D1094" s="1" t="s">
        <v>33</v>
      </c>
      <c r="E1094" s="1" t="s">
        <v>27</v>
      </c>
      <c r="F1094" s="1" t="s">
        <v>18</v>
      </c>
      <c r="G1094" s="1" t="s">
        <v>42</v>
      </c>
      <c r="H1094" s="1" t="s">
        <v>43</v>
      </c>
      <c r="I1094" s="1" t="s">
        <v>285</v>
      </c>
      <c r="J1094" s="1">
        <v>7</v>
      </c>
      <c r="K1094" s="3">
        <v>5985.55</v>
      </c>
      <c r="L1094" s="1">
        <v>15</v>
      </c>
      <c r="M1094" s="1" t="s">
        <v>69</v>
      </c>
      <c r="N1094" s="10" t="s">
        <v>74</v>
      </c>
      <c r="Q1094"/>
    </row>
    <row r="1095" spans="1:17" x14ac:dyDescent="0.25">
      <c r="A1095" s="9" t="s">
        <v>1989</v>
      </c>
      <c r="B1095" s="2">
        <v>45426</v>
      </c>
      <c r="C1095" s="1" t="s">
        <v>1941</v>
      </c>
      <c r="D1095" s="1" t="s">
        <v>81</v>
      </c>
      <c r="E1095" s="1" t="s">
        <v>72</v>
      </c>
      <c r="F1095" s="1" t="s">
        <v>28</v>
      </c>
      <c r="G1095" s="1" t="s">
        <v>19</v>
      </c>
      <c r="H1095" s="1" t="s">
        <v>20</v>
      </c>
      <c r="I1095" s="1" t="s">
        <v>214</v>
      </c>
      <c r="J1095" s="1">
        <v>1</v>
      </c>
      <c r="K1095" s="3">
        <v>538.80999999999995</v>
      </c>
      <c r="L1095" s="1">
        <v>20</v>
      </c>
      <c r="M1095" s="1" t="s">
        <v>22</v>
      </c>
      <c r="N1095" s="10" t="s">
        <v>37</v>
      </c>
      <c r="Q1095"/>
    </row>
    <row r="1096" spans="1:17" x14ac:dyDescent="0.25">
      <c r="A1096" s="9" t="s">
        <v>1990</v>
      </c>
      <c r="B1096" s="2">
        <v>45480</v>
      </c>
      <c r="C1096" s="1" t="s">
        <v>1456</v>
      </c>
      <c r="D1096" s="1" t="s">
        <v>71</v>
      </c>
      <c r="E1096" s="1" t="s">
        <v>72</v>
      </c>
      <c r="F1096" s="1" t="s">
        <v>28</v>
      </c>
      <c r="G1096" s="1" t="s">
        <v>53</v>
      </c>
      <c r="H1096" s="1" t="s">
        <v>54</v>
      </c>
      <c r="I1096" s="1" t="s">
        <v>236</v>
      </c>
      <c r="J1096" s="1">
        <v>10</v>
      </c>
      <c r="K1096" s="3">
        <v>30369.72</v>
      </c>
      <c r="L1096" s="1">
        <v>10</v>
      </c>
      <c r="M1096" s="1" t="s">
        <v>56</v>
      </c>
      <c r="N1096" s="10" t="s">
        <v>64</v>
      </c>
      <c r="Q1096"/>
    </row>
    <row r="1097" spans="1:17" x14ac:dyDescent="0.25">
      <c r="A1097" s="9" t="s">
        <v>1991</v>
      </c>
      <c r="B1097" s="2">
        <v>45277</v>
      </c>
      <c r="C1097" s="1" t="s">
        <v>120</v>
      </c>
      <c r="D1097" s="1" t="s">
        <v>147</v>
      </c>
      <c r="E1097" s="1" t="s">
        <v>34</v>
      </c>
      <c r="F1097" s="1" t="s">
        <v>18</v>
      </c>
      <c r="G1097" s="1" t="s">
        <v>42</v>
      </c>
      <c r="H1097" s="1" t="s">
        <v>43</v>
      </c>
      <c r="I1097" s="1" t="s">
        <v>491</v>
      </c>
      <c r="J1097" s="1">
        <v>3</v>
      </c>
      <c r="K1097" s="3">
        <v>3937.54</v>
      </c>
      <c r="L1097" s="1">
        <v>0</v>
      </c>
      <c r="M1097" s="1" t="s">
        <v>22</v>
      </c>
      <c r="N1097" s="10" t="s">
        <v>37</v>
      </c>
      <c r="Q1097"/>
    </row>
    <row r="1098" spans="1:17" x14ac:dyDescent="0.25">
      <c r="A1098" s="9" t="s">
        <v>1992</v>
      </c>
      <c r="B1098" s="2">
        <v>45449</v>
      </c>
      <c r="C1098" s="1" t="s">
        <v>1567</v>
      </c>
      <c r="D1098" s="1" t="s">
        <v>77</v>
      </c>
      <c r="E1098" s="1" t="s">
        <v>59</v>
      </c>
      <c r="F1098" s="1" t="s">
        <v>60</v>
      </c>
      <c r="G1098" s="1" t="s">
        <v>19</v>
      </c>
      <c r="H1098" s="1" t="s">
        <v>29</v>
      </c>
      <c r="I1098" s="1" t="s">
        <v>1449</v>
      </c>
      <c r="J1098" s="1">
        <v>5</v>
      </c>
      <c r="K1098" s="3">
        <v>13643.28</v>
      </c>
      <c r="L1098" s="1">
        <v>0</v>
      </c>
      <c r="M1098" s="1" t="s">
        <v>56</v>
      </c>
      <c r="N1098" s="10" t="s">
        <v>31</v>
      </c>
      <c r="Q1098"/>
    </row>
    <row r="1099" spans="1:17" x14ac:dyDescent="0.25">
      <c r="A1099" s="9" t="s">
        <v>1993</v>
      </c>
      <c r="B1099" s="2">
        <v>44991</v>
      </c>
      <c r="C1099" s="1" t="s">
        <v>739</v>
      </c>
      <c r="D1099" s="1" t="s">
        <v>71</v>
      </c>
      <c r="E1099" s="1" t="s">
        <v>59</v>
      </c>
      <c r="F1099" s="1" t="s">
        <v>60</v>
      </c>
      <c r="G1099" s="1" t="s">
        <v>19</v>
      </c>
      <c r="H1099" s="1" t="s">
        <v>20</v>
      </c>
      <c r="I1099" s="1" t="s">
        <v>179</v>
      </c>
      <c r="J1099" s="1">
        <v>2</v>
      </c>
      <c r="K1099" s="3">
        <v>2478.2199999999998</v>
      </c>
      <c r="L1099" s="1">
        <v>5</v>
      </c>
      <c r="M1099" s="1" t="s">
        <v>63</v>
      </c>
      <c r="N1099" s="10" t="s">
        <v>74</v>
      </c>
      <c r="Q1099"/>
    </row>
    <row r="1100" spans="1:17" x14ac:dyDescent="0.25">
      <c r="A1100" s="9" t="s">
        <v>1994</v>
      </c>
      <c r="B1100" s="2">
        <v>45097</v>
      </c>
      <c r="C1100" s="1" t="s">
        <v>743</v>
      </c>
      <c r="D1100" s="1" t="s">
        <v>26</v>
      </c>
      <c r="E1100" s="1" t="s">
        <v>41</v>
      </c>
      <c r="F1100" s="1" t="s">
        <v>60</v>
      </c>
      <c r="G1100" s="1" t="s">
        <v>42</v>
      </c>
      <c r="H1100" s="1" t="s">
        <v>43</v>
      </c>
      <c r="I1100" s="1" t="s">
        <v>285</v>
      </c>
      <c r="J1100" s="1">
        <v>4</v>
      </c>
      <c r="K1100" s="3">
        <v>18078.11</v>
      </c>
      <c r="L1100" s="1">
        <v>15</v>
      </c>
      <c r="M1100" s="1" t="s">
        <v>93</v>
      </c>
      <c r="N1100" s="10" t="s">
        <v>31</v>
      </c>
      <c r="Q1100"/>
    </row>
    <row r="1101" spans="1:17" x14ac:dyDescent="0.25">
      <c r="A1101" s="9" t="s">
        <v>1995</v>
      </c>
      <c r="B1101" s="2">
        <v>45506</v>
      </c>
      <c r="C1101" s="1" t="s">
        <v>1996</v>
      </c>
      <c r="D1101" s="1" t="s">
        <v>16</v>
      </c>
      <c r="E1101" s="1" t="s">
        <v>41</v>
      </c>
      <c r="F1101" s="1" t="s">
        <v>82</v>
      </c>
      <c r="G1101" s="1" t="s">
        <v>42</v>
      </c>
      <c r="H1101" s="1" t="s">
        <v>43</v>
      </c>
      <c r="I1101" s="1" t="s">
        <v>380</v>
      </c>
      <c r="J1101" s="1">
        <v>6</v>
      </c>
      <c r="K1101" s="3">
        <v>29363.64</v>
      </c>
      <c r="L1101" s="1">
        <v>0</v>
      </c>
      <c r="M1101" s="1" t="s">
        <v>22</v>
      </c>
      <c r="N1101" s="10" t="s">
        <v>64</v>
      </c>
      <c r="Q1101"/>
    </row>
    <row r="1102" spans="1:17" x14ac:dyDescent="0.25">
      <c r="A1102" s="9" t="s">
        <v>1997</v>
      </c>
      <c r="B1102" s="2">
        <v>45269</v>
      </c>
      <c r="C1102" s="1" t="s">
        <v>852</v>
      </c>
      <c r="D1102" s="1" t="s">
        <v>81</v>
      </c>
      <c r="E1102" s="1" t="s">
        <v>27</v>
      </c>
      <c r="F1102" s="1" t="s">
        <v>28</v>
      </c>
      <c r="G1102" s="1" t="s">
        <v>19</v>
      </c>
      <c r="H1102" s="1" t="s">
        <v>20</v>
      </c>
      <c r="I1102" s="1" t="s">
        <v>312</v>
      </c>
      <c r="J1102" s="1">
        <v>4</v>
      </c>
      <c r="K1102" s="3">
        <v>14713.1</v>
      </c>
      <c r="L1102" s="1">
        <v>5</v>
      </c>
      <c r="M1102" s="1" t="s">
        <v>22</v>
      </c>
      <c r="N1102" s="10" t="s">
        <v>31</v>
      </c>
      <c r="Q1102"/>
    </row>
    <row r="1103" spans="1:17" x14ac:dyDescent="0.25">
      <c r="A1103" s="9" t="s">
        <v>1998</v>
      </c>
      <c r="B1103" s="2">
        <v>45134</v>
      </c>
      <c r="C1103" s="1" t="s">
        <v>599</v>
      </c>
      <c r="D1103" s="1" t="s">
        <v>40</v>
      </c>
      <c r="E1103" s="1" t="s">
        <v>34</v>
      </c>
      <c r="F1103" s="1" t="s">
        <v>60</v>
      </c>
      <c r="G1103" s="1" t="s">
        <v>19</v>
      </c>
      <c r="H1103" s="1" t="s">
        <v>29</v>
      </c>
      <c r="I1103" s="1" t="s">
        <v>830</v>
      </c>
      <c r="J1103" s="1">
        <v>-2</v>
      </c>
      <c r="K1103" s="3">
        <v>876.54</v>
      </c>
      <c r="L1103" s="1">
        <v>5</v>
      </c>
      <c r="M1103" s="1" t="s">
        <v>69</v>
      </c>
      <c r="N1103" s="10" t="s">
        <v>37</v>
      </c>
      <c r="Q1103"/>
    </row>
    <row r="1104" spans="1:17" x14ac:dyDescent="0.25">
      <c r="A1104" s="9" t="s">
        <v>1999</v>
      </c>
      <c r="B1104" s="2">
        <v>45251</v>
      </c>
      <c r="C1104" s="1" t="s">
        <v>1663</v>
      </c>
      <c r="D1104" s="1" t="s">
        <v>26</v>
      </c>
      <c r="E1104" s="1" t="s">
        <v>17</v>
      </c>
      <c r="F1104" s="1" t="s">
        <v>99</v>
      </c>
      <c r="G1104" s="1" t="s">
        <v>83</v>
      </c>
      <c r="H1104" s="1" t="s">
        <v>43</v>
      </c>
      <c r="I1104" s="1" t="s">
        <v>572</v>
      </c>
      <c r="J1104" s="1">
        <v>9</v>
      </c>
      <c r="K1104" s="3">
        <v>15632.64</v>
      </c>
      <c r="L1104" s="1">
        <v>20</v>
      </c>
      <c r="M1104" s="1" t="s">
        <v>93</v>
      </c>
      <c r="N1104" s="10" t="s">
        <v>74</v>
      </c>
      <c r="Q1104"/>
    </row>
    <row r="1105" spans="1:17" x14ac:dyDescent="0.25">
      <c r="A1105" s="9" t="s">
        <v>2001</v>
      </c>
      <c r="B1105" s="2">
        <v>45482</v>
      </c>
      <c r="C1105" s="1" t="s">
        <v>314</v>
      </c>
      <c r="D1105" s="1" t="s">
        <v>147</v>
      </c>
      <c r="E1105" s="1" t="s">
        <v>41</v>
      </c>
      <c r="F1105" s="1" t="s">
        <v>82</v>
      </c>
      <c r="G1105" s="1" t="s">
        <v>83</v>
      </c>
      <c r="H1105" s="1" t="s">
        <v>43</v>
      </c>
      <c r="I1105" s="1" t="s">
        <v>154</v>
      </c>
      <c r="J1105" s="1">
        <v>1</v>
      </c>
      <c r="K1105" s="3">
        <v>743.78</v>
      </c>
      <c r="L1105" s="1">
        <v>0</v>
      </c>
      <c r="M1105" s="1" t="s">
        <v>36</v>
      </c>
      <c r="N1105" s="10" t="s">
        <v>74</v>
      </c>
      <c r="Q1105"/>
    </row>
    <row r="1106" spans="1:17" x14ac:dyDescent="0.25">
      <c r="A1106" s="9" t="s">
        <v>2002</v>
      </c>
      <c r="B1106" s="2">
        <v>45074</v>
      </c>
      <c r="C1106" s="1" t="s">
        <v>51</v>
      </c>
      <c r="D1106" s="1" t="s">
        <v>40</v>
      </c>
      <c r="E1106" s="1" t="s">
        <v>27</v>
      </c>
      <c r="F1106" s="1" t="s">
        <v>99</v>
      </c>
      <c r="G1106" s="1" t="s">
        <v>42</v>
      </c>
      <c r="H1106" s="1" t="s">
        <v>61</v>
      </c>
      <c r="I1106" s="1" t="s">
        <v>115</v>
      </c>
      <c r="J1106" s="1">
        <v>2</v>
      </c>
      <c r="K1106" s="3">
        <v>3078.23</v>
      </c>
      <c r="L1106" s="1">
        <v>0</v>
      </c>
      <c r="M1106" s="1" t="s">
        <v>69</v>
      </c>
      <c r="N1106" s="10" t="s">
        <v>31</v>
      </c>
      <c r="Q1106"/>
    </row>
    <row r="1107" spans="1:17" x14ac:dyDescent="0.25">
      <c r="A1107" s="9" t="s">
        <v>2003</v>
      </c>
      <c r="B1107" s="2">
        <v>45038</v>
      </c>
      <c r="C1107" s="1" t="s">
        <v>462</v>
      </c>
      <c r="D1107" s="1" t="s">
        <v>16</v>
      </c>
      <c r="E1107" s="1" t="s">
        <v>27</v>
      </c>
      <c r="F1107" s="1" t="s">
        <v>88</v>
      </c>
      <c r="G1107" s="1" t="s">
        <v>42</v>
      </c>
      <c r="H1107" s="1" t="s">
        <v>43</v>
      </c>
      <c r="I1107" s="1" t="s">
        <v>144</v>
      </c>
      <c r="J1107" s="1">
        <v>-9</v>
      </c>
      <c r="K1107" s="3">
        <v>14792.13</v>
      </c>
      <c r="L1107" s="1">
        <v>10</v>
      </c>
      <c r="M1107" s="1" t="s">
        <v>56</v>
      </c>
      <c r="N1107" s="10" t="s">
        <v>74</v>
      </c>
      <c r="Q1107"/>
    </row>
    <row r="1108" spans="1:17" x14ac:dyDescent="0.25">
      <c r="A1108" s="9" t="s">
        <v>2004</v>
      </c>
      <c r="B1108" s="2">
        <v>45543</v>
      </c>
      <c r="C1108" s="1" t="s">
        <v>298</v>
      </c>
      <c r="D1108" s="1" t="s">
        <v>81</v>
      </c>
      <c r="E1108" s="1" t="s">
        <v>59</v>
      </c>
      <c r="F1108" s="1" t="s">
        <v>88</v>
      </c>
      <c r="G1108" s="1" t="s">
        <v>19</v>
      </c>
      <c r="H1108" s="1" t="s">
        <v>20</v>
      </c>
      <c r="I1108" s="1" t="s">
        <v>21</v>
      </c>
      <c r="J1108" s="1">
        <v>3</v>
      </c>
      <c r="K1108" s="3">
        <v>9102.5499999999993</v>
      </c>
      <c r="L1108" s="1" t="s">
        <v>110</v>
      </c>
      <c r="M1108" s="1" t="s">
        <v>56</v>
      </c>
      <c r="N1108" s="10" t="s">
        <v>45</v>
      </c>
      <c r="Q1108"/>
    </row>
    <row r="1109" spans="1:17" x14ac:dyDescent="0.25">
      <c r="A1109" s="9" t="s">
        <v>2005</v>
      </c>
      <c r="B1109" s="2">
        <v>45084</v>
      </c>
      <c r="C1109" s="1" t="s">
        <v>1023</v>
      </c>
      <c r="D1109" s="1" t="s">
        <v>26</v>
      </c>
      <c r="E1109" s="1" t="s">
        <v>34</v>
      </c>
      <c r="F1109" s="1" t="s">
        <v>28</v>
      </c>
      <c r="G1109" s="1" t="s">
        <v>42</v>
      </c>
      <c r="H1109" s="1" t="s">
        <v>43</v>
      </c>
      <c r="I1109" s="1" t="s">
        <v>365</v>
      </c>
      <c r="J1109" s="1">
        <v>10</v>
      </c>
      <c r="K1109" s="3">
        <v>48872.42</v>
      </c>
      <c r="L1109" s="1">
        <v>15</v>
      </c>
      <c r="M1109" s="1" t="s">
        <v>63</v>
      </c>
      <c r="N1109" s="10" t="s">
        <v>64</v>
      </c>
      <c r="Q1109"/>
    </row>
    <row r="1110" spans="1:17" x14ac:dyDescent="0.25">
      <c r="A1110" s="9" t="s">
        <v>2006</v>
      </c>
      <c r="B1110" s="2">
        <v>45466</v>
      </c>
      <c r="C1110" s="1" t="s">
        <v>2007</v>
      </c>
      <c r="D1110" s="1" t="s">
        <v>147</v>
      </c>
      <c r="E1110" s="1" t="s">
        <v>72</v>
      </c>
      <c r="F1110" s="1" t="s">
        <v>60</v>
      </c>
      <c r="G1110" s="1" t="s">
        <v>53</v>
      </c>
      <c r="H1110" s="1" t="s">
        <v>54</v>
      </c>
      <c r="I1110" s="1" t="s">
        <v>103</v>
      </c>
      <c r="J1110" s="1">
        <v>1</v>
      </c>
      <c r="K1110" s="3">
        <v>3809.87</v>
      </c>
      <c r="L1110" s="1">
        <v>5</v>
      </c>
      <c r="M1110" s="1" t="s">
        <v>56</v>
      </c>
      <c r="N1110" s="10" t="s">
        <v>74</v>
      </c>
      <c r="Q1110"/>
    </row>
    <row r="1111" spans="1:17" x14ac:dyDescent="0.25">
      <c r="A1111" s="9" t="s">
        <v>2008</v>
      </c>
      <c r="B1111" s="2">
        <v>45478</v>
      </c>
      <c r="C1111" s="1" t="s">
        <v>531</v>
      </c>
      <c r="D1111" s="1" t="s">
        <v>81</v>
      </c>
      <c r="E1111" s="1" t="s">
        <v>34</v>
      </c>
      <c r="F1111" s="1" t="s">
        <v>28</v>
      </c>
      <c r="G1111" s="1" t="s">
        <v>53</v>
      </c>
      <c r="H1111" s="1" t="s">
        <v>54</v>
      </c>
      <c r="I1111" s="1" t="s">
        <v>479</v>
      </c>
      <c r="J1111" s="1">
        <v>4</v>
      </c>
      <c r="K1111" s="3">
        <v>15954.42</v>
      </c>
      <c r="L1111" s="1">
        <v>20</v>
      </c>
      <c r="M1111" s="1" t="s">
        <v>63</v>
      </c>
      <c r="N1111" s="10" t="s">
        <v>23</v>
      </c>
      <c r="Q1111"/>
    </row>
    <row r="1112" spans="1:17" x14ac:dyDescent="0.25">
      <c r="A1112" s="9" t="s">
        <v>2009</v>
      </c>
      <c r="B1112" s="2">
        <v>45245</v>
      </c>
      <c r="C1112" s="1" t="s">
        <v>943</v>
      </c>
      <c r="D1112" s="1" t="s">
        <v>67</v>
      </c>
      <c r="E1112" s="1" t="s">
        <v>59</v>
      </c>
      <c r="F1112" s="1" t="s">
        <v>18</v>
      </c>
      <c r="G1112" s="1" t="s">
        <v>53</v>
      </c>
      <c r="H1112" s="1" t="s">
        <v>54</v>
      </c>
      <c r="I1112" s="1" t="s">
        <v>333</v>
      </c>
      <c r="J1112" s="1">
        <v>1</v>
      </c>
      <c r="K1112" s="3">
        <v>3177.97</v>
      </c>
      <c r="L1112" s="1">
        <v>10</v>
      </c>
      <c r="M1112" s="1" t="s">
        <v>22</v>
      </c>
      <c r="N1112" s="10" t="s">
        <v>74</v>
      </c>
      <c r="Q1112"/>
    </row>
    <row r="1113" spans="1:17" x14ac:dyDescent="0.25">
      <c r="A1113" s="9" t="s">
        <v>2010</v>
      </c>
      <c r="B1113" s="2">
        <v>45052</v>
      </c>
      <c r="C1113" s="1" t="s">
        <v>325</v>
      </c>
      <c r="D1113" s="1" t="s">
        <v>81</v>
      </c>
      <c r="E1113" s="1" t="s">
        <v>41</v>
      </c>
      <c r="F1113" s="1" t="s">
        <v>49</v>
      </c>
      <c r="G1113" s="1" t="s">
        <v>53</v>
      </c>
      <c r="H1113" s="1" t="s">
        <v>54</v>
      </c>
      <c r="I1113" s="1" t="s">
        <v>121</v>
      </c>
      <c r="J1113" s="1">
        <v>10</v>
      </c>
      <c r="K1113" s="3">
        <v>18793.849999999999</v>
      </c>
      <c r="L1113" s="1">
        <v>15</v>
      </c>
      <c r="M1113" s="1" t="s">
        <v>56</v>
      </c>
      <c r="N1113" s="10" t="s">
        <v>74</v>
      </c>
      <c r="Q1113"/>
    </row>
    <row r="1114" spans="1:17" x14ac:dyDescent="0.25">
      <c r="A1114" s="9" t="s">
        <v>2011</v>
      </c>
      <c r="B1114" s="2">
        <v>45481</v>
      </c>
      <c r="C1114" s="1" t="s">
        <v>720</v>
      </c>
      <c r="D1114" s="1" t="s">
        <v>40</v>
      </c>
      <c r="E1114" s="1" t="s">
        <v>72</v>
      </c>
      <c r="F1114" s="1" t="s">
        <v>88</v>
      </c>
      <c r="G1114" s="1" t="s">
        <v>19</v>
      </c>
      <c r="H1114" s="1" t="s">
        <v>20</v>
      </c>
      <c r="I1114" s="1" t="s">
        <v>788</v>
      </c>
      <c r="J1114" s="1">
        <v>1</v>
      </c>
      <c r="K1114" s="3">
        <v>383.09</v>
      </c>
      <c r="L1114" s="1" t="s">
        <v>110</v>
      </c>
      <c r="M1114" s="1" t="s">
        <v>22</v>
      </c>
      <c r="N1114" s="10" t="s">
        <v>74</v>
      </c>
      <c r="Q1114"/>
    </row>
    <row r="1115" spans="1:17" x14ac:dyDescent="0.25">
      <c r="A1115" s="9" t="s">
        <v>2012</v>
      </c>
      <c r="B1115" s="2">
        <v>44940</v>
      </c>
      <c r="C1115" s="1" t="s">
        <v>2013</v>
      </c>
      <c r="D1115" s="1" t="s">
        <v>147</v>
      </c>
      <c r="E1115" s="1" t="s">
        <v>72</v>
      </c>
      <c r="F1115" s="1" t="s">
        <v>99</v>
      </c>
      <c r="G1115" s="1" t="s">
        <v>19</v>
      </c>
      <c r="H1115" s="1" t="s">
        <v>20</v>
      </c>
      <c r="I1115" s="1" t="s">
        <v>179</v>
      </c>
      <c r="J1115" s="1">
        <v>8</v>
      </c>
      <c r="K1115" s="3">
        <v>29650.11</v>
      </c>
      <c r="L1115" s="1">
        <v>15</v>
      </c>
      <c r="M1115" s="1" t="s">
        <v>69</v>
      </c>
      <c r="N1115" s="10" t="s">
        <v>31</v>
      </c>
      <c r="Q1115"/>
    </row>
    <row r="1116" spans="1:17" x14ac:dyDescent="0.25">
      <c r="A1116" s="9" t="s">
        <v>2014</v>
      </c>
      <c r="B1116" s="2">
        <v>45153</v>
      </c>
      <c r="C1116" s="1" t="s">
        <v>2015</v>
      </c>
      <c r="D1116" s="1" t="s">
        <v>33</v>
      </c>
      <c r="E1116" s="1" t="s">
        <v>72</v>
      </c>
      <c r="F1116" s="1" t="s">
        <v>28</v>
      </c>
      <c r="G1116" s="1" t="s">
        <v>83</v>
      </c>
      <c r="H1116" s="1" t="s">
        <v>43</v>
      </c>
      <c r="I1116" s="1" t="s">
        <v>467</v>
      </c>
      <c r="J1116" s="1">
        <v>9</v>
      </c>
      <c r="K1116" s="3">
        <v>14750.94</v>
      </c>
      <c r="L1116" s="1">
        <v>20</v>
      </c>
      <c r="M1116" s="1" t="s">
        <v>56</v>
      </c>
      <c r="N1116" s="10" t="s">
        <v>64</v>
      </c>
      <c r="Q1116"/>
    </row>
    <row r="1117" spans="1:17" x14ac:dyDescent="0.25">
      <c r="A1117" s="9" t="s">
        <v>2016</v>
      </c>
      <c r="B1117" s="2">
        <v>45394</v>
      </c>
      <c r="C1117" s="1" t="s">
        <v>2017</v>
      </c>
      <c r="D1117" s="1" t="s">
        <v>71</v>
      </c>
      <c r="E1117" s="1" t="s">
        <v>34</v>
      </c>
      <c r="F1117" s="1" t="s">
        <v>99</v>
      </c>
      <c r="G1117" s="1" t="s">
        <v>19</v>
      </c>
      <c r="H1117" s="1" t="s">
        <v>29</v>
      </c>
      <c r="I1117" s="1" t="s">
        <v>370</v>
      </c>
      <c r="J1117" s="1">
        <v>2</v>
      </c>
      <c r="K1117" s="3">
        <v>2551.67</v>
      </c>
      <c r="L1117" s="1">
        <v>0</v>
      </c>
      <c r="M1117" s="1" t="s">
        <v>63</v>
      </c>
      <c r="N1117" s="10" t="s">
        <v>31</v>
      </c>
      <c r="Q1117"/>
    </row>
    <row r="1118" spans="1:17" x14ac:dyDescent="0.25">
      <c r="A1118" s="9" t="s">
        <v>2018</v>
      </c>
      <c r="B1118" s="2">
        <v>45383</v>
      </c>
      <c r="C1118" s="1" t="s">
        <v>2019</v>
      </c>
      <c r="D1118" s="1" t="s">
        <v>147</v>
      </c>
      <c r="E1118" s="1" t="s">
        <v>34</v>
      </c>
      <c r="F1118" s="1" t="s">
        <v>82</v>
      </c>
      <c r="G1118" s="1" t="s">
        <v>53</v>
      </c>
      <c r="H1118" s="1" t="s">
        <v>54</v>
      </c>
      <c r="I1118" s="1" t="s">
        <v>1334</v>
      </c>
      <c r="J1118" s="1">
        <v>6</v>
      </c>
      <c r="K1118" s="3">
        <v>16052.53</v>
      </c>
      <c r="L1118" s="1">
        <v>20</v>
      </c>
      <c r="M1118" s="1" t="s">
        <v>56</v>
      </c>
      <c r="N1118" s="10" t="s">
        <v>74</v>
      </c>
      <c r="Q1118"/>
    </row>
    <row r="1119" spans="1:17" x14ac:dyDescent="0.25">
      <c r="A1119" s="9" t="s">
        <v>2020</v>
      </c>
      <c r="B1119" s="2">
        <v>45302</v>
      </c>
      <c r="C1119" s="1" t="s">
        <v>384</v>
      </c>
      <c r="D1119" s="1" t="s">
        <v>16</v>
      </c>
      <c r="E1119" s="1" t="s">
        <v>72</v>
      </c>
      <c r="F1119" s="1" t="s">
        <v>60</v>
      </c>
      <c r="G1119" s="1" t="s">
        <v>42</v>
      </c>
      <c r="H1119" s="1" t="s">
        <v>61</v>
      </c>
      <c r="I1119" s="1" t="s">
        <v>402</v>
      </c>
      <c r="J1119" s="1">
        <v>5</v>
      </c>
      <c r="K1119" s="3">
        <v>15183.5</v>
      </c>
      <c r="L1119" s="1">
        <v>20</v>
      </c>
      <c r="M1119" s="1" t="s">
        <v>63</v>
      </c>
      <c r="N1119" s="10" t="s">
        <v>74</v>
      </c>
      <c r="Q1119"/>
    </row>
    <row r="1120" spans="1:17" x14ac:dyDescent="0.25">
      <c r="A1120" s="9" t="s">
        <v>2021</v>
      </c>
      <c r="B1120" s="2">
        <v>45425</v>
      </c>
      <c r="C1120" s="1" t="s">
        <v>722</v>
      </c>
      <c r="D1120" s="1" t="s">
        <v>16</v>
      </c>
      <c r="E1120" s="1" t="s">
        <v>17</v>
      </c>
      <c r="F1120" s="1" t="s">
        <v>18</v>
      </c>
      <c r="G1120" s="1" t="s">
        <v>42</v>
      </c>
      <c r="H1120" s="1" t="s">
        <v>61</v>
      </c>
      <c r="I1120" s="1" t="s">
        <v>196</v>
      </c>
      <c r="J1120" s="1">
        <v>5</v>
      </c>
      <c r="K1120" s="3">
        <v>6455.92</v>
      </c>
      <c r="L1120" s="1">
        <v>20</v>
      </c>
      <c r="M1120" s="1" t="s">
        <v>93</v>
      </c>
      <c r="N1120" s="10" t="s">
        <v>74</v>
      </c>
      <c r="Q1120"/>
    </row>
    <row r="1121" spans="1:17" x14ac:dyDescent="0.25">
      <c r="A1121" s="9" t="s">
        <v>2022</v>
      </c>
      <c r="B1121" s="2">
        <v>45367</v>
      </c>
      <c r="C1121" s="1" t="s">
        <v>902</v>
      </c>
      <c r="D1121" s="1" t="s">
        <v>67</v>
      </c>
      <c r="E1121" s="1" t="s">
        <v>59</v>
      </c>
      <c r="F1121" s="1" t="s">
        <v>28</v>
      </c>
      <c r="G1121" s="1" t="s">
        <v>83</v>
      </c>
      <c r="H1121" s="1" t="s">
        <v>43</v>
      </c>
      <c r="I1121" s="1" t="s">
        <v>144</v>
      </c>
      <c r="J1121" s="1">
        <v>2</v>
      </c>
      <c r="K1121" s="3">
        <v>6405.99</v>
      </c>
      <c r="L1121" s="1">
        <v>15</v>
      </c>
      <c r="M1121" s="1" t="s">
        <v>69</v>
      </c>
      <c r="N1121" s="10" t="s">
        <v>45</v>
      </c>
      <c r="Q1121"/>
    </row>
    <row r="1122" spans="1:17" x14ac:dyDescent="0.25">
      <c r="A1122" s="9" t="s">
        <v>2023</v>
      </c>
      <c r="B1122" s="2">
        <v>45569</v>
      </c>
      <c r="C1122" s="1" t="s">
        <v>76</v>
      </c>
      <c r="D1122" s="1" t="s">
        <v>16</v>
      </c>
      <c r="E1122" s="1" t="s">
        <v>27</v>
      </c>
      <c r="F1122" s="1" t="s">
        <v>49</v>
      </c>
      <c r="G1122" s="1" t="s">
        <v>19</v>
      </c>
      <c r="H1122" s="1" t="s">
        <v>29</v>
      </c>
      <c r="I1122" s="1" t="s">
        <v>370</v>
      </c>
      <c r="J1122" s="1">
        <v>10</v>
      </c>
      <c r="K1122" s="3">
        <v>42711.58</v>
      </c>
      <c r="L1122" s="1">
        <v>15</v>
      </c>
      <c r="M1122" s="1" t="s">
        <v>93</v>
      </c>
      <c r="N1122" s="10" t="s">
        <v>64</v>
      </c>
      <c r="Q1122"/>
    </row>
    <row r="1123" spans="1:17" x14ac:dyDescent="0.25">
      <c r="A1123" s="9" t="s">
        <v>2024</v>
      </c>
      <c r="B1123" s="2">
        <v>45535</v>
      </c>
      <c r="C1123" s="1" t="s">
        <v>146</v>
      </c>
      <c r="D1123" s="1" t="s">
        <v>71</v>
      </c>
      <c r="E1123" s="1" t="s">
        <v>59</v>
      </c>
      <c r="F1123" s="1" t="s">
        <v>18</v>
      </c>
      <c r="G1123" s="1" t="s">
        <v>19</v>
      </c>
      <c r="H1123" s="1" t="s">
        <v>20</v>
      </c>
      <c r="I1123" s="1" t="s">
        <v>187</v>
      </c>
      <c r="J1123" s="1">
        <v>9</v>
      </c>
      <c r="K1123" s="3">
        <v>30474.5</v>
      </c>
      <c r="L1123" s="1">
        <v>10</v>
      </c>
      <c r="M1123" s="1" t="s">
        <v>22</v>
      </c>
      <c r="N1123" s="10" t="s">
        <v>74</v>
      </c>
      <c r="Q1123"/>
    </row>
    <row r="1124" spans="1:17" x14ac:dyDescent="0.25">
      <c r="A1124" s="9" t="s">
        <v>2025</v>
      </c>
      <c r="B1124" s="2">
        <v>45545</v>
      </c>
      <c r="C1124" s="1" t="s">
        <v>1237</v>
      </c>
      <c r="D1124" s="1" t="s">
        <v>192</v>
      </c>
      <c r="E1124" s="1" t="s">
        <v>17</v>
      </c>
      <c r="F1124" s="1" t="s">
        <v>99</v>
      </c>
      <c r="G1124" s="1" t="s">
        <v>53</v>
      </c>
      <c r="H1124" s="1" t="s">
        <v>54</v>
      </c>
      <c r="I1124" s="1" t="s">
        <v>479</v>
      </c>
      <c r="J1124" s="1">
        <v>7</v>
      </c>
      <c r="K1124" s="3">
        <v>27315.09</v>
      </c>
      <c r="L1124" s="1">
        <v>10</v>
      </c>
      <c r="M1124" s="1" t="s">
        <v>22</v>
      </c>
      <c r="N1124" s="10" t="s">
        <v>31</v>
      </c>
      <c r="Q1124"/>
    </row>
    <row r="1125" spans="1:17" x14ac:dyDescent="0.25">
      <c r="A1125" s="9" t="s">
        <v>2026</v>
      </c>
      <c r="B1125" s="2">
        <v>45619</v>
      </c>
      <c r="C1125" s="1" t="s">
        <v>1318</v>
      </c>
      <c r="D1125" s="1" t="s">
        <v>71</v>
      </c>
      <c r="E1125" s="1" t="s">
        <v>27</v>
      </c>
      <c r="F1125" s="1" t="s">
        <v>60</v>
      </c>
      <c r="G1125" s="1" t="s">
        <v>19</v>
      </c>
      <c r="H1125" s="1" t="s">
        <v>29</v>
      </c>
      <c r="I1125" s="1" t="s">
        <v>475</v>
      </c>
      <c r="J1125" s="1">
        <v>2</v>
      </c>
      <c r="K1125" s="3">
        <v>5785.04</v>
      </c>
      <c r="L1125" s="1" t="s">
        <v>110</v>
      </c>
      <c r="M1125" s="1" t="s">
        <v>56</v>
      </c>
      <c r="N1125" s="10" t="s">
        <v>37</v>
      </c>
      <c r="Q1125"/>
    </row>
    <row r="1126" spans="1:17" x14ac:dyDescent="0.25">
      <c r="A1126" s="9" t="s">
        <v>2027</v>
      </c>
      <c r="B1126" s="2">
        <v>45421</v>
      </c>
      <c r="C1126" s="1" t="s">
        <v>1781</v>
      </c>
      <c r="D1126" s="1" t="s">
        <v>71</v>
      </c>
      <c r="E1126" s="1" t="s">
        <v>17</v>
      </c>
      <c r="F1126" s="1" t="s">
        <v>18</v>
      </c>
      <c r="G1126" s="1" t="s">
        <v>53</v>
      </c>
      <c r="H1126" s="1" t="s">
        <v>54</v>
      </c>
      <c r="I1126" s="1" t="s">
        <v>109</v>
      </c>
      <c r="J1126" s="1">
        <v>3</v>
      </c>
      <c r="K1126" s="3">
        <v>3146.1</v>
      </c>
      <c r="L1126" s="1">
        <v>10</v>
      </c>
      <c r="M1126" s="1" t="s">
        <v>63</v>
      </c>
      <c r="N1126" s="10" t="s">
        <v>31</v>
      </c>
      <c r="Q1126"/>
    </row>
    <row r="1127" spans="1:17" x14ac:dyDescent="0.25">
      <c r="A1127" s="9" t="s">
        <v>2028</v>
      </c>
      <c r="B1127" s="2">
        <v>45425</v>
      </c>
      <c r="C1127" s="1" t="s">
        <v>1007</v>
      </c>
      <c r="D1127" s="1" t="s">
        <v>52</v>
      </c>
      <c r="E1127" s="1" t="s">
        <v>59</v>
      </c>
      <c r="F1127" s="1" t="s">
        <v>82</v>
      </c>
      <c r="G1127" s="1" t="s">
        <v>53</v>
      </c>
      <c r="H1127" s="1" t="s">
        <v>54</v>
      </c>
      <c r="I1127" s="1" t="s">
        <v>518</v>
      </c>
      <c r="J1127" s="1">
        <v>7</v>
      </c>
      <c r="K1127" s="3">
        <v>32302.04</v>
      </c>
      <c r="L1127" s="1">
        <v>0</v>
      </c>
      <c r="M1127" s="1" t="s">
        <v>93</v>
      </c>
      <c r="N1127" s="10" t="s">
        <v>37</v>
      </c>
      <c r="Q1127"/>
    </row>
    <row r="1128" spans="1:17" x14ac:dyDescent="0.25">
      <c r="A1128" s="9" t="s">
        <v>2030</v>
      </c>
      <c r="B1128" s="2">
        <v>45620</v>
      </c>
      <c r="C1128" s="1" t="s">
        <v>2031</v>
      </c>
      <c r="D1128" s="1" t="s">
        <v>26</v>
      </c>
      <c r="E1128" s="1" t="s">
        <v>41</v>
      </c>
      <c r="F1128" s="1" t="s">
        <v>60</v>
      </c>
      <c r="G1128" s="1" t="s">
        <v>19</v>
      </c>
      <c r="H1128" s="1" t="s">
        <v>29</v>
      </c>
      <c r="I1128" s="1" t="s">
        <v>515</v>
      </c>
      <c r="J1128" s="1">
        <v>6</v>
      </c>
      <c r="K1128" s="3">
        <v>1965.79</v>
      </c>
      <c r="L1128" s="1">
        <v>10</v>
      </c>
      <c r="M1128" s="1" t="s">
        <v>22</v>
      </c>
      <c r="N1128" s="10" t="s">
        <v>37</v>
      </c>
      <c r="Q1128"/>
    </row>
    <row r="1129" spans="1:17" x14ac:dyDescent="0.25">
      <c r="A1129" s="9" t="s">
        <v>2032</v>
      </c>
      <c r="B1129" s="2">
        <v>45261</v>
      </c>
      <c r="C1129" s="1" t="s">
        <v>817</v>
      </c>
      <c r="D1129" s="1" t="s">
        <v>16</v>
      </c>
      <c r="E1129" s="1" t="s">
        <v>59</v>
      </c>
      <c r="F1129" s="1" t="s">
        <v>49</v>
      </c>
      <c r="G1129" s="1" t="s">
        <v>53</v>
      </c>
      <c r="H1129" s="1" t="s">
        <v>54</v>
      </c>
      <c r="I1129" s="1" t="s">
        <v>479</v>
      </c>
      <c r="J1129" s="1">
        <v>7</v>
      </c>
      <c r="K1129" s="3">
        <v>13550.01</v>
      </c>
      <c r="L1129" s="1">
        <v>5</v>
      </c>
      <c r="M1129" s="1" t="s">
        <v>93</v>
      </c>
      <c r="N1129" s="10" t="s">
        <v>37</v>
      </c>
      <c r="Q1129"/>
    </row>
    <row r="1130" spans="1:17" x14ac:dyDescent="0.25">
      <c r="A1130" s="9" t="s">
        <v>2033</v>
      </c>
      <c r="B1130" s="2">
        <v>45282</v>
      </c>
      <c r="C1130" s="1" t="s">
        <v>1624</v>
      </c>
      <c r="D1130" s="1" t="s">
        <v>26</v>
      </c>
      <c r="E1130" s="1" t="s">
        <v>41</v>
      </c>
      <c r="F1130" s="1" t="s">
        <v>49</v>
      </c>
      <c r="G1130" s="1" t="s">
        <v>19</v>
      </c>
      <c r="H1130" s="1" t="s">
        <v>20</v>
      </c>
      <c r="I1130" s="1" t="s">
        <v>21</v>
      </c>
      <c r="J1130" s="1">
        <v>2</v>
      </c>
      <c r="K1130" s="3">
        <v>5070.38</v>
      </c>
      <c r="L1130" s="1">
        <v>15</v>
      </c>
      <c r="M1130" s="1" t="s">
        <v>93</v>
      </c>
      <c r="N1130" s="10" t="s">
        <v>23</v>
      </c>
      <c r="Q1130"/>
    </row>
    <row r="1131" spans="1:17" x14ac:dyDescent="0.25">
      <c r="A1131" s="9" t="s">
        <v>2034</v>
      </c>
      <c r="B1131" s="2">
        <v>45410</v>
      </c>
      <c r="C1131" s="1" t="s">
        <v>222</v>
      </c>
      <c r="D1131" s="1" t="s">
        <v>77</v>
      </c>
      <c r="E1131" s="1" t="s">
        <v>27</v>
      </c>
      <c r="F1131" s="1" t="s">
        <v>18</v>
      </c>
      <c r="G1131" s="1" t="s">
        <v>42</v>
      </c>
      <c r="H1131" s="1" t="s">
        <v>43</v>
      </c>
      <c r="I1131" s="1" t="s">
        <v>154</v>
      </c>
      <c r="J1131" s="1">
        <v>9</v>
      </c>
      <c r="K1131" s="3">
        <v>14032.98</v>
      </c>
      <c r="L1131" s="1">
        <v>15</v>
      </c>
      <c r="M1131" s="1" t="s">
        <v>63</v>
      </c>
      <c r="N1131" s="10" t="s">
        <v>23</v>
      </c>
      <c r="Q1131"/>
    </row>
    <row r="1132" spans="1:17" x14ac:dyDescent="0.25">
      <c r="A1132" s="9" t="s">
        <v>227</v>
      </c>
      <c r="B1132" s="2">
        <v>45093</v>
      </c>
      <c r="C1132" s="1" t="s">
        <v>2035</v>
      </c>
      <c r="D1132" s="1" t="s">
        <v>26</v>
      </c>
      <c r="E1132" s="1" t="s">
        <v>41</v>
      </c>
      <c r="F1132" s="1" t="s">
        <v>99</v>
      </c>
      <c r="G1132" s="1" t="s">
        <v>83</v>
      </c>
      <c r="H1132" s="1" t="s">
        <v>43</v>
      </c>
      <c r="I1132" s="1" t="s">
        <v>285</v>
      </c>
      <c r="J1132" s="1">
        <v>9</v>
      </c>
      <c r="K1132" s="3">
        <v>21059.85</v>
      </c>
      <c r="L1132" s="1">
        <v>15</v>
      </c>
      <c r="M1132" s="1" t="s">
        <v>56</v>
      </c>
      <c r="N1132" s="10" t="s">
        <v>23</v>
      </c>
      <c r="Q1132"/>
    </row>
    <row r="1133" spans="1:17" x14ac:dyDescent="0.25">
      <c r="A1133" s="9" t="s">
        <v>2036</v>
      </c>
      <c r="B1133" s="2">
        <v>45099</v>
      </c>
      <c r="C1133" s="1" t="s">
        <v>1650</v>
      </c>
      <c r="D1133" s="1" t="s">
        <v>71</v>
      </c>
      <c r="E1133" s="1" t="s">
        <v>27</v>
      </c>
      <c r="F1133" s="1" t="s">
        <v>88</v>
      </c>
      <c r="G1133" s="1" t="s">
        <v>83</v>
      </c>
      <c r="H1133" s="1" t="s">
        <v>43</v>
      </c>
      <c r="I1133" s="1" t="s">
        <v>323</v>
      </c>
      <c r="J1133" s="1">
        <v>2</v>
      </c>
      <c r="K1133" s="3">
        <v>5303.06</v>
      </c>
      <c r="L1133" s="1">
        <v>15</v>
      </c>
      <c r="M1133" s="1" t="s">
        <v>56</v>
      </c>
      <c r="N1133" s="10" t="s">
        <v>74</v>
      </c>
      <c r="Q1133"/>
    </row>
    <row r="1134" spans="1:17" x14ac:dyDescent="0.25">
      <c r="A1134" s="9" t="s">
        <v>2037</v>
      </c>
      <c r="B1134" s="2">
        <v>44978</v>
      </c>
      <c r="C1134" s="1" t="s">
        <v>2031</v>
      </c>
      <c r="D1134" s="1" t="s">
        <v>87</v>
      </c>
      <c r="E1134" s="1" t="s">
        <v>34</v>
      </c>
      <c r="F1134" s="1" t="s">
        <v>88</v>
      </c>
      <c r="G1134" s="1" t="s">
        <v>19</v>
      </c>
      <c r="H1134" s="1" t="s">
        <v>20</v>
      </c>
      <c r="I1134" s="1" t="s">
        <v>78</v>
      </c>
      <c r="J1134" s="1">
        <v>5</v>
      </c>
      <c r="K1134" s="3">
        <v>17183</v>
      </c>
      <c r="L1134" s="1">
        <v>0</v>
      </c>
      <c r="M1134" s="1" t="s">
        <v>69</v>
      </c>
      <c r="N1134" s="10" t="s">
        <v>64</v>
      </c>
      <c r="Q1134"/>
    </row>
    <row r="1135" spans="1:17" x14ac:dyDescent="0.25">
      <c r="A1135" s="9" t="s">
        <v>2038</v>
      </c>
      <c r="B1135" s="2">
        <v>45085</v>
      </c>
      <c r="C1135" s="1" t="s">
        <v>420</v>
      </c>
      <c r="D1135" s="1" t="s">
        <v>33</v>
      </c>
      <c r="E1135" s="1" t="s">
        <v>34</v>
      </c>
      <c r="F1135" s="1" t="s">
        <v>82</v>
      </c>
      <c r="G1135" s="1" t="s">
        <v>19</v>
      </c>
      <c r="H1135" s="1" t="s">
        <v>20</v>
      </c>
      <c r="I1135" s="1" t="s">
        <v>1234</v>
      </c>
      <c r="J1135" s="1">
        <v>6</v>
      </c>
      <c r="K1135" s="3">
        <v>20991.16</v>
      </c>
      <c r="L1135" s="1">
        <v>5</v>
      </c>
      <c r="M1135" s="1" t="s">
        <v>63</v>
      </c>
      <c r="N1135" s="10" t="s">
        <v>64</v>
      </c>
      <c r="Q1135"/>
    </row>
    <row r="1136" spans="1:17" x14ac:dyDescent="0.25">
      <c r="A1136" s="9" t="s">
        <v>2039</v>
      </c>
      <c r="B1136" s="2">
        <v>45276</v>
      </c>
      <c r="C1136" s="1" t="s">
        <v>260</v>
      </c>
      <c r="D1136" s="1" t="s">
        <v>436</v>
      </c>
      <c r="E1136" s="1" t="s">
        <v>72</v>
      </c>
      <c r="F1136" s="1" t="s">
        <v>60</v>
      </c>
      <c r="G1136" s="1" t="s">
        <v>83</v>
      </c>
      <c r="H1136" s="1" t="s">
        <v>43</v>
      </c>
      <c r="I1136" s="1" t="s">
        <v>323</v>
      </c>
      <c r="J1136" s="1">
        <v>5</v>
      </c>
      <c r="K1136" s="3">
        <v>22897.94</v>
      </c>
      <c r="L1136" s="1" t="s">
        <v>110</v>
      </c>
      <c r="M1136" s="1" t="s">
        <v>22</v>
      </c>
      <c r="N1136" s="10" t="s">
        <v>31</v>
      </c>
      <c r="Q1136"/>
    </row>
    <row r="1137" spans="1:17" x14ac:dyDescent="0.25">
      <c r="A1137" s="9" t="s">
        <v>2040</v>
      </c>
      <c r="B1137" s="2">
        <v>45482</v>
      </c>
      <c r="C1137" s="1" t="s">
        <v>166</v>
      </c>
      <c r="D1137" s="1" t="s">
        <v>40</v>
      </c>
      <c r="E1137" s="1" t="s">
        <v>27</v>
      </c>
      <c r="F1137" s="1" t="s">
        <v>49</v>
      </c>
      <c r="G1137" s="1" t="s">
        <v>53</v>
      </c>
      <c r="H1137" s="1" t="s">
        <v>54</v>
      </c>
      <c r="I1137" s="1" t="s">
        <v>437</v>
      </c>
      <c r="J1137" s="1">
        <v>10</v>
      </c>
      <c r="K1137" s="3">
        <v>14354.23</v>
      </c>
      <c r="L1137" s="1">
        <v>20</v>
      </c>
      <c r="M1137" s="1" t="s">
        <v>93</v>
      </c>
      <c r="N1137" s="10" t="s">
        <v>31</v>
      </c>
      <c r="Q1137"/>
    </row>
    <row r="1138" spans="1:17" x14ac:dyDescent="0.25">
      <c r="A1138" s="9" t="s">
        <v>2041</v>
      </c>
      <c r="B1138" s="2">
        <v>45610</v>
      </c>
      <c r="C1138" s="1" t="s">
        <v>2042</v>
      </c>
      <c r="D1138" s="1" t="s">
        <v>147</v>
      </c>
      <c r="E1138" s="1" t="s">
        <v>59</v>
      </c>
      <c r="F1138" s="1" t="s">
        <v>88</v>
      </c>
      <c r="G1138" s="1" t="s">
        <v>19</v>
      </c>
      <c r="H1138" s="1" t="s">
        <v>20</v>
      </c>
      <c r="I1138" s="1" t="s">
        <v>261</v>
      </c>
      <c r="J1138" s="1">
        <v>4</v>
      </c>
      <c r="K1138" s="3">
        <v>5400.25</v>
      </c>
      <c r="L1138" s="1">
        <v>0</v>
      </c>
      <c r="M1138" s="1" t="s">
        <v>22</v>
      </c>
      <c r="N1138" s="10" t="s">
        <v>31</v>
      </c>
      <c r="Q1138"/>
    </row>
    <row r="1139" spans="1:17" x14ac:dyDescent="0.25">
      <c r="A1139" s="9" t="s">
        <v>2043</v>
      </c>
      <c r="B1139" s="2">
        <v>45465</v>
      </c>
      <c r="C1139" s="1" t="s">
        <v>992</v>
      </c>
      <c r="D1139" s="1" t="s">
        <v>26</v>
      </c>
      <c r="E1139" s="1" t="s">
        <v>59</v>
      </c>
      <c r="F1139" s="1" t="s">
        <v>60</v>
      </c>
      <c r="G1139" s="1" t="s">
        <v>42</v>
      </c>
      <c r="H1139" s="1" t="s">
        <v>43</v>
      </c>
      <c r="I1139" s="1" t="s">
        <v>100</v>
      </c>
      <c r="J1139" s="1">
        <v>4</v>
      </c>
      <c r="K1139" s="3">
        <v>7965.43</v>
      </c>
      <c r="L1139" s="1">
        <v>15</v>
      </c>
      <c r="M1139" s="1" t="s">
        <v>56</v>
      </c>
      <c r="N1139" s="10" t="s">
        <v>37</v>
      </c>
      <c r="Q1139"/>
    </row>
    <row r="1140" spans="1:17" x14ac:dyDescent="0.25">
      <c r="A1140" s="9" t="s">
        <v>2044</v>
      </c>
      <c r="B1140" s="2">
        <v>44973</v>
      </c>
      <c r="C1140" s="1" t="s">
        <v>808</v>
      </c>
      <c r="D1140" s="1" t="s">
        <v>81</v>
      </c>
      <c r="E1140" s="1" t="s">
        <v>27</v>
      </c>
      <c r="F1140" s="1" t="s">
        <v>60</v>
      </c>
      <c r="G1140" s="1" t="s">
        <v>42</v>
      </c>
      <c r="H1140" s="1" t="s">
        <v>61</v>
      </c>
      <c r="I1140" s="1" t="s">
        <v>151</v>
      </c>
      <c r="J1140" s="1">
        <v>10</v>
      </c>
      <c r="K1140" s="3">
        <v>24012.58</v>
      </c>
      <c r="L1140" s="1" t="s">
        <v>110</v>
      </c>
      <c r="M1140" s="1" t="s">
        <v>63</v>
      </c>
      <c r="N1140" s="10" t="s">
        <v>74</v>
      </c>
      <c r="Q1140"/>
    </row>
    <row r="1141" spans="1:17" x14ac:dyDescent="0.25">
      <c r="A1141" s="9" t="s">
        <v>2045</v>
      </c>
      <c r="B1141" s="2">
        <v>45489</v>
      </c>
      <c r="C1141" s="1" t="s">
        <v>429</v>
      </c>
      <c r="D1141" s="1" t="s">
        <v>33</v>
      </c>
      <c r="E1141" s="1" t="s">
        <v>17</v>
      </c>
      <c r="F1141" s="1" t="s">
        <v>49</v>
      </c>
      <c r="G1141" s="1" t="s">
        <v>53</v>
      </c>
      <c r="H1141" s="1" t="s">
        <v>54</v>
      </c>
      <c r="I1141" s="1" t="s">
        <v>207</v>
      </c>
      <c r="J1141" s="1">
        <v>4</v>
      </c>
      <c r="K1141" s="3">
        <v>3204.09</v>
      </c>
      <c r="L1141" s="1">
        <v>10</v>
      </c>
      <c r="M1141" s="1" t="s">
        <v>36</v>
      </c>
      <c r="N1141" s="10" t="s">
        <v>64</v>
      </c>
      <c r="Q1141"/>
    </row>
    <row r="1142" spans="1:17" x14ac:dyDescent="0.25">
      <c r="A1142" s="9" t="s">
        <v>2046</v>
      </c>
      <c r="B1142" s="2">
        <v>45656</v>
      </c>
      <c r="C1142" s="1" t="s">
        <v>1276</v>
      </c>
      <c r="D1142" s="1" t="s">
        <v>40</v>
      </c>
      <c r="E1142" s="1" t="s">
        <v>72</v>
      </c>
      <c r="F1142" s="1" t="s">
        <v>49</v>
      </c>
      <c r="G1142" s="1" t="s">
        <v>19</v>
      </c>
      <c r="H1142" s="1" t="s">
        <v>20</v>
      </c>
      <c r="I1142" s="1" t="s">
        <v>280</v>
      </c>
      <c r="J1142" s="1">
        <v>7</v>
      </c>
      <c r="K1142" s="3">
        <v>9980.36</v>
      </c>
      <c r="L1142" s="1" t="s">
        <v>110</v>
      </c>
      <c r="M1142" s="1" t="s">
        <v>56</v>
      </c>
      <c r="N1142" s="10" t="s">
        <v>31</v>
      </c>
      <c r="Q1142"/>
    </row>
    <row r="1143" spans="1:17" x14ac:dyDescent="0.25">
      <c r="A1143" s="9" t="s">
        <v>2047</v>
      </c>
      <c r="B1143" s="2">
        <v>45100</v>
      </c>
      <c r="C1143" s="1" t="s">
        <v>1333</v>
      </c>
      <c r="D1143" s="1" t="s">
        <v>67</v>
      </c>
      <c r="E1143" s="1" t="s">
        <v>34</v>
      </c>
      <c r="F1143" s="1" t="s">
        <v>99</v>
      </c>
      <c r="G1143" s="1" t="s">
        <v>83</v>
      </c>
      <c r="H1143" s="1" t="s">
        <v>43</v>
      </c>
      <c r="I1143" s="1" t="s">
        <v>89</v>
      </c>
      <c r="J1143" s="1">
        <v>5</v>
      </c>
      <c r="K1143" s="3">
        <v>5151.38</v>
      </c>
      <c r="L1143" s="1">
        <v>5</v>
      </c>
      <c r="M1143" s="1" t="s">
        <v>63</v>
      </c>
      <c r="N1143" s="10" t="s">
        <v>37</v>
      </c>
      <c r="Q1143"/>
    </row>
    <row r="1144" spans="1:17" x14ac:dyDescent="0.25">
      <c r="A1144" s="9" t="s">
        <v>2048</v>
      </c>
      <c r="B1144" s="2">
        <v>45201</v>
      </c>
      <c r="C1144" s="1" t="s">
        <v>120</v>
      </c>
      <c r="D1144" s="1" t="s">
        <v>87</v>
      </c>
      <c r="E1144" s="1" t="s">
        <v>72</v>
      </c>
      <c r="F1144" s="1" t="s">
        <v>18</v>
      </c>
      <c r="G1144" s="1" t="s">
        <v>83</v>
      </c>
      <c r="H1144" s="1" t="s">
        <v>43</v>
      </c>
      <c r="I1144" s="1" t="s">
        <v>288</v>
      </c>
      <c r="J1144" s="1">
        <v>4</v>
      </c>
      <c r="K1144" s="3">
        <v>4749.9399999999996</v>
      </c>
      <c r="L1144" s="1">
        <v>0</v>
      </c>
      <c r="M1144" s="1" t="s">
        <v>22</v>
      </c>
      <c r="N1144" s="10" t="s">
        <v>64</v>
      </c>
      <c r="Q1144"/>
    </row>
    <row r="1145" spans="1:17" x14ac:dyDescent="0.25">
      <c r="A1145" s="9" t="s">
        <v>2049</v>
      </c>
      <c r="B1145" s="2">
        <v>45076</v>
      </c>
      <c r="C1145" s="1" t="s">
        <v>2050</v>
      </c>
      <c r="D1145" s="1" t="s">
        <v>67</v>
      </c>
      <c r="E1145" s="1" t="s">
        <v>41</v>
      </c>
      <c r="F1145" s="1" t="s">
        <v>49</v>
      </c>
      <c r="G1145" s="1" t="s">
        <v>42</v>
      </c>
      <c r="H1145" s="1" t="s">
        <v>61</v>
      </c>
      <c r="I1145" s="1" t="s">
        <v>196</v>
      </c>
      <c r="J1145" s="1">
        <v>3</v>
      </c>
      <c r="K1145" s="3">
        <v>419.24</v>
      </c>
      <c r="L1145" s="1">
        <v>20</v>
      </c>
      <c r="M1145" s="1" t="s">
        <v>69</v>
      </c>
      <c r="N1145" s="10" t="s">
        <v>37</v>
      </c>
      <c r="Q1145"/>
    </row>
    <row r="1146" spans="1:17" x14ac:dyDescent="0.25">
      <c r="A1146" s="9" t="s">
        <v>2051</v>
      </c>
      <c r="B1146" s="2">
        <v>45478</v>
      </c>
      <c r="C1146" s="1" t="s">
        <v>800</v>
      </c>
      <c r="D1146" s="1" t="s">
        <v>33</v>
      </c>
      <c r="E1146" s="1" t="s">
        <v>34</v>
      </c>
      <c r="F1146" s="1" t="s">
        <v>88</v>
      </c>
      <c r="G1146" s="1" t="s">
        <v>19</v>
      </c>
      <c r="H1146" s="1" t="s">
        <v>20</v>
      </c>
      <c r="I1146" s="1" t="s">
        <v>1234</v>
      </c>
      <c r="J1146" s="1">
        <v>9</v>
      </c>
      <c r="K1146" s="3">
        <v>5746.75</v>
      </c>
      <c r="L1146" s="1" t="s">
        <v>110</v>
      </c>
      <c r="M1146" s="1" t="s">
        <v>63</v>
      </c>
      <c r="N1146" s="10" t="s">
        <v>23</v>
      </c>
      <c r="Q1146"/>
    </row>
    <row r="1147" spans="1:17" x14ac:dyDescent="0.25">
      <c r="A1147" s="9" t="s">
        <v>2052</v>
      </c>
      <c r="B1147" s="2">
        <v>45034</v>
      </c>
      <c r="C1147" s="1" t="s">
        <v>2053</v>
      </c>
      <c r="D1147" s="1" t="s">
        <v>67</v>
      </c>
      <c r="E1147" s="1" t="s">
        <v>34</v>
      </c>
      <c r="F1147" s="1" t="s">
        <v>28</v>
      </c>
      <c r="G1147" s="1" t="s">
        <v>19</v>
      </c>
      <c r="H1147" s="1" t="s">
        <v>29</v>
      </c>
      <c r="I1147" s="1" t="s">
        <v>1449</v>
      </c>
      <c r="J1147" s="1">
        <v>3</v>
      </c>
      <c r="K1147" s="3">
        <v>9287.93</v>
      </c>
      <c r="L1147" s="1">
        <v>10</v>
      </c>
      <c r="M1147" s="1" t="s">
        <v>93</v>
      </c>
      <c r="N1147" s="10" t="s">
        <v>45</v>
      </c>
      <c r="Q1147"/>
    </row>
    <row r="1148" spans="1:17" x14ac:dyDescent="0.25">
      <c r="A1148" s="9" t="s">
        <v>2054</v>
      </c>
      <c r="B1148" s="2">
        <v>45451</v>
      </c>
      <c r="C1148" s="1" t="s">
        <v>195</v>
      </c>
      <c r="D1148" s="1" t="s">
        <v>378</v>
      </c>
      <c r="E1148" s="1" t="s">
        <v>27</v>
      </c>
      <c r="F1148" s="1" t="s">
        <v>18</v>
      </c>
      <c r="G1148" s="1" t="s">
        <v>53</v>
      </c>
      <c r="H1148" s="1" t="s">
        <v>54</v>
      </c>
      <c r="I1148" s="1" t="s">
        <v>548</v>
      </c>
      <c r="J1148" s="1">
        <v>3</v>
      </c>
      <c r="K1148" s="3">
        <v>4596.7299999999996</v>
      </c>
      <c r="L1148" s="1" t="s">
        <v>110</v>
      </c>
      <c r="M1148" s="1" t="s">
        <v>63</v>
      </c>
      <c r="N1148" s="10" t="s">
        <v>45</v>
      </c>
      <c r="Q1148"/>
    </row>
    <row r="1149" spans="1:17" x14ac:dyDescent="0.25">
      <c r="A1149" s="9" t="s">
        <v>2055</v>
      </c>
      <c r="B1149" s="2">
        <v>45617</v>
      </c>
      <c r="C1149" s="1" t="s">
        <v>593</v>
      </c>
      <c r="D1149" s="1" t="s">
        <v>16</v>
      </c>
      <c r="E1149" s="1" t="s">
        <v>27</v>
      </c>
      <c r="F1149" s="1" t="s">
        <v>82</v>
      </c>
      <c r="G1149" s="1" t="s">
        <v>19</v>
      </c>
      <c r="H1149" s="1" t="s">
        <v>20</v>
      </c>
      <c r="I1149" s="1" t="s">
        <v>78</v>
      </c>
      <c r="J1149" s="1">
        <v>1</v>
      </c>
      <c r="K1149" s="3">
        <v>3143.89</v>
      </c>
      <c r="L1149" s="1">
        <v>15</v>
      </c>
      <c r="M1149" s="1" t="s">
        <v>63</v>
      </c>
      <c r="N1149" s="10" t="s">
        <v>31</v>
      </c>
      <c r="Q1149"/>
    </row>
    <row r="1150" spans="1:17" x14ac:dyDescent="0.25">
      <c r="A1150" s="9" t="s">
        <v>2056</v>
      </c>
      <c r="B1150" s="2">
        <v>45571</v>
      </c>
      <c r="C1150" s="1" t="s">
        <v>150</v>
      </c>
      <c r="D1150" s="1" t="s">
        <v>147</v>
      </c>
      <c r="E1150" s="1" t="s">
        <v>17</v>
      </c>
      <c r="F1150" s="1" t="s">
        <v>18</v>
      </c>
      <c r="G1150" s="1" t="s">
        <v>42</v>
      </c>
      <c r="H1150" s="1" t="s">
        <v>61</v>
      </c>
      <c r="I1150" s="1" t="s">
        <v>185</v>
      </c>
      <c r="J1150" s="1">
        <v>4</v>
      </c>
      <c r="K1150" s="3">
        <v>11275.44</v>
      </c>
      <c r="L1150" s="1">
        <v>10</v>
      </c>
      <c r="M1150" s="1" t="s">
        <v>22</v>
      </c>
      <c r="N1150" s="10" t="s">
        <v>23</v>
      </c>
      <c r="Q1150"/>
    </row>
    <row r="1151" spans="1:17" x14ac:dyDescent="0.25">
      <c r="A1151" s="9" t="s">
        <v>2057</v>
      </c>
      <c r="B1151" s="2">
        <v>45609</v>
      </c>
      <c r="C1151" s="1" t="s">
        <v>815</v>
      </c>
      <c r="D1151" s="1" t="s">
        <v>52</v>
      </c>
      <c r="E1151" s="1" t="s">
        <v>59</v>
      </c>
      <c r="F1151" s="1" t="s">
        <v>88</v>
      </c>
      <c r="G1151" s="1" t="s">
        <v>42</v>
      </c>
      <c r="H1151" s="1" t="s">
        <v>61</v>
      </c>
      <c r="I1151" s="1" t="s">
        <v>317</v>
      </c>
      <c r="J1151" s="1">
        <v>6</v>
      </c>
      <c r="K1151" s="3">
        <v>24870.06</v>
      </c>
      <c r="L1151" s="1">
        <v>10</v>
      </c>
      <c r="M1151" s="1" t="s">
        <v>56</v>
      </c>
      <c r="N1151" s="10" t="s">
        <v>23</v>
      </c>
      <c r="Q1151"/>
    </row>
    <row r="1152" spans="1:17" x14ac:dyDescent="0.25">
      <c r="A1152" s="9" t="s">
        <v>2058</v>
      </c>
      <c r="B1152" s="2">
        <v>45017</v>
      </c>
      <c r="C1152" s="1" t="s">
        <v>922</v>
      </c>
      <c r="D1152" s="1" t="s">
        <v>16</v>
      </c>
      <c r="E1152" s="1" t="s">
        <v>59</v>
      </c>
      <c r="F1152" s="1" t="s">
        <v>82</v>
      </c>
      <c r="G1152" s="1" t="s">
        <v>19</v>
      </c>
      <c r="H1152" s="1" t="s">
        <v>20</v>
      </c>
      <c r="I1152" s="1" t="s">
        <v>261</v>
      </c>
      <c r="J1152" s="1">
        <v>8</v>
      </c>
      <c r="K1152" s="3">
        <v>12285.46</v>
      </c>
      <c r="L1152" s="1">
        <v>20</v>
      </c>
      <c r="M1152" s="1" t="s">
        <v>56</v>
      </c>
      <c r="N1152" s="10" t="s">
        <v>37</v>
      </c>
      <c r="Q1152"/>
    </row>
    <row r="1153" spans="1:17" x14ac:dyDescent="0.25">
      <c r="A1153" s="9" t="s">
        <v>2059</v>
      </c>
      <c r="B1153" s="2">
        <v>45334</v>
      </c>
      <c r="C1153" s="1" t="s">
        <v>1687</v>
      </c>
      <c r="D1153" s="1" t="s">
        <v>81</v>
      </c>
      <c r="E1153" s="1" t="s">
        <v>27</v>
      </c>
      <c r="F1153" s="1" t="s">
        <v>18</v>
      </c>
      <c r="G1153" s="1" t="s">
        <v>19</v>
      </c>
      <c r="H1153" s="1" t="s">
        <v>29</v>
      </c>
      <c r="I1153" s="1" t="s">
        <v>113</v>
      </c>
      <c r="J1153" s="1">
        <v>5</v>
      </c>
      <c r="K1153" s="3">
        <v>11064.73</v>
      </c>
      <c r="L1153" s="1">
        <v>10</v>
      </c>
      <c r="M1153" s="1" t="s">
        <v>93</v>
      </c>
      <c r="N1153" s="10" t="s">
        <v>64</v>
      </c>
      <c r="Q1153"/>
    </row>
    <row r="1154" spans="1:17" x14ac:dyDescent="0.25">
      <c r="A1154" s="9" t="s">
        <v>2060</v>
      </c>
      <c r="B1154" s="2">
        <v>45649</v>
      </c>
      <c r="C1154" s="1" t="s">
        <v>1371</v>
      </c>
      <c r="D1154" s="1" t="s">
        <v>161</v>
      </c>
      <c r="E1154" s="1" t="s">
        <v>41</v>
      </c>
      <c r="F1154" s="1" t="s">
        <v>82</v>
      </c>
      <c r="G1154" s="1" t="s">
        <v>19</v>
      </c>
      <c r="H1154" s="1" t="s">
        <v>20</v>
      </c>
      <c r="I1154" s="1" t="s">
        <v>312</v>
      </c>
      <c r="J1154" s="1">
        <v>1</v>
      </c>
      <c r="K1154" s="3">
        <v>4092.8</v>
      </c>
      <c r="L1154" s="1" t="s">
        <v>110</v>
      </c>
      <c r="M1154" s="1" t="s">
        <v>36</v>
      </c>
      <c r="N1154" s="10" t="s">
        <v>31</v>
      </c>
      <c r="Q1154"/>
    </row>
    <row r="1155" spans="1:17" x14ac:dyDescent="0.25">
      <c r="A1155" s="9" t="s">
        <v>2061</v>
      </c>
      <c r="B1155" s="2">
        <v>44935</v>
      </c>
      <c r="C1155" s="1" t="s">
        <v>1479</v>
      </c>
      <c r="D1155" s="1" t="s">
        <v>26</v>
      </c>
      <c r="E1155" s="1" t="s">
        <v>34</v>
      </c>
      <c r="F1155" s="1" t="s">
        <v>99</v>
      </c>
      <c r="G1155" s="1" t="s">
        <v>53</v>
      </c>
      <c r="H1155" s="1" t="s">
        <v>54</v>
      </c>
      <c r="I1155" s="1" t="s">
        <v>558</v>
      </c>
      <c r="J1155" s="1">
        <v>6</v>
      </c>
      <c r="K1155" s="3">
        <v>16523.240000000002</v>
      </c>
      <c r="L1155" s="1">
        <v>0</v>
      </c>
      <c r="M1155" s="1" t="s">
        <v>63</v>
      </c>
      <c r="N1155" s="10" t="s">
        <v>37</v>
      </c>
      <c r="Q1155"/>
    </row>
    <row r="1156" spans="1:17" x14ac:dyDescent="0.25">
      <c r="A1156" s="9" t="s">
        <v>2062</v>
      </c>
      <c r="B1156" s="2">
        <v>45138</v>
      </c>
      <c r="C1156" s="1" t="s">
        <v>1988</v>
      </c>
      <c r="D1156" s="1" t="s">
        <v>71</v>
      </c>
      <c r="E1156" s="1" t="s">
        <v>17</v>
      </c>
      <c r="F1156" s="1" t="s">
        <v>49</v>
      </c>
      <c r="G1156" s="1" t="s">
        <v>83</v>
      </c>
      <c r="H1156" s="1" t="s">
        <v>43</v>
      </c>
      <c r="I1156" s="1" t="s">
        <v>572</v>
      </c>
      <c r="J1156" s="1">
        <v>5</v>
      </c>
      <c r="K1156" s="3">
        <v>2896.1</v>
      </c>
      <c r="L1156" s="1" t="s">
        <v>110</v>
      </c>
      <c r="M1156" s="1" t="s">
        <v>36</v>
      </c>
      <c r="N1156" s="10" t="s">
        <v>31</v>
      </c>
      <c r="Q1156"/>
    </row>
    <row r="1157" spans="1:17" x14ac:dyDescent="0.25">
      <c r="A1157" s="9" t="s">
        <v>2063</v>
      </c>
      <c r="B1157" s="2">
        <v>45573</v>
      </c>
      <c r="C1157" s="1" t="s">
        <v>1200</v>
      </c>
      <c r="D1157" s="1" t="s">
        <v>16</v>
      </c>
      <c r="E1157" s="1" t="s">
        <v>59</v>
      </c>
      <c r="F1157" s="1" t="s">
        <v>49</v>
      </c>
      <c r="G1157" s="1" t="s">
        <v>53</v>
      </c>
      <c r="H1157" s="1" t="s">
        <v>54</v>
      </c>
      <c r="I1157" s="1" t="s">
        <v>946</v>
      </c>
      <c r="J1157" s="1">
        <v>6</v>
      </c>
      <c r="K1157" s="3">
        <v>6423.15</v>
      </c>
      <c r="L1157" s="1">
        <v>20</v>
      </c>
      <c r="M1157" s="1" t="s">
        <v>69</v>
      </c>
      <c r="N1157" s="10" t="s">
        <v>23</v>
      </c>
      <c r="Q1157"/>
    </row>
    <row r="1158" spans="1:17" x14ac:dyDescent="0.25">
      <c r="A1158" s="9" t="s">
        <v>2064</v>
      </c>
      <c r="B1158" s="2">
        <v>45314</v>
      </c>
      <c r="C1158" s="1" t="s">
        <v>951</v>
      </c>
      <c r="D1158" s="1" t="s">
        <v>52</v>
      </c>
      <c r="E1158" s="1" t="s">
        <v>59</v>
      </c>
      <c r="F1158" s="1" t="s">
        <v>18</v>
      </c>
      <c r="G1158" s="1" t="s">
        <v>83</v>
      </c>
      <c r="H1158" s="1" t="s">
        <v>43</v>
      </c>
      <c r="I1158" s="1" t="s">
        <v>144</v>
      </c>
      <c r="J1158" s="1">
        <v>10</v>
      </c>
      <c r="K1158" s="3">
        <v>20689.8</v>
      </c>
      <c r="L1158" s="1">
        <v>20</v>
      </c>
      <c r="M1158" s="1" t="s">
        <v>93</v>
      </c>
      <c r="N1158" s="10" t="s">
        <v>31</v>
      </c>
      <c r="Q1158"/>
    </row>
    <row r="1159" spans="1:17" x14ac:dyDescent="0.25">
      <c r="A1159" s="9" t="s">
        <v>2065</v>
      </c>
      <c r="B1159" s="2">
        <v>45523</v>
      </c>
      <c r="C1159" s="1" t="s">
        <v>945</v>
      </c>
      <c r="D1159" s="1" t="s">
        <v>40</v>
      </c>
      <c r="E1159" s="1" t="s">
        <v>27</v>
      </c>
      <c r="F1159" s="1" t="s">
        <v>49</v>
      </c>
      <c r="G1159" s="1" t="s">
        <v>42</v>
      </c>
      <c r="H1159" s="1" t="s">
        <v>61</v>
      </c>
      <c r="I1159" s="1" t="s">
        <v>863</v>
      </c>
      <c r="J1159" s="1">
        <v>10</v>
      </c>
      <c r="K1159" s="3">
        <v>28533.53</v>
      </c>
      <c r="L1159" s="1" t="s">
        <v>110</v>
      </c>
      <c r="M1159" s="1" t="s">
        <v>69</v>
      </c>
      <c r="N1159" s="10" t="s">
        <v>37</v>
      </c>
      <c r="Q1159"/>
    </row>
    <row r="1160" spans="1:17" x14ac:dyDescent="0.25">
      <c r="A1160" s="9" t="s">
        <v>2066</v>
      </c>
      <c r="B1160" s="2">
        <v>45502</v>
      </c>
      <c r="C1160" s="1" t="s">
        <v>1117</v>
      </c>
      <c r="D1160" s="1" t="s">
        <v>40</v>
      </c>
      <c r="E1160" s="1" t="s">
        <v>59</v>
      </c>
      <c r="F1160" s="1" t="s">
        <v>28</v>
      </c>
      <c r="G1160" s="1" t="s">
        <v>19</v>
      </c>
      <c r="H1160" s="1" t="s">
        <v>20</v>
      </c>
      <c r="I1160" s="1" t="s">
        <v>263</v>
      </c>
      <c r="J1160" s="1">
        <v>8</v>
      </c>
      <c r="K1160" s="3">
        <v>34702.49</v>
      </c>
      <c r="L1160" s="1">
        <v>5</v>
      </c>
      <c r="M1160" s="1" t="s">
        <v>22</v>
      </c>
      <c r="N1160" s="10" t="s">
        <v>37</v>
      </c>
      <c r="Q1160"/>
    </row>
    <row r="1161" spans="1:17" x14ac:dyDescent="0.25">
      <c r="A1161" s="9" t="s">
        <v>2067</v>
      </c>
      <c r="B1161" s="2">
        <v>44930</v>
      </c>
      <c r="C1161" s="1" t="s">
        <v>669</v>
      </c>
      <c r="D1161" s="1" t="s">
        <v>147</v>
      </c>
      <c r="E1161" s="1" t="s">
        <v>34</v>
      </c>
      <c r="F1161" s="1" t="s">
        <v>49</v>
      </c>
      <c r="G1161" s="1" t="s">
        <v>42</v>
      </c>
      <c r="H1161" s="1" t="s">
        <v>61</v>
      </c>
      <c r="I1161" s="1" t="s">
        <v>1096</v>
      </c>
      <c r="J1161" s="1">
        <v>4</v>
      </c>
      <c r="K1161" s="3">
        <v>15208.65</v>
      </c>
      <c r="L1161" s="1">
        <v>20</v>
      </c>
      <c r="M1161" s="1" t="s">
        <v>69</v>
      </c>
      <c r="N1161" s="10" t="s">
        <v>45</v>
      </c>
      <c r="Q1161"/>
    </row>
    <row r="1162" spans="1:17" x14ac:dyDescent="0.25">
      <c r="A1162" s="9" t="s">
        <v>2068</v>
      </c>
      <c r="B1162" s="2">
        <v>45234</v>
      </c>
      <c r="C1162" s="1" t="s">
        <v>2069</v>
      </c>
      <c r="D1162" s="1" t="s">
        <v>33</v>
      </c>
      <c r="E1162" s="1" t="s">
        <v>27</v>
      </c>
      <c r="F1162" s="1" t="s">
        <v>49</v>
      </c>
      <c r="G1162" s="1" t="s">
        <v>42</v>
      </c>
      <c r="H1162" s="1" t="s">
        <v>61</v>
      </c>
      <c r="I1162" s="1" t="s">
        <v>185</v>
      </c>
      <c r="J1162" s="1">
        <v>1</v>
      </c>
      <c r="K1162" s="3">
        <v>4103.8999999999996</v>
      </c>
      <c r="L1162" s="1">
        <v>0</v>
      </c>
      <c r="M1162" s="1" t="s">
        <v>63</v>
      </c>
      <c r="N1162" s="10" t="s">
        <v>23</v>
      </c>
      <c r="Q1162"/>
    </row>
    <row r="1163" spans="1:17" x14ac:dyDescent="0.25">
      <c r="A1163" s="9" t="s">
        <v>2070</v>
      </c>
      <c r="B1163" s="2">
        <v>45530</v>
      </c>
      <c r="C1163" s="1" t="s">
        <v>1284</v>
      </c>
      <c r="D1163" s="1" t="s">
        <v>33</v>
      </c>
      <c r="E1163" s="1" t="s">
        <v>34</v>
      </c>
      <c r="F1163" s="1" t="s">
        <v>60</v>
      </c>
      <c r="G1163" s="1" t="s">
        <v>42</v>
      </c>
      <c r="H1163" s="1" t="s">
        <v>61</v>
      </c>
      <c r="I1163" s="1" t="s">
        <v>204</v>
      </c>
      <c r="J1163" s="1">
        <v>9</v>
      </c>
      <c r="K1163" s="3">
        <v>36576.699999999997</v>
      </c>
      <c r="L1163" s="1">
        <v>0</v>
      </c>
      <c r="M1163" s="1" t="s">
        <v>22</v>
      </c>
      <c r="N1163" s="10" t="s">
        <v>23</v>
      </c>
      <c r="Q1163"/>
    </row>
    <row r="1164" spans="1:17" x14ac:dyDescent="0.25">
      <c r="A1164" s="9" t="s">
        <v>2071</v>
      </c>
      <c r="B1164" s="2">
        <v>45498</v>
      </c>
      <c r="C1164" s="1" t="s">
        <v>878</v>
      </c>
      <c r="D1164" s="1" t="s">
        <v>67</v>
      </c>
      <c r="E1164" s="1" t="s">
        <v>41</v>
      </c>
      <c r="F1164" s="1" t="s">
        <v>49</v>
      </c>
      <c r="G1164" s="1" t="s">
        <v>53</v>
      </c>
      <c r="H1164" s="1" t="s">
        <v>54</v>
      </c>
      <c r="I1164" s="1" t="s">
        <v>437</v>
      </c>
      <c r="J1164" s="1">
        <v>6</v>
      </c>
      <c r="K1164" s="3">
        <v>6805.98</v>
      </c>
      <c r="L1164" s="1">
        <v>10</v>
      </c>
      <c r="M1164" s="1" t="s">
        <v>69</v>
      </c>
      <c r="N1164" s="10" t="s">
        <v>31</v>
      </c>
      <c r="Q1164"/>
    </row>
    <row r="1165" spans="1:17" x14ac:dyDescent="0.25">
      <c r="A1165" s="9" t="s">
        <v>2072</v>
      </c>
      <c r="B1165" s="2">
        <v>45466</v>
      </c>
      <c r="C1165" s="1" t="s">
        <v>1907</v>
      </c>
      <c r="D1165" s="1" t="s">
        <v>67</v>
      </c>
      <c r="E1165" s="1" t="s">
        <v>27</v>
      </c>
      <c r="F1165" s="1" t="s">
        <v>99</v>
      </c>
      <c r="G1165" s="1" t="s">
        <v>83</v>
      </c>
      <c r="H1165" s="1" t="s">
        <v>43</v>
      </c>
      <c r="I1165" s="1" t="s">
        <v>84</v>
      </c>
      <c r="J1165" s="1">
        <v>8</v>
      </c>
      <c r="K1165" s="3">
        <v>25796.400000000001</v>
      </c>
      <c r="L1165" s="1">
        <v>20</v>
      </c>
      <c r="M1165" s="1" t="s">
        <v>36</v>
      </c>
      <c r="N1165" s="10" t="s">
        <v>45</v>
      </c>
      <c r="Q1165"/>
    </row>
    <row r="1166" spans="1:17" x14ac:dyDescent="0.25">
      <c r="A1166" s="9" t="s">
        <v>2073</v>
      </c>
      <c r="B1166" s="2">
        <v>45125</v>
      </c>
      <c r="C1166" s="1" t="s">
        <v>1152</v>
      </c>
      <c r="D1166" s="1" t="s">
        <v>147</v>
      </c>
      <c r="E1166" s="1" t="s">
        <v>72</v>
      </c>
      <c r="F1166" s="1" t="s">
        <v>49</v>
      </c>
      <c r="G1166" s="1" t="s">
        <v>42</v>
      </c>
      <c r="H1166" s="1" t="s">
        <v>43</v>
      </c>
      <c r="I1166" s="1" t="s">
        <v>258</v>
      </c>
      <c r="J1166" s="1">
        <v>2</v>
      </c>
      <c r="K1166" s="3">
        <v>821.72</v>
      </c>
      <c r="L1166" s="1">
        <v>20</v>
      </c>
      <c r="M1166" s="1" t="s">
        <v>56</v>
      </c>
      <c r="N1166" s="10" t="s">
        <v>74</v>
      </c>
      <c r="Q1166"/>
    </row>
    <row r="1167" spans="1:17" x14ac:dyDescent="0.25">
      <c r="A1167" s="9" t="s">
        <v>2074</v>
      </c>
      <c r="B1167" s="2">
        <v>45258</v>
      </c>
      <c r="C1167" s="1" t="s">
        <v>484</v>
      </c>
      <c r="D1167" s="1" t="s">
        <v>26</v>
      </c>
      <c r="E1167" s="1" t="s">
        <v>34</v>
      </c>
      <c r="F1167" s="1" t="s">
        <v>88</v>
      </c>
      <c r="G1167" s="1" t="s">
        <v>19</v>
      </c>
      <c r="H1167" s="1" t="s">
        <v>29</v>
      </c>
      <c r="I1167" s="1" t="s">
        <v>472</v>
      </c>
      <c r="J1167" s="1">
        <v>9</v>
      </c>
      <c r="K1167" s="3">
        <v>20136.060000000001</v>
      </c>
      <c r="L1167" s="1">
        <v>5</v>
      </c>
      <c r="M1167" s="1" t="s">
        <v>93</v>
      </c>
      <c r="N1167" s="10" t="s">
        <v>31</v>
      </c>
      <c r="Q1167"/>
    </row>
    <row r="1168" spans="1:17" x14ac:dyDescent="0.25">
      <c r="A1168" s="9" t="s">
        <v>2075</v>
      </c>
      <c r="B1168" s="2">
        <v>45285</v>
      </c>
      <c r="C1168" s="1" t="s">
        <v>298</v>
      </c>
      <c r="D1168" s="1" t="s">
        <v>71</v>
      </c>
      <c r="E1168" s="1" t="s">
        <v>34</v>
      </c>
      <c r="F1168" s="1" t="s">
        <v>18</v>
      </c>
      <c r="G1168" s="1" t="s">
        <v>42</v>
      </c>
      <c r="H1168" s="1" t="s">
        <v>61</v>
      </c>
      <c r="I1168" s="1" t="s">
        <v>294</v>
      </c>
      <c r="J1168" s="1">
        <v>4</v>
      </c>
      <c r="K1168" s="3">
        <v>12743.11</v>
      </c>
      <c r="L1168" s="1">
        <v>10</v>
      </c>
      <c r="M1168" s="1" t="s">
        <v>22</v>
      </c>
      <c r="N1168" s="10" t="s">
        <v>23</v>
      </c>
      <c r="Q1168"/>
    </row>
    <row r="1169" spans="1:17" x14ac:dyDescent="0.25">
      <c r="A1169" s="9" t="s">
        <v>2076</v>
      </c>
      <c r="B1169" s="2">
        <v>45615</v>
      </c>
      <c r="C1169" s="1" t="s">
        <v>627</v>
      </c>
      <c r="D1169" s="1" t="s">
        <v>52</v>
      </c>
      <c r="E1169" s="1" t="s">
        <v>27</v>
      </c>
      <c r="F1169" s="1" t="s">
        <v>18</v>
      </c>
      <c r="G1169" s="1" t="s">
        <v>53</v>
      </c>
      <c r="H1169" s="1" t="s">
        <v>54</v>
      </c>
      <c r="I1169" s="1" t="s">
        <v>427</v>
      </c>
      <c r="J1169" s="1">
        <v>7</v>
      </c>
      <c r="K1169" s="3">
        <v>7923.86</v>
      </c>
      <c r="L1169" s="1" t="s">
        <v>110</v>
      </c>
      <c r="M1169" s="1" t="s">
        <v>69</v>
      </c>
      <c r="N1169" s="10" t="s">
        <v>45</v>
      </c>
      <c r="Q1169"/>
    </row>
    <row r="1170" spans="1:17" x14ac:dyDescent="0.25">
      <c r="A1170" s="9" t="s">
        <v>2077</v>
      </c>
      <c r="B1170" s="2">
        <v>45550</v>
      </c>
      <c r="C1170" s="1" t="s">
        <v>2078</v>
      </c>
      <c r="D1170" s="1" t="s">
        <v>33</v>
      </c>
      <c r="E1170" s="1" t="s">
        <v>34</v>
      </c>
      <c r="F1170" s="1" t="s">
        <v>49</v>
      </c>
      <c r="G1170" s="1" t="s">
        <v>42</v>
      </c>
      <c r="H1170" s="1" t="s">
        <v>61</v>
      </c>
      <c r="I1170" s="1" t="s">
        <v>529</v>
      </c>
      <c r="J1170" s="1">
        <v>3</v>
      </c>
      <c r="K1170" s="3">
        <v>5364.34</v>
      </c>
      <c r="L1170" s="1" t="s">
        <v>110</v>
      </c>
      <c r="M1170" s="1" t="s">
        <v>36</v>
      </c>
      <c r="N1170" s="10" t="s">
        <v>64</v>
      </c>
      <c r="Q1170"/>
    </row>
    <row r="1171" spans="1:17" x14ac:dyDescent="0.25">
      <c r="A1171" s="9" t="s">
        <v>2079</v>
      </c>
      <c r="B1171" s="2">
        <v>45404</v>
      </c>
      <c r="C1171" s="1" t="s">
        <v>2080</v>
      </c>
      <c r="D1171" s="1" t="s">
        <v>87</v>
      </c>
      <c r="E1171" s="1" t="s">
        <v>27</v>
      </c>
      <c r="F1171" s="1" t="s">
        <v>99</v>
      </c>
      <c r="G1171" s="1" t="s">
        <v>83</v>
      </c>
      <c r="H1171" s="1" t="s">
        <v>43</v>
      </c>
      <c r="I1171" s="1" t="s">
        <v>44</v>
      </c>
      <c r="J1171" s="1">
        <v>7</v>
      </c>
      <c r="K1171" s="3">
        <v>5929.35</v>
      </c>
      <c r="L1171" s="1">
        <v>20</v>
      </c>
      <c r="M1171" s="1" t="s">
        <v>22</v>
      </c>
      <c r="N1171" s="10" t="s">
        <v>64</v>
      </c>
      <c r="Q1171"/>
    </row>
    <row r="1172" spans="1:17" x14ac:dyDescent="0.25">
      <c r="A1172" s="9" t="s">
        <v>2081</v>
      </c>
      <c r="B1172" s="2">
        <v>45280</v>
      </c>
      <c r="C1172" s="1" t="s">
        <v>1914</v>
      </c>
      <c r="D1172" s="1" t="s">
        <v>118</v>
      </c>
      <c r="E1172" s="1" t="s">
        <v>27</v>
      </c>
      <c r="F1172" s="1" t="s">
        <v>49</v>
      </c>
      <c r="G1172" s="1" t="s">
        <v>53</v>
      </c>
      <c r="H1172" s="1" t="s">
        <v>54</v>
      </c>
      <c r="I1172" s="1" t="s">
        <v>109</v>
      </c>
      <c r="J1172" s="1">
        <v>1</v>
      </c>
      <c r="K1172" s="3">
        <v>1950.81</v>
      </c>
      <c r="L1172" s="1">
        <v>0</v>
      </c>
      <c r="M1172" s="1" t="s">
        <v>63</v>
      </c>
      <c r="N1172" s="10" t="s">
        <v>74</v>
      </c>
      <c r="Q1172"/>
    </row>
    <row r="1173" spans="1:17" x14ac:dyDescent="0.25">
      <c r="A1173" s="9" t="s">
        <v>2082</v>
      </c>
      <c r="B1173" s="2">
        <v>45503</v>
      </c>
      <c r="C1173" s="1" t="s">
        <v>134</v>
      </c>
      <c r="D1173" s="1" t="s">
        <v>33</v>
      </c>
      <c r="E1173" s="1" t="s">
        <v>41</v>
      </c>
      <c r="F1173" s="1" t="s">
        <v>49</v>
      </c>
      <c r="G1173" s="1" t="s">
        <v>42</v>
      </c>
      <c r="H1173" s="1" t="s">
        <v>61</v>
      </c>
      <c r="I1173" s="1" t="s">
        <v>1096</v>
      </c>
      <c r="J1173" s="1">
        <v>10</v>
      </c>
      <c r="K1173" s="3">
        <v>33231.040000000001</v>
      </c>
      <c r="L1173" s="1">
        <v>20</v>
      </c>
      <c r="M1173" s="1" t="s">
        <v>93</v>
      </c>
      <c r="N1173" s="10" t="s">
        <v>74</v>
      </c>
      <c r="Q1173"/>
    </row>
    <row r="1174" spans="1:17" x14ac:dyDescent="0.25">
      <c r="A1174" s="9" t="s">
        <v>2083</v>
      </c>
      <c r="B1174" s="2">
        <v>45639</v>
      </c>
      <c r="C1174" s="1" t="s">
        <v>195</v>
      </c>
      <c r="D1174" s="1" t="s">
        <v>192</v>
      </c>
      <c r="E1174" s="1" t="s">
        <v>34</v>
      </c>
      <c r="F1174" s="1" t="s">
        <v>82</v>
      </c>
      <c r="G1174" s="1" t="s">
        <v>19</v>
      </c>
      <c r="H1174" s="1" t="s">
        <v>29</v>
      </c>
      <c r="I1174" s="1" t="s">
        <v>267</v>
      </c>
      <c r="J1174" s="1">
        <v>6</v>
      </c>
      <c r="K1174" s="3">
        <v>3701.54</v>
      </c>
      <c r="L1174" s="1">
        <v>15</v>
      </c>
      <c r="M1174" s="1" t="s">
        <v>22</v>
      </c>
      <c r="N1174" s="10" t="s">
        <v>37</v>
      </c>
      <c r="Q1174"/>
    </row>
    <row r="1175" spans="1:17" x14ac:dyDescent="0.25">
      <c r="A1175" s="9" t="s">
        <v>907</v>
      </c>
      <c r="B1175" s="2">
        <v>44986</v>
      </c>
      <c r="C1175" s="1" t="s">
        <v>2084</v>
      </c>
      <c r="D1175" s="1" t="s">
        <v>87</v>
      </c>
      <c r="E1175" s="1" t="s">
        <v>59</v>
      </c>
      <c r="F1175" s="1" t="s">
        <v>99</v>
      </c>
      <c r="G1175" s="1" t="s">
        <v>19</v>
      </c>
      <c r="H1175" s="1" t="s">
        <v>29</v>
      </c>
      <c r="I1175" s="1" t="s">
        <v>445</v>
      </c>
      <c r="J1175" s="1">
        <v>6</v>
      </c>
      <c r="K1175" s="3">
        <v>24036.01</v>
      </c>
      <c r="L1175" s="1">
        <v>15</v>
      </c>
      <c r="M1175" s="1" t="s">
        <v>56</v>
      </c>
      <c r="N1175" s="10" t="s">
        <v>64</v>
      </c>
      <c r="Q1175"/>
    </row>
    <row r="1176" spans="1:17" x14ac:dyDescent="0.25">
      <c r="A1176" s="9" t="s">
        <v>2085</v>
      </c>
      <c r="B1176" s="2">
        <v>45593</v>
      </c>
      <c r="C1176" s="1" t="s">
        <v>1861</v>
      </c>
      <c r="D1176" s="1" t="s">
        <v>26</v>
      </c>
      <c r="E1176" s="1" t="s">
        <v>59</v>
      </c>
      <c r="F1176" s="1" t="s">
        <v>88</v>
      </c>
      <c r="G1176" s="1" t="s">
        <v>83</v>
      </c>
      <c r="H1176" s="1" t="s">
        <v>43</v>
      </c>
      <c r="I1176" s="1" t="s">
        <v>154</v>
      </c>
      <c r="J1176" s="1">
        <v>7</v>
      </c>
      <c r="K1176" s="3">
        <v>33504.769999999997</v>
      </c>
      <c r="L1176" s="1" t="s">
        <v>110</v>
      </c>
      <c r="M1176" s="1" t="s">
        <v>36</v>
      </c>
      <c r="N1176" s="10" t="s">
        <v>64</v>
      </c>
      <c r="Q1176"/>
    </row>
    <row r="1177" spans="1:17" x14ac:dyDescent="0.25">
      <c r="A1177" s="9" t="s">
        <v>2086</v>
      </c>
      <c r="B1177" s="2">
        <v>45457</v>
      </c>
      <c r="C1177" s="1" t="s">
        <v>1672</v>
      </c>
      <c r="D1177" s="1" t="s">
        <v>87</v>
      </c>
      <c r="E1177" s="1" t="s">
        <v>59</v>
      </c>
      <c r="F1177" s="1" t="s">
        <v>60</v>
      </c>
      <c r="G1177" s="1" t="s">
        <v>19</v>
      </c>
      <c r="H1177" s="1" t="s">
        <v>29</v>
      </c>
      <c r="I1177" s="1" t="s">
        <v>885</v>
      </c>
      <c r="J1177" s="1">
        <v>2</v>
      </c>
      <c r="K1177" s="3">
        <v>5045.25</v>
      </c>
      <c r="L1177" s="1">
        <v>0</v>
      </c>
      <c r="M1177" s="1" t="s">
        <v>63</v>
      </c>
      <c r="N1177" s="10" t="s">
        <v>31</v>
      </c>
      <c r="Q1177"/>
    </row>
    <row r="1178" spans="1:17" x14ac:dyDescent="0.25">
      <c r="A1178" s="9" t="s">
        <v>2087</v>
      </c>
      <c r="B1178" s="2">
        <v>45598</v>
      </c>
      <c r="C1178" s="1" t="s">
        <v>225</v>
      </c>
      <c r="D1178" s="1" t="s">
        <v>67</v>
      </c>
      <c r="E1178" s="1" t="s">
        <v>27</v>
      </c>
      <c r="F1178" s="1" t="s">
        <v>28</v>
      </c>
      <c r="G1178" s="1" t="s">
        <v>42</v>
      </c>
      <c r="H1178" s="1" t="s">
        <v>61</v>
      </c>
      <c r="I1178" s="1" t="s">
        <v>68</v>
      </c>
      <c r="J1178" s="1">
        <v>10</v>
      </c>
      <c r="K1178" s="3">
        <v>11605.05</v>
      </c>
      <c r="L1178" s="1" t="s">
        <v>110</v>
      </c>
      <c r="M1178" s="1" t="s">
        <v>93</v>
      </c>
      <c r="N1178" s="10" t="s">
        <v>37</v>
      </c>
      <c r="Q1178"/>
    </row>
    <row r="1179" spans="1:17" x14ac:dyDescent="0.25">
      <c r="A1179" s="9" t="s">
        <v>2089</v>
      </c>
      <c r="B1179" s="2">
        <v>45541</v>
      </c>
      <c r="C1179" s="1" t="s">
        <v>1358</v>
      </c>
      <c r="D1179" s="1" t="s">
        <v>40</v>
      </c>
      <c r="E1179" s="1" t="s">
        <v>41</v>
      </c>
      <c r="F1179" s="1" t="s">
        <v>18</v>
      </c>
      <c r="G1179" s="1" t="s">
        <v>19</v>
      </c>
      <c r="H1179" s="1" t="s">
        <v>20</v>
      </c>
      <c r="I1179" s="1" t="s">
        <v>788</v>
      </c>
      <c r="J1179" s="1">
        <v>5</v>
      </c>
      <c r="K1179" s="3">
        <v>21108.9</v>
      </c>
      <c r="L1179" s="1">
        <v>0</v>
      </c>
      <c r="M1179" s="1" t="s">
        <v>36</v>
      </c>
      <c r="N1179" s="10" t="s">
        <v>23</v>
      </c>
      <c r="Q1179"/>
    </row>
    <row r="1180" spans="1:17" x14ac:dyDescent="0.25">
      <c r="A1180" s="9" t="s">
        <v>2090</v>
      </c>
      <c r="B1180" s="2">
        <v>45215</v>
      </c>
      <c r="C1180" s="1" t="s">
        <v>1245</v>
      </c>
      <c r="D1180" s="1" t="s">
        <v>71</v>
      </c>
      <c r="E1180" s="1" t="s">
        <v>17</v>
      </c>
      <c r="F1180" s="1" t="s">
        <v>28</v>
      </c>
      <c r="G1180" s="1" t="s">
        <v>42</v>
      </c>
      <c r="H1180" s="1" t="s">
        <v>43</v>
      </c>
      <c r="I1180" s="1" t="s">
        <v>44</v>
      </c>
      <c r="J1180" s="1">
        <v>5</v>
      </c>
      <c r="K1180" s="3">
        <v>19431.34</v>
      </c>
      <c r="L1180" s="1">
        <v>10</v>
      </c>
      <c r="M1180" s="1" t="s">
        <v>22</v>
      </c>
      <c r="N1180" s="10" t="s">
        <v>37</v>
      </c>
      <c r="Q1180"/>
    </row>
    <row r="1181" spans="1:17" x14ac:dyDescent="0.25">
      <c r="A1181" s="9" t="s">
        <v>2091</v>
      </c>
      <c r="B1181" s="2">
        <v>45624</v>
      </c>
      <c r="C1181" s="1" t="s">
        <v>412</v>
      </c>
      <c r="D1181" s="1" t="s">
        <v>16</v>
      </c>
      <c r="E1181" s="1" t="s">
        <v>59</v>
      </c>
      <c r="F1181" s="1" t="s">
        <v>82</v>
      </c>
      <c r="G1181" s="1" t="s">
        <v>19</v>
      </c>
      <c r="H1181" s="1" t="s">
        <v>29</v>
      </c>
      <c r="I1181" s="1" t="s">
        <v>370</v>
      </c>
      <c r="J1181" s="1">
        <v>2</v>
      </c>
      <c r="K1181" s="3">
        <v>4002.12</v>
      </c>
      <c r="L1181" s="1">
        <v>10</v>
      </c>
      <c r="M1181" s="1" t="s">
        <v>63</v>
      </c>
      <c r="N1181" s="10" t="s">
        <v>31</v>
      </c>
      <c r="Q1181"/>
    </row>
    <row r="1182" spans="1:17" x14ac:dyDescent="0.25">
      <c r="A1182" s="9" t="s">
        <v>2092</v>
      </c>
      <c r="B1182" s="2">
        <v>45565</v>
      </c>
      <c r="C1182" s="1" t="s">
        <v>499</v>
      </c>
      <c r="D1182" s="1" t="s">
        <v>87</v>
      </c>
      <c r="E1182" s="1" t="s">
        <v>72</v>
      </c>
      <c r="F1182" s="1" t="s">
        <v>99</v>
      </c>
      <c r="G1182" s="1" t="s">
        <v>53</v>
      </c>
      <c r="H1182" s="1" t="s">
        <v>54</v>
      </c>
      <c r="I1182" s="1" t="s">
        <v>427</v>
      </c>
      <c r="J1182" s="1">
        <v>6</v>
      </c>
      <c r="K1182" s="3">
        <v>7401.7</v>
      </c>
      <c r="L1182" s="1">
        <v>20</v>
      </c>
      <c r="M1182" s="1" t="s">
        <v>36</v>
      </c>
      <c r="N1182" s="10" t="s">
        <v>23</v>
      </c>
      <c r="Q1182"/>
    </row>
    <row r="1183" spans="1:17" x14ac:dyDescent="0.25">
      <c r="A1183" s="9" t="s">
        <v>2093</v>
      </c>
      <c r="B1183" s="2">
        <v>45113</v>
      </c>
      <c r="C1183" s="1" t="s">
        <v>849</v>
      </c>
      <c r="D1183" s="1" t="s">
        <v>26</v>
      </c>
      <c r="E1183" s="1" t="s">
        <v>27</v>
      </c>
      <c r="F1183" s="1" t="s">
        <v>60</v>
      </c>
      <c r="G1183" s="1" t="s">
        <v>19</v>
      </c>
      <c r="H1183" s="1" t="s">
        <v>29</v>
      </c>
      <c r="I1183" s="1" t="s">
        <v>374</v>
      </c>
      <c r="J1183" s="1">
        <v>7</v>
      </c>
      <c r="K1183" s="3">
        <v>27627.33</v>
      </c>
      <c r="L1183" s="1">
        <v>10</v>
      </c>
      <c r="M1183" s="1" t="s">
        <v>69</v>
      </c>
      <c r="N1183" s="10" t="s">
        <v>31</v>
      </c>
      <c r="Q1183"/>
    </row>
    <row r="1184" spans="1:17" x14ac:dyDescent="0.25">
      <c r="A1184" s="9" t="s">
        <v>2094</v>
      </c>
      <c r="B1184" s="2">
        <v>44968</v>
      </c>
      <c r="C1184" s="1" t="s">
        <v>1711</v>
      </c>
      <c r="D1184" s="1" t="s">
        <v>147</v>
      </c>
      <c r="E1184" s="1" t="s">
        <v>34</v>
      </c>
      <c r="F1184" s="1" t="s">
        <v>28</v>
      </c>
      <c r="G1184" s="1" t="s">
        <v>42</v>
      </c>
      <c r="H1184" s="1" t="s">
        <v>61</v>
      </c>
      <c r="I1184" s="1" t="s">
        <v>234</v>
      </c>
      <c r="J1184" s="1">
        <v>3</v>
      </c>
      <c r="K1184" s="3">
        <v>3466.76</v>
      </c>
      <c r="L1184" s="1">
        <v>15</v>
      </c>
      <c r="M1184" s="1" t="s">
        <v>22</v>
      </c>
      <c r="N1184" s="10" t="s">
        <v>64</v>
      </c>
      <c r="Q1184"/>
    </row>
    <row r="1185" spans="1:17" x14ac:dyDescent="0.25">
      <c r="A1185" s="9" t="s">
        <v>2095</v>
      </c>
      <c r="B1185" s="2">
        <v>45178</v>
      </c>
      <c r="C1185" s="1" t="s">
        <v>1694</v>
      </c>
      <c r="D1185" s="1" t="s">
        <v>48</v>
      </c>
      <c r="E1185" s="1" t="s">
        <v>34</v>
      </c>
      <c r="F1185" s="1" t="s">
        <v>28</v>
      </c>
      <c r="G1185" s="1" t="s">
        <v>19</v>
      </c>
      <c r="H1185" s="1" t="s">
        <v>20</v>
      </c>
      <c r="I1185" s="1" t="s">
        <v>391</v>
      </c>
      <c r="J1185" s="1">
        <v>8</v>
      </c>
      <c r="K1185" s="3">
        <v>38659.699999999997</v>
      </c>
      <c r="L1185" s="1">
        <v>0</v>
      </c>
      <c r="M1185" s="1" t="s">
        <v>93</v>
      </c>
      <c r="N1185" s="10" t="s">
        <v>45</v>
      </c>
      <c r="Q1185"/>
    </row>
    <row r="1186" spans="1:17" x14ac:dyDescent="0.25">
      <c r="A1186" s="9" t="s">
        <v>2096</v>
      </c>
      <c r="B1186" s="2">
        <v>44971</v>
      </c>
      <c r="C1186" s="1" t="s">
        <v>1245</v>
      </c>
      <c r="D1186" s="1" t="s">
        <v>360</v>
      </c>
      <c r="E1186" s="1" t="s">
        <v>72</v>
      </c>
      <c r="F1186" s="1" t="s">
        <v>99</v>
      </c>
      <c r="G1186" s="1" t="s">
        <v>53</v>
      </c>
      <c r="H1186" s="1" t="s">
        <v>54</v>
      </c>
      <c r="I1186" s="1" t="s">
        <v>558</v>
      </c>
      <c r="J1186" s="1">
        <v>2</v>
      </c>
      <c r="K1186" s="3">
        <v>9628.65</v>
      </c>
      <c r="L1186" s="1">
        <v>0</v>
      </c>
      <c r="M1186" s="1" t="s">
        <v>69</v>
      </c>
      <c r="N1186" s="10" t="s">
        <v>23</v>
      </c>
      <c r="Q1186"/>
    </row>
    <row r="1187" spans="1:17" x14ac:dyDescent="0.25">
      <c r="A1187" s="9" t="s">
        <v>2097</v>
      </c>
      <c r="B1187" s="2">
        <v>45277</v>
      </c>
      <c r="C1187" s="1" t="s">
        <v>1101</v>
      </c>
      <c r="D1187" s="1" t="s">
        <v>87</v>
      </c>
      <c r="E1187" s="1" t="s">
        <v>17</v>
      </c>
      <c r="F1187" s="1" t="s">
        <v>49</v>
      </c>
      <c r="G1187" s="1" t="s">
        <v>83</v>
      </c>
      <c r="H1187" s="1" t="s">
        <v>43</v>
      </c>
      <c r="I1187" s="1" t="s">
        <v>50</v>
      </c>
      <c r="J1187" s="1">
        <v>4</v>
      </c>
      <c r="K1187" s="3">
        <v>5750.39</v>
      </c>
      <c r="L1187" s="1">
        <v>10</v>
      </c>
      <c r="M1187" s="1" t="s">
        <v>69</v>
      </c>
      <c r="N1187" s="10" t="s">
        <v>37</v>
      </c>
      <c r="Q1187"/>
    </row>
    <row r="1188" spans="1:17" x14ac:dyDescent="0.25">
      <c r="A1188" s="9" t="s">
        <v>2098</v>
      </c>
      <c r="B1188" s="2">
        <v>45567</v>
      </c>
      <c r="C1188" s="1" t="s">
        <v>2099</v>
      </c>
      <c r="D1188" s="1" t="s">
        <v>52</v>
      </c>
      <c r="E1188" s="1" t="s">
        <v>59</v>
      </c>
      <c r="F1188" s="1" t="s">
        <v>99</v>
      </c>
      <c r="G1188" s="1" t="s">
        <v>42</v>
      </c>
      <c r="H1188" s="1" t="s">
        <v>43</v>
      </c>
      <c r="I1188" s="1" t="s">
        <v>323</v>
      </c>
      <c r="J1188" s="1">
        <v>3</v>
      </c>
      <c r="K1188" s="3">
        <v>1320.86</v>
      </c>
      <c r="L1188" s="1">
        <v>5</v>
      </c>
      <c r="M1188" s="1" t="s">
        <v>69</v>
      </c>
      <c r="N1188" s="10" t="s">
        <v>31</v>
      </c>
      <c r="Q1188"/>
    </row>
    <row r="1189" spans="1:17" x14ac:dyDescent="0.25">
      <c r="A1189" s="9" t="s">
        <v>2100</v>
      </c>
      <c r="B1189" s="2">
        <v>45569</v>
      </c>
      <c r="C1189" s="1" t="s">
        <v>2101</v>
      </c>
      <c r="D1189" s="1" t="s">
        <v>147</v>
      </c>
      <c r="E1189" s="1" t="s">
        <v>59</v>
      </c>
      <c r="F1189" s="1" t="s">
        <v>88</v>
      </c>
      <c r="G1189" s="1" t="s">
        <v>42</v>
      </c>
      <c r="H1189" s="1" t="s">
        <v>61</v>
      </c>
      <c r="I1189" s="1" t="s">
        <v>402</v>
      </c>
      <c r="J1189" s="1">
        <v>4</v>
      </c>
      <c r="K1189" s="3">
        <v>18670.09</v>
      </c>
      <c r="L1189" s="1">
        <v>20</v>
      </c>
      <c r="M1189" s="1" t="s">
        <v>22</v>
      </c>
      <c r="N1189" s="10" t="s">
        <v>23</v>
      </c>
      <c r="Q1189"/>
    </row>
    <row r="1190" spans="1:17" x14ac:dyDescent="0.25">
      <c r="A1190" s="9" t="s">
        <v>2102</v>
      </c>
      <c r="B1190" s="2">
        <v>45183</v>
      </c>
      <c r="C1190" s="1" t="s">
        <v>282</v>
      </c>
      <c r="D1190" s="1" t="s">
        <v>33</v>
      </c>
      <c r="E1190" s="1" t="s">
        <v>17</v>
      </c>
      <c r="F1190" s="1" t="s">
        <v>82</v>
      </c>
      <c r="G1190" s="1" t="s">
        <v>42</v>
      </c>
      <c r="H1190" s="1" t="s">
        <v>43</v>
      </c>
      <c r="I1190" s="1" t="s">
        <v>394</v>
      </c>
      <c r="J1190" s="1">
        <v>7</v>
      </c>
      <c r="K1190" s="3">
        <v>25461.37</v>
      </c>
      <c r="L1190" s="1">
        <v>0</v>
      </c>
      <c r="M1190" s="1" t="s">
        <v>22</v>
      </c>
      <c r="N1190" s="10" t="s">
        <v>74</v>
      </c>
      <c r="Q1190"/>
    </row>
    <row r="1191" spans="1:17" x14ac:dyDescent="0.25">
      <c r="A1191" s="9" t="s">
        <v>2103</v>
      </c>
      <c r="B1191" s="2">
        <v>45221</v>
      </c>
      <c r="C1191" s="1" t="s">
        <v>964</v>
      </c>
      <c r="D1191" s="1" t="s">
        <v>81</v>
      </c>
      <c r="E1191" s="1" t="s">
        <v>72</v>
      </c>
      <c r="F1191" s="1" t="s">
        <v>99</v>
      </c>
      <c r="G1191" s="1" t="s">
        <v>53</v>
      </c>
      <c r="H1191" s="1" t="s">
        <v>54</v>
      </c>
      <c r="I1191" s="1" t="s">
        <v>639</v>
      </c>
      <c r="J1191" s="1">
        <v>8</v>
      </c>
      <c r="K1191" s="3">
        <v>38537.58</v>
      </c>
      <c r="L1191" s="1">
        <v>0</v>
      </c>
      <c r="M1191" s="1" t="s">
        <v>36</v>
      </c>
      <c r="N1191" s="10" t="s">
        <v>64</v>
      </c>
      <c r="Q1191"/>
    </row>
    <row r="1192" spans="1:17" x14ac:dyDescent="0.25">
      <c r="A1192" s="9" t="s">
        <v>2104</v>
      </c>
      <c r="B1192" s="2">
        <v>44928</v>
      </c>
      <c r="C1192" s="1" t="s">
        <v>1388</v>
      </c>
      <c r="D1192" s="1" t="s">
        <v>81</v>
      </c>
      <c r="E1192" s="1" t="s">
        <v>34</v>
      </c>
      <c r="F1192" s="1" t="s">
        <v>28</v>
      </c>
      <c r="G1192" s="1" t="s">
        <v>42</v>
      </c>
      <c r="H1192" s="1" t="s">
        <v>43</v>
      </c>
      <c r="I1192" s="1" t="s">
        <v>154</v>
      </c>
      <c r="J1192" s="1">
        <v>5</v>
      </c>
      <c r="K1192" s="3">
        <v>7701.09</v>
      </c>
      <c r="L1192" s="1">
        <v>15</v>
      </c>
      <c r="M1192" s="1" t="s">
        <v>69</v>
      </c>
      <c r="N1192" s="10" t="s">
        <v>23</v>
      </c>
      <c r="Q1192"/>
    </row>
    <row r="1193" spans="1:17" x14ac:dyDescent="0.25">
      <c r="A1193" s="9" t="s">
        <v>2105</v>
      </c>
      <c r="B1193" s="2">
        <v>45492</v>
      </c>
      <c r="C1193" s="1" t="s">
        <v>858</v>
      </c>
      <c r="D1193" s="1" t="s">
        <v>16</v>
      </c>
      <c r="E1193" s="1" t="s">
        <v>27</v>
      </c>
      <c r="F1193" s="1" t="s">
        <v>28</v>
      </c>
      <c r="G1193" s="1" t="s">
        <v>42</v>
      </c>
      <c r="H1193" s="1" t="s">
        <v>43</v>
      </c>
      <c r="I1193" s="1" t="s">
        <v>704</v>
      </c>
      <c r="J1193" s="1">
        <v>7</v>
      </c>
      <c r="K1193" s="3">
        <v>16516.75</v>
      </c>
      <c r="L1193" s="1" t="s">
        <v>110</v>
      </c>
      <c r="M1193" s="1" t="s">
        <v>69</v>
      </c>
      <c r="N1193" s="10" t="s">
        <v>31</v>
      </c>
      <c r="Q1193"/>
    </row>
    <row r="1194" spans="1:17" x14ac:dyDescent="0.25">
      <c r="A1194" s="9" t="s">
        <v>2106</v>
      </c>
      <c r="B1194" s="2">
        <v>45630</v>
      </c>
      <c r="C1194" s="1" t="s">
        <v>1279</v>
      </c>
      <c r="D1194" s="1" t="s">
        <v>87</v>
      </c>
      <c r="E1194" s="1" t="s">
        <v>17</v>
      </c>
      <c r="F1194" s="1" t="s">
        <v>99</v>
      </c>
      <c r="G1194" s="1" t="s">
        <v>42</v>
      </c>
      <c r="H1194" s="1" t="s">
        <v>43</v>
      </c>
      <c r="I1194" s="1" t="s">
        <v>288</v>
      </c>
      <c r="J1194" s="1">
        <v>5</v>
      </c>
      <c r="K1194" s="3">
        <v>13282</v>
      </c>
      <c r="L1194" s="1">
        <v>0</v>
      </c>
      <c r="M1194" s="1" t="s">
        <v>56</v>
      </c>
      <c r="N1194" s="10" t="s">
        <v>74</v>
      </c>
      <c r="Q1194"/>
    </row>
    <row r="1195" spans="1:17" x14ac:dyDescent="0.25">
      <c r="A1195" s="9" t="s">
        <v>2107</v>
      </c>
      <c r="B1195" s="2">
        <v>45568</v>
      </c>
      <c r="C1195" s="1" t="s">
        <v>2108</v>
      </c>
      <c r="D1195" s="1" t="s">
        <v>71</v>
      </c>
      <c r="E1195" s="1" t="s">
        <v>17</v>
      </c>
      <c r="F1195" s="1" t="s">
        <v>99</v>
      </c>
      <c r="G1195" s="1" t="s">
        <v>42</v>
      </c>
      <c r="H1195" s="1" t="s">
        <v>43</v>
      </c>
      <c r="I1195" s="1" t="s">
        <v>566</v>
      </c>
      <c r="J1195" s="1">
        <v>1</v>
      </c>
      <c r="K1195" s="3">
        <v>3538.26</v>
      </c>
      <c r="L1195" s="1" t="s">
        <v>110</v>
      </c>
      <c r="M1195" s="1" t="s">
        <v>36</v>
      </c>
      <c r="N1195" s="10" t="s">
        <v>45</v>
      </c>
      <c r="Q1195"/>
    </row>
    <row r="1196" spans="1:17" x14ac:dyDescent="0.25">
      <c r="A1196" s="9" t="s">
        <v>2109</v>
      </c>
      <c r="B1196" s="2">
        <v>45364</v>
      </c>
      <c r="C1196" s="1" t="s">
        <v>1577</v>
      </c>
      <c r="D1196" s="1" t="s">
        <v>67</v>
      </c>
      <c r="E1196" s="1" t="s">
        <v>34</v>
      </c>
      <c r="F1196" s="1" t="s">
        <v>49</v>
      </c>
      <c r="G1196" s="1" t="s">
        <v>42</v>
      </c>
      <c r="H1196" s="1" t="s">
        <v>43</v>
      </c>
      <c r="I1196" s="1" t="s">
        <v>365</v>
      </c>
      <c r="J1196" s="1">
        <v>2</v>
      </c>
      <c r="K1196" s="3">
        <v>3533.05</v>
      </c>
      <c r="L1196" s="1">
        <v>10</v>
      </c>
      <c r="M1196" s="1" t="s">
        <v>56</v>
      </c>
      <c r="N1196" s="10" t="s">
        <v>74</v>
      </c>
      <c r="Q1196"/>
    </row>
    <row r="1197" spans="1:17" x14ac:dyDescent="0.25">
      <c r="A1197" s="9" t="s">
        <v>2110</v>
      </c>
      <c r="B1197" s="2">
        <v>45209</v>
      </c>
      <c r="C1197" s="1" t="s">
        <v>933</v>
      </c>
      <c r="D1197" s="1" t="s">
        <v>16</v>
      </c>
      <c r="E1197" s="1" t="s">
        <v>34</v>
      </c>
      <c r="F1197" s="1" t="s">
        <v>28</v>
      </c>
      <c r="G1197" s="1" t="s">
        <v>83</v>
      </c>
      <c r="H1197" s="1" t="s">
        <v>43</v>
      </c>
      <c r="I1197" s="1" t="s">
        <v>244</v>
      </c>
      <c r="J1197" s="1">
        <v>2</v>
      </c>
      <c r="K1197" s="3">
        <v>3858.38</v>
      </c>
      <c r="L1197" s="1">
        <v>10</v>
      </c>
      <c r="M1197" s="1" t="s">
        <v>56</v>
      </c>
      <c r="N1197" s="10" t="s">
        <v>23</v>
      </c>
      <c r="Q1197"/>
    </row>
    <row r="1198" spans="1:17" x14ac:dyDescent="0.25">
      <c r="A1198" s="9" t="s">
        <v>2111</v>
      </c>
      <c r="B1198" s="2">
        <v>45133</v>
      </c>
      <c r="C1198" s="1" t="s">
        <v>1647</v>
      </c>
      <c r="D1198" s="1" t="s">
        <v>87</v>
      </c>
      <c r="E1198" s="1" t="s">
        <v>27</v>
      </c>
      <c r="F1198" s="1" t="s">
        <v>60</v>
      </c>
      <c r="G1198" s="1" t="s">
        <v>83</v>
      </c>
      <c r="H1198" s="1" t="s">
        <v>43</v>
      </c>
      <c r="I1198" s="1" t="s">
        <v>323</v>
      </c>
      <c r="J1198" s="1">
        <v>2</v>
      </c>
      <c r="K1198" s="3">
        <v>6397.99</v>
      </c>
      <c r="L1198" s="1">
        <v>10</v>
      </c>
      <c r="M1198" s="1" t="s">
        <v>22</v>
      </c>
      <c r="N1198" s="10" t="s">
        <v>31</v>
      </c>
      <c r="Q1198"/>
    </row>
    <row r="1199" spans="1:17" x14ac:dyDescent="0.25">
      <c r="A1199" s="9" t="s">
        <v>2112</v>
      </c>
      <c r="B1199" s="2">
        <v>45393</v>
      </c>
      <c r="C1199" s="1" t="s">
        <v>772</v>
      </c>
      <c r="D1199" s="1" t="s">
        <v>87</v>
      </c>
      <c r="E1199" s="1" t="s">
        <v>17</v>
      </c>
      <c r="F1199" s="1" t="s">
        <v>82</v>
      </c>
      <c r="G1199" s="1" t="s">
        <v>42</v>
      </c>
      <c r="H1199" s="1" t="s">
        <v>43</v>
      </c>
      <c r="I1199" s="1" t="s">
        <v>258</v>
      </c>
      <c r="J1199" s="1">
        <v>2</v>
      </c>
      <c r="K1199" s="3">
        <v>3969.39</v>
      </c>
      <c r="L1199" s="1">
        <v>5</v>
      </c>
      <c r="M1199" s="1" t="s">
        <v>69</v>
      </c>
      <c r="N1199" s="10" t="s">
        <v>23</v>
      </c>
      <c r="Q1199"/>
    </row>
    <row r="1200" spans="1:17" x14ac:dyDescent="0.25">
      <c r="A1200" s="9" t="s">
        <v>2113</v>
      </c>
      <c r="B1200" s="2">
        <v>45538</v>
      </c>
      <c r="C1200" s="1" t="s">
        <v>2114</v>
      </c>
      <c r="D1200" s="1" t="s">
        <v>26</v>
      </c>
      <c r="E1200" s="1" t="s">
        <v>41</v>
      </c>
      <c r="F1200" s="1" t="s">
        <v>82</v>
      </c>
      <c r="G1200" s="1" t="s">
        <v>83</v>
      </c>
      <c r="H1200" s="1" t="s">
        <v>43</v>
      </c>
      <c r="I1200" s="1" t="s">
        <v>704</v>
      </c>
      <c r="J1200" s="1">
        <v>1</v>
      </c>
      <c r="K1200" s="3">
        <v>3593.69</v>
      </c>
      <c r="L1200" s="1">
        <v>15</v>
      </c>
      <c r="M1200" s="1" t="s">
        <v>69</v>
      </c>
      <c r="N1200" s="10" t="s">
        <v>23</v>
      </c>
      <c r="Q1200"/>
    </row>
    <row r="1201" spans="1:17" x14ac:dyDescent="0.25">
      <c r="A1201" s="9" t="s">
        <v>2115</v>
      </c>
      <c r="B1201" s="2">
        <v>45026</v>
      </c>
      <c r="C1201" s="1" t="s">
        <v>1580</v>
      </c>
      <c r="D1201" s="1" t="s">
        <v>52</v>
      </c>
      <c r="E1201" s="1" t="s">
        <v>59</v>
      </c>
      <c r="F1201" s="1" t="s">
        <v>49</v>
      </c>
      <c r="G1201" s="1" t="s">
        <v>19</v>
      </c>
      <c r="H1201" s="1" t="s">
        <v>29</v>
      </c>
      <c r="I1201" s="1" t="s">
        <v>30</v>
      </c>
      <c r="J1201" s="1">
        <v>4</v>
      </c>
      <c r="K1201" s="3">
        <v>6125.62</v>
      </c>
      <c r="L1201" s="1">
        <v>5</v>
      </c>
      <c r="M1201" s="1" t="s">
        <v>22</v>
      </c>
      <c r="N1201" s="10" t="s">
        <v>23</v>
      </c>
      <c r="Q1201"/>
    </row>
    <row r="1202" spans="1:17" x14ac:dyDescent="0.25">
      <c r="A1202" s="9" t="s">
        <v>2116</v>
      </c>
      <c r="B1202" s="2">
        <v>45142</v>
      </c>
      <c r="C1202" s="1" t="s">
        <v>1157</v>
      </c>
      <c r="D1202" s="1" t="s">
        <v>147</v>
      </c>
      <c r="E1202" s="1" t="s">
        <v>41</v>
      </c>
      <c r="F1202" s="1" t="s">
        <v>88</v>
      </c>
      <c r="G1202" s="1" t="s">
        <v>19</v>
      </c>
      <c r="H1202" s="1" t="s">
        <v>20</v>
      </c>
      <c r="I1202" s="1" t="s">
        <v>801</v>
      </c>
      <c r="J1202" s="1">
        <v>2</v>
      </c>
      <c r="K1202" s="3">
        <v>2836.03</v>
      </c>
      <c r="L1202" s="1">
        <v>5</v>
      </c>
      <c r="M1202" s="1" t="s">
        <v>63</v>
      </c>
      <c r="N1202" s="10" t="s">
        <v>45</v>
      </c>
      <c r="Q1202"/>
    </row>
    <row r="1203" spans="1:17" x14ac:dyDescent="0.25">
      <c r="A1203" s="9" t="s">
        <v>2117</v>
      </c>
      <c r="B1203" s="2">
        <v>45084</v>
      </c>
      <c r="C1203" s="1" t="s">
        <v>1697</v>
      </c>
      <c r="D1203" s="1" t="s">
        <v>87</v>
      </c>
      <c r="E1203" s="1" t="s">
        <v>72</v>
      </c>
      <c r="F1203" s="1" t="s">
        <v>28</v>
      </c>
      <c r="G1203" s="1" t="s">
        <v>42</v>
      </c>
      <c r="H1203" s="1" t="s">
        <v>61</v>
      </c>
      <c r="I1203" s="1" t="s">
        <v>1020</v>
      </c>
      <c r="J1203" s="1">
        <v>10</v>
      </c>
      <c r="K1203" s="3">
        <v>4643.0600000000004</v>
      </c>
      <c r="L1203" s="1">
        <v>5</v>
      </c>
      <c r="M1203" s="1" t="s">
        <v>69</v>
      </c>
      <c r="N1203" s="10" t="s">
        <v>23</v>
      </c>
      <c r="Q1203"/>
    </row>
    <row r="1204" spans="1:17" x14ac:dyDescent="0.25">
      <c r="A1204" s="9" t="s">
        <v>2118</v>
      </c>
      <c r="B1204" s="2">
        <v>45656</v>
      </c>
      <c r="C1204" s="1" t="s">
        <v>2119</v>
      </c>
      <c r="D1204" s="1" t="s">
        <v>81</v>
      </c>
      <c r="E1204" s="1" t="s">
        <v>17</v>
      </c>
      <c r="F1204" s="1" t="s">
        <v>82</v>
      </c>
      <c r="G1204" s="1" t="s">
        <v>42</v>
      </c>
      <c r="H1204" s="1" t="s">
        <v>43</v>
      </c>
      <c r="I1204" s="1" t="s">
        <v>288</v>
      </c>
      <c r="J1204" s="1">
        <v>1</v>
      </c>
      <c r="K1204" s="3">
        <v>705.24</v>
      </c>
      <c r="L1204" s="1" t="s">
        <v>110</v>
      </c>
      <c r="M1204" s="1" t="s">
        <v>56</v>
      </c>
      <c r="N1204" s="10" t="s">
        <v>45</v>
      </c>
      <c r="Q1204"/>
    </row>
    <row r="1205" spans="1:17" x14ac:dyDescent="0.25">
      <c r="A1205" s="9" t="s">
        <v>2120</v>
      </c>
      <c r="B1205" s="2">
        <v>45442</v>
      </c>
      <c r="C1205" s="1" t="s">
        <v>759</v>
      </c>
      <c r="D1205" s="1" t="s">
        <v>147</v>
      </c>
      <c r="E1205" s="1" t="s">
        <v>34</v>
      </c>
      <c r="F1205" s="1" t="s">
        <v>18</v>
      </c>
      <c r="G1205" s="1" t="s">
        <v>83</v>
      </c>
      <c r="H1205" s="1" t="s">
        <v>43</v>
      </c>
      <c r="I1205" s="1" t="s">
        <v>329</v>
      </c>
      <c r="J1205" s="1">
        <v>8</v>
      </c>
      <c r="K1205" s="3">
        <v>23053.19</v>
      </c>
      <c r="L1205" s="1">
        <v>5</v>
      </c>
      <c r="M1205" s="1" t="s">
        <v>36</v>
      </c>
      <c r="N1205" s="10" t="s">
        <v>64</v>
      </c>
      <c r="Q1205"/>
    </row>
    <row r="1206" spans="1:17" x14ac:dyDescent="0.25">
      <c r="A1206" s="9" t="s">
        <v>2121</v>
      </c>
      <c r="B1206" s="2">
        <v>44987</v>
      </c>
      <c r="C1206" s="1" t="s">
        <v>2122</v>
      </c>
      <c r="D1206" s="1" t="s">
        <v>26</v>
      </c>
      <c r="E1206" s="1" t="s">
        <v>27</v>
      </c>
      <c r="F1206" s="1" t="s">
        <v>28</v>
      </c>
      <c r="G1206" s="1" t="s">
        <v>42</v>
      </c>
      <c r="H1206" s="1" t="s">
        <v>43</v>
      </c>
      <c r="I1206" s="1" t="s">
        <v>144</v>
      </c>
      <c r="J1206" s="1">
        <v>4</v>
      </c>
      <c r="K1206" s="3">
        <v>10834.71</v>
      </c>
      <c r="L1206" s="1">
        <v>20</v>
      </c>
      <c r="M1206" s="1" t="s">
        <v>56</v>
      </c>
      <c r="N1206" s="10" t="s">
        <v>64</v>
      </c>
      <c r="Q1206"/>
    </row>
    <row r="1207" spans="1:17" x14ac:dyDescent="0.25">
      <c r="A1207" s="9" t="s">
        <v>2123</v>
      </c>
      <c r="B1207" s="2">
        <v>45289</v>
      </c>
      <c r="C1207" s="1" t="s">
        <v>2124</v>
      </c>
      <c r="D1207" s="1" t="s">
        <v>16</v>
      </c>
      <c r="E1207" s="1" t="s">
        <v>59</v>
      </c>
      <c r="F1207" s="1" t="s">
        <v>60</v>
      </c>
      <c r="G1207" s="1" t="s">
        <v>42</v>
      </c>
      <c r="H1207" s="1" t="s">
        <v>43</v>
      </c>
      <c r="I1207" s="1" t="s">
        <v>348</v>
      </c>
      <c r="J1207" s="1">
        <v>7</v>
      </c>
      <c r="K1207" s="3">
        <v>8795.67</v>
      </c>
      <c r="L1207" s="1">
        <v>0</v>
      </c>
      <c r="M1207" s="1" t="s">
        <v>36</v>
      </c>
      <c r="N1207" s="10" t="s">
        <v>31</v>
      </c>
      <c r="Q1207"/>
    </row>
    <row r="1208" spans="1:17" x14ac:dyDescent="0.25">
      <c r="A1208" s="9" t="s">
        <v>2126</v>
      </c>
      <c r="B1208" s="2">
        <v>45195</v>
      </c>
      <c r="C1208" s="1" t="s">
        <v>601</v>
      </c>
      <c r="D1208" s="1" t="s">
        <v>71</v>
      </c>
      <c r="E1208" s="1" t="s">
        <v>27</v>
      </c>
      <c r="F1208" s="1" t="s">
        <v>88</v>
      </c>
      <c r="G1208" s="1" t="s">
        <v>42</v>
      </c>
      <c r="H1208" s="1" t="s">
        <v>61</v>
      </c>
      <c r="I1208" s="1" t="s">
        <v>115</v>
      </c>
      <c r="J1208" s="1">
        <v>3</v>
      </c>
      <c r="K1208" s="3">
        <v>13257.08</v>
      </c>
      <c r="L1208" s="1">
        <v>0</v>
      </c>
      <c r="M1208" s="1" t="s">
        <v>93</v>
      </c>
      <c r="N1208" s="10" t="s">
        <v>74</v>
      </c>
      <c r="Q1208"/>
    </row>
    <row r="1209" spans="1:17" x14ac:dyDescent="0.25">
      <c r="A1209" s="9" t="s">
        <v>2127</v>
      </c>
      <c r="B1209" s="2">
        <v>45237</v>
      </c>
      <c r="C1209" s="1" t="s">
        <v>1943</v>
      </c>
      <c r="D1209" s="1" t="s">
        <v>52</v>
      </c>
      <c r="E1209" s="1" t="s">
        <v>72</v>
      </c>
      <c r="F1209" s="1" t="s">
        <v>88</v>
      </c>
      <c r="G1209" s="1" t="s">
        <v>19</v>
      </c>
      <c r="H1209" s="1" t="s">
        <v>29</v>
      </c>
      <c r="I1209" s="1" t="s">
        <v>162</v>
      </c>
      <c r="J1209" s="1">
        <v>8</v>
      </c>
      <c r="K1209" s="3">
        <v>3171.72</v>
      </c>
      <c r="L1209" s="1">
        <v>10</v>
      </c>
      <c r="M1209" s="1" t="s">
        <v>56</v>
      </c>
      <c r="N1209" s="10" t="s">
        <v>23</v>
      </c>
      <c r="Q1209"/>
    </row>
    <row r="1210" spans="1:17" x14ac:dyDescent="0.25">
      <c r="A1210" s="9" t="s">
        <v>2128</v>
      </c>
      <c r="B1210" s="2">
        <v>45342</v>
      </c>
      <c r="C1210" s="1" t="s">
        <v>852</v>
      </c>
      <c r="D1210" s="1" t="s">
        <v>33</v>
      </c>
      <c r="E1210" s="1" t="s">
        <v>59</v>
      </c>
      <c r="F1210" s="1" t="s">
        <v>60</v>
      </c>
      <c r="G1210" s="1" t="s">
        <v>53</v>
      </c>
      <c r="H1210" s="1" t="s">
        <v>54</v>
      </c>
      <c r="I1210" s="1" t="s">
        <v>946</v>
      </c>
      <c r="J1210" s="1">
        <v>9</v>
      </c>
      <c r="K1210" s="3">
        <v>28049.32</v>
      </c>
      <c r="L1210" s="1" t="s">
        <v>110</v>
      </c>
      <c r="M1210" s="1" t="s">
        <v>56</v>
      </c>
      <c r="N1210" s="10" t="s">
        <v>74</v>
      </c>
      <c r="Q1210"/>
    </row>
    <row r="1211" spans="1:17" x14ac:dyDescent="0.25">
      <c r="A1211" s="9" t="s">
        <v>2129</v>
      </c>
      <c r="B1211" s="2">
        <v>45626</v>
      </c>
      <c r="C1211" s="1" t="s">
        <v>225</v>
      </c>
      <c r="D1211" s="1" t="s">
        <v>40</v>
      </c>
      <c r="E1211" s="1" t="s">
        <v>72</v>
      </c>
      <c r="F1211" s="1" t="s">
        <v>82</v>
      </c>
      <c r="G1211" s="1" t="s">
        <v>53</v>
      </c>
      <c r="H1211" s="1" t="s">
        <v>54</v>
      </c>
      <c r="I1211" s="1" t="s">
        <v>55</v>
      </c>
      <c r="J1211" s="1">
        <v>7</v>
      </c>
      <c r="K1211" s="3">
        <v>8027.05</v>
      </c>
      <c r="L1211" s="1">
        <v>0</v>
      </c>
      <c r="M1211" s="1" t="s">
        <v>22</v>
      </c>
      <c r="N1211" s="10" t="s">
        <v>64</v>
      </c>
      <c r="Q1211"/>
    </row>
    <row r="1212" spans="1:17" x14ac:dyDescent="0.25">
      <c r="A1212" s="9" t="s">
        <v>2130</v>
      </c>
      <c r="B1212" s="2">
        <v>44957</v>
      </c>
      <c r="C1212" s="1" t="s">
        <v>435</v>
      </c>
      <c r="D1212" s="1" t="s">
        <v>40</v>
      </c>
      <c r="E1212" s="1" t="s">
        <v>59</v>
      </c>
      <c r="F1212" s="1" t="s">
        <v>28</v>
      </c>
      <c r="G1212" s="1" t="s">
        <v>53</v>
      </c>
      <c r="H1212" s="1" t="s">
        <v>54</v>
      </c>
      <c r="I1212" s="1" t="s">
        <v>608</v>
      </c>
      <c r="J1212" s="1">
        <v>8</v>
      </c>
      <c r="K1212" s="3">
        <v>19899.98</v>
      </c>
      <c r="L1212" s="1">
        <v>5</v>
      </c>
      <c r="M1212" s="1" t="s">
        <v>36</v>
      </c>
      <c r="N1212" s="10" t="s">
        <v>31</v>
      </c>
      <c r="Q1212"/>
    </row>
    <row r="1213" spans="1:17" x14ac:dyDescent="0.25">
      <c r="A1213" s="9" t="s">
        <v>2131</v>
      </c>
      <c r="B1213" s="2">
        <v>45353</v>
      </c>
      <c r="C1213" s="1" t="s">
        <v>560</v>
      </c>
      <c r="D1213" s="1" t="s">
        <v>71</v>
      </c>
      <c r="E1213" s="1" t="s">
        <v>41</v>
      </c>
      <c r="F1213" s="1" t="s">
        <v>60</v>
      </c>
      <c r="G1213" s="1" t="s">
        <v>53</v>
      </c>
      <c r="H1213" s="1" t="s">
        <v>54</v>
      </c>
      <c r="I1213" s="1" t="s">
        <v>1053</v>
      </c>
      <c r="J1213" s="1">
        <v>4</v>
      </c>
      <c r="K1213" s="3">
        <v>11042.66</v>
      </c>
      <c r="L1213" s="1">
        <v>10</v>
      </c>
      <c r="M1213" s="1" t="s">
        <v>56</v>
      </c>
      <c r="N1213" s="10" t="s">
        <v>23</v>
      </c>
      <c r="Q1213"/>
    </row>
    <row r="1214" spans="1:17" x14ac:dyDescent="0.25">
      <c r="A1214" s="9" t="s">
        <v>2132</v>
      </c>
      <c r="B1214" s="2">
        <v>45556</v>
      </c>
      <c r="C1214" s="1" t="s">
        <v>2133</v>
      </c>
      <c r="D1214" s="1" t="s">
        <v>81</v>
      </c>
      <c r="E1214" s="1" t="s">
        <v>72</v>
      </c>
      <c r="F1214" s="1" t="s">
        <v>28</v>
      </c>
      <c r="G1214" s="1" t="s">
        <v>53</v>
      </c>
      <c r="H1214" s="1" t="s">
        <v>54</v>
      </c>
      <c r="I1214" s="1" t="s">
        <v>103</v>
      </c>
      <c r="J1214" s="1">
        <v>1</v>
      </c>
      <c r="K1214" s="3">
        <v>189.43</v>
      </c>
      <c r="L1214" s="1">
        <v>15</v>
      </c>
      <c r="M1214" s="1" t="s">
        <v>36</v>
      </c>
      <c r="N1214" s="10" t="s">
        <v>74</v>
      </c>
      <c r="Q1214"/>
    </row>
    <row r="1215" spans="1:17" x14ac:dyDescent="0.25">
      <c r="A1215" s="9" t="s">
        <v>2134</v>
      </c>
      <c r="B1215" s="2">
        <v>45015</v>
      </c>
      <c r="C1215" s="1" t="s">
        <v>2135</v>
      </c>
      <c r="D1215" s="1" t="s">
        <v>67</v>
      </c>
      <c r="E1215" s="1" t="s">
        <v>17</v>
      </c>
      <c r="F1215" s="1" t="s">
        <v>18</v>
      </c>
      <c r="G1215" s="1" t="s">
        <v>42</v>
      </c>
      <c r="H1215" s="1" t="s">
        <v>43</v>
      </c>
      <c r="I1215" s="1" t="s">
        <v>154</v>
      </c>
      <c r="J1215" s="1">
        <v>3</v>
      </c>
      <c r="K1215" s="3">
        <v>14529.26</v>
      </c>
      <c r="L1215" s="1">
        <v>0</v>
      </c>
      <c r="M1215" s="1" t="s">
        <v>69</v>
      </c>
      <c r="N1215" s="10" t="s">
        <v>37</v>
      </c>
      <c r="Q1215"/>
    </row>
    <row r="1216" spans="1:17" x14ac:dyDescent="0.25">
      <c r="A1216" s="9" t="s">
        <v>2136</v>
      </c>
      <c r="B1216" s="2">
        <v>45053</v>
      </c>
      <c r="C1216" s="1" t="s">
        <v>724</v>
      </c>
      <c r="D1216" s="1" t="s">
        <v>81</v>
      </c>
      <c r="E1216" s="1" t="s">
        <v>72</v>
      </c>
      <c r="F1216" s="1" t="s">
        <v>18</v>
      </c>
      <c r="G1216" s="1" t="s">
        <v>19</v>
      </c>
      <c r="H1216" s="1" t="s">
        <v>29</v>
      </c>
      <c r="I1216" s="1" t="s">
        <v>267</v>
      </c>
      <c r="J1216" s="1">
        <v>7</v>
      </c>
      <c r="K1216" s="3">
        <v>19198.63</v>
      </c>
      <c r="L1216" s="1" t="s">
        <v>110</v>
      </c>
      <c r="M1216" s="1" t="s">
        <v>93</v>
      </c>
      <c r="N1216" s="10" t="s">
        <v>23</v>
      </c>
      <c r="Q1216"/>
    </row>
    <row r="1217" spans="1:17" x14ac:dyDescent="0.25">
      <c r="A1217" s="9" t="s">
        <v>2137</v>
      </c>
      <c r="B1217" s="2">
        <v>45171</v>
      </c>
      <c r="C1217" s="1" t="s">
        <v>98</v>
      </c>
      <c r="D1217" s="1" t="s">
        <v>67</v>
      </c>
      <c r="E1217" s="1" t="s">
        <v>27</v>
      </c>
      <c r="F1217" s="1" t="s">
        <v>18</v>
      </c>
      <c r="G1217" s="1" t="s">
        <v>83</v>
      </c>
      <c r="H1217" s="1" t="s">
        <v>43</v>
      </c>
      <c r="I1217" s="1" t="s">
        <v>157</v>
      </c>
      <c r="J1217" s="1">
        <v>10</v>
      </c>
      <c r="K1217" s="3">
        <v>31168.28</v>
      </c>
      <c r="L1217" s="1">
        <v>5</v>
      </c>
      <c r="M1217" s="1" t="s">
        <v>36</v>
      </c>
      <c r="N1217" s="10" t="s">
        <v>37</v>
      </c>
      <c r="Q1217"/>
    </row>
    <row r="1218" spans="1:17" x14ac:dyDescent="0.25">
      <c r="A1218" s="9" t="s">
        <v>2138</v>
      </c>
      <c r="B1218" s="2">
        <v>44960</v>
      </c>
      <c r="C1218" s="1" t="s">
        <v>1430</v>
      </c>
      <c r="D1218" s="1" t="s">
        <v>40</v>
      </c>
      <c r="E1218" s="1" t="s">
        <v>72</v>
      </c>
      <c r="F1218" s="1" t="s">
        <v>18</v>
      </c>
      <c r="G1218" s="1" t="s">
        <v>83</v>
      </c>
      <c r="H1218" s="1" t="s">
        <v>43</v>
      </c>
      <c r="I1218" s="1" t="s">
        <v>348</v>
      </c>
      <c r="J1218" s="1">
        <v>3</v>
      </c>
      <c r="K1218" s="3">
        <v>5850.74</v>
      </c>
      <c r="L1218" s="1">
        <v>10</v>
      </c>
      <c r="M1218" s="1" t="s">
        <v>63</v>
      </c>
      <c r="N1218" s="10" t="s">
        <v>31</v>
      </c>
      <c r="Q1218"/>
    </row>
    <row r="1219" spans="1:17" x14ac:dyDescent="0.25">
      <c r="A1219" s="9" t="s">
        <v>2139</v>
      </c>
      <c r="B1219" s="2">
        <v>45272</v>
      </c>
      <c r="C1219" s="1" t="s">
        <v>679</v>
      </c>
      <c r="D1219" s="1" t="s">
        <v>87</v>
      </c>
      <c r="E1219" s="1" t="s">
        <v>59</v>
      </c>
      <c r="F1219" s="1" t="s">
        <v>60</v>
      </c>
      <c r="G1219" s="1" t="s">
        <v>42</v>
      </c>
      <c r="H1219" s="1" t="s">
        <v>61</v>
      </c>
      <c r="I1219" s="1" t="s">
        <v>440</v>
      </c>
      <c r="J1219" s="1">
        <v>10</v>
      </c>
      <c r="K1219" s="3">
        <v>33073.64</v>
      </c>
      <c r="L1219" s="1">
        <v>0</v>
      </c>
      <c r="M1219" s="1" t="s">
        <v>69</v>
      </c>
      <c r="N1219" s="10" t="s">
        <v>23</v>
      </c>
      <c r="Q1219"/>
    </row>
    <row r="1220" spans="1:17" x14ac:dyDescent="0.25">
      <c r="A1220" s="9" t="s">
        <v>2140</v>
      </c>
      <c r="B1220" s="2">
        <v>45538</v>
      </c>
      <c r="C1220" s="1" t="s">
        <v>1813</v>
      </c>
      <c r="D1220" s="1" t="s">
        <v>40</v>
      </c>
      <c r="E1220" s="1" t="s">
        <v>17</v>
      </c>
      <c r="F1220" s="1" t="s">
        <v>88</v>
      </c>
      <c r="G1220" s="1" t="s">
        <v>19</v>
      </c>
      <c r="H1220" s="1" t="s">
        <v>29</v>
      </c>
      <c r="I1220" s="1" t="s">
        <v>96</v>
      </c>
      <c r="J1220" s="1">
        <v>10</v>
      </c>
      <c r="K1220" s="3">
        <v>20966.47</v>
      </c>
      <c r="L1220" s="1">
        <v>15</v>
      </c>
      <c r="M1220" s="1" t="s">
        <v>93</v>
      </c>
      <c r="N1220" s="10" t="s">
        <v>64</v>
      </c>
      <c r="Q1220"/>
    </row>
    <row r="1221" spans="1:17" x14ac:dyDescent="0.25">
      <c r="A1221" s="9" t="s">
        <v>2141</v>
      </c>
      <c r="B1221" s="2">
        <v>45112</v>
      </c>
      <c r="C1221" s="1" t="s">
        <v>1229</v>
      </c>
      <c r="D1221" s="1" t="s">
        <v>67</v>
      </c>
      <c r="E1221" s="1" t="s">
        <v>41</v>
      </c>
      <c r="F1221" s="1" t="s">
        <v>60</v>
      </c>
      <c r="G1221" s="1" t="s">
        <v>42</v>
      </c>
      <c r="H1221" s="1" t="s">
        <v>61</v>
      </c>
      <c r="I1221" s="1" t="s">
        <v>833</v>
      </c>
      <c r="J1221" s="1">
        <v>4</v>
      </c>
      <c r="K1221" s="3">
        <v>7320.44</v>
      </c>
      <c r="L1221" s="1">
        <v>10</v>
      </c>
      <c r="M1221" s="1" t="s">
        <v>36</v>
      </c>
      <c r="N1221" s="10" t="s">
        <v>37</v>
      </c>
      <c r="Q1221"/>
    </row>
    <row r="1222" spans="1:17" x14ac:dyDescent="0.25">
      <c r="A1222" s="9" t="s">
        <v>2142</v>
      </c>
      <c r="B1222" s="2">
        <v>45638</v>
      </c>
      <c r="C1222" s="1" t="s">
        <v>210</v>
      </c>
      <c r="D1222" s="1" t="s">
        <v>71</v>
      </c>
      <c r="E1222" s="1" t="s">
        <v>41</v>
      </c>
      <c r="F1222" s="1" t="s">
        <v>18</v>
      </c>
      <c r="G1222" s="1" t="s">
        <v>19</v>
      </c>
      <c r="H1222" s="1" t="s">
        <v>20</v>
      </c>
      <c r="I1222" s="1" t="s">
        <v>261</v>
      </c>
      <c r="J1222" s="1">
        <v>4</v>
      </c>
      <c r="K1222" s="3">
        <v>19431.2</v>
      </c>
      <c r="L1222" s="1">
        <v>5</v>
      </c>
      <c r="M1222" s="1" t="s">
        <v>63</v>
      </c>
      <c r="N1222" s="10" t="s">
        <v>45</v>
      </c>
      <c r="Q1222"/>
    </row>
    <row r="1223" spans="1:17" x14ac:dyDescent="0.25">
      <c r="A1223" s="9" t="s">
        <v>2143</v>
      </c>
      <c r="B1223" s="2">
        <v>45324</v>
      </c>
      <c r="C1223" s="1" t="s">
        <v>1182</v>
      </c>
      <c r="D1223" s="1" t="s">
        <v>87</v>
      </c>
      <c r="E1223" s="1" t="s">
        <v>72</v>
      </c>
      <c r="F1223" s="1" t="s">
        <v>18</v>
      </c>
      <c r="G1223" s="1" t="s">
        <v>42</v>
      </c>
      <c r="H1223" s="1" t="s">
        <v>61</v>
      </c>
      <c r="I1223" s="1" t="s">
        <v>833</v>
      </c>
      <c r="J1223" s="1">
        <v>10</v>
      </c>
      <c r="K1223" s="3">
        <v>18457.23</v>
      </c>
      <c r="L1223" s="1">
        <v>5</v>
      </c>
      <c r="M1223" s="1" t="s">
        <v>69</v>
      </c>
      <c r="N1223" s="10" t="s">
        <v>74</v>
      </c>
      <c r="Q1223"/>
    </row>
    <row r="1224" spans="1:17" x14ac:dyDescent="0.25">
      <c r="A1224" s="9" t="s">
        <v>2144</v>
      </c>
      <c r="B1224" s="2">
        <v>45459</v>
      </c>
      <c r="C1224" s="1" t="s">
        <v>1200</v>
      </c>
      <c r="D1224" s="1" t="s">
        <v>40</v>
      </c>
      <c r="E1224" s="1" t="s">
        <v>17</v>
      </c>
      <c r="F1224" s="1" t="s">
        <v>60</v>
      </c>
      <c r="G1224" s="1" t="s">
        <v>42</v>
      </c>
      <c r="H1224" s="1" t="s">
        <v>43</v>
      </c>
      <c r="I1224" s="1" t="s">
        <v>44</v>
      </c>
      <c r="J1224" s="1">
        <v>1</v>
      </c>
      <c r="K1224" s="3">
        <v>2822.58</v>
      </c>
      <c r="L1224" s="1">
        <v>5</v>
      </c>
      <c r="M1224" s="1" t="s">
        <v>36</v>
      </c>
      <c r="N1224" s="10" t="s">
        <v>64</v>
      </c>
      <c r="Q1224"/>
    </row>
    <row r="1225" spans="1:17" x14ac:dyDescent="0.25">
      <c r="A1225" s="9" t="s">
        <v>2145</v>
      </c>
      <c r="B1225" s="2">
        <v>45302</v>
      </c>
      <c r="C1225" s="1" t="s">
        <v>1446</v>
      </c>
      <c r="D1225" s="1" t="s">
        <v>33</v>
      </c>
      <c r="E1225" s="1" t="s">
        <v>27</v>
      </c>
      <c r="F1225" s="1" t="s">
        <v>82</v>
      </c>
      <c r="G1225" s="1" t="s">
        <v>19</v>
      </c>
      <c r="H1225" s="1" t="s">
        <v>20</v>
      </c>
      <c r="I1225" s="1" t="s">
        <v>164</v>
      </c>
      <c r="J1225" s="1">
        <v>5</v>
      </c>
      <c r="K1225" s="3">
        <v>22167.17</v>
      </c>
      <c r="L1225" s="1">
        <v>0</v>
      </c>
      <c r="M1225" s="1" t="s">
        <v>56</v>
      </c>
      <c r="N1225" s="10" t="s">
        <v>37</v>
      </c>
      <c r="Q1225"/>
    </row>
    <row r="1226" spans="1:17" x14ac:dyDescent="0.25">
      <c r="A1226" s="9" t="s">
        <v>2146</v>
      </c>
      <c r="B1226" s="2">
        <v>45449</v>
      </c>
      <c r="C1226" s="1" t="s">
        <v>1572</v>
      </c>
      <c r="D1226" s="1" t="s">
        <v>16</v>
      </c>
      <c r="E1226" s="1" t="s">
        <v>17</v>
      </c>
      <c r="F1226" s="1" t="s">
        <v>18</v>
      </c>
      <c r="G1226" s="1" t="s">
        <v>19</v>
      </c>
      <c r="H1226" s="1" t="s">
        <v>29</v>
      </c>
      <c r="I1226" s="1" t="s">
        <v>1215</v>
      </c>
      <c r="J1226" s="1">
        <v>10</v>
      </c>
      <c r="K1226" s="3">
        <v>8274.32</v>
      </c>
      <c r="L1226" s="1" t="s">
        <v>110</v>
      </c>
      <c r="M1226" s="1" t="s">
        <v>22</v>
      </c>
      <c r="N1226" s="10" t="s">
        <v>74</v>
      </c>
      <c r="Q1226"/>
    </row>
    <row r="1227" spans="1:17" x14ac:dyDescent="0.25">
      <c r="A1227" s="9" t="s">
        <v>2147</v>
      </c>
      <c r="B1227" s="2">
        <v>45546</v>
      </c>
      <c r="C1227" s="1" t="s">
        <v>1706</v>
      </c>
      <c r="D1227" s="1" t="s">
        <v>33</v>
      </c>
      <c r="E1227" s="1" t="s">
        <v>27</v>
      </c>
      <c r="F1227" s="1" t="s">
        <v>18</v>
      </c>
      <c r="G1227" s="1" t="s">
        <v>53</v>
      </c>
      <c r="H1227" s="1" t="s">
        <v>54</v>
      </c>
      <c r="I1227" s="1" t="s">
        <v>608</v>
      </c>
      <c r="J1227" s="1">
        <v>5</v>
      </c>
      <c r="K1227" s="3">
        <v>8445.5499999999993</v>
      </c>
      <c r="L1227" s="1">
        <v>20</v>
      </c>
      <c r="M1227" s="1" t="s">
        <v>93</v>
      </c>
      <c r="N1227" s="10" t="s">
        <v>23</v>
      </c>
      <c r="Q1227"/>
    </row>
    <row r="1228" spans="1:17" x14ac:dyDescent="0.25">
      <c r="A1228" s="9" t="s">
        <v>2148</v>
      </c>
      <c r="B1228" s="2">
        <v>45646</v>
      </c>
      <c r="C1228" s="1" t="s">
        <v>967</v>
      </c>
      <c r="D1228" s="1" t="s">
        <v>87</v>
      </c>
      <c r="E1228" s="1" t="s">
        <v>17</v>
      </c>
      <c r="F1228" s="1" t="s">
        <v>99</v>
      </c>
      <c r="G1228" s="1" t="s">
        <v>19</v>
      </c>
      <c r="H1228" s="1" t="s">
        <v>29</v>
      </c>
      <c r="I1228" s="1" t="s">
        <v>472</v>
      </c>
      <c r="J1228" s="1">
        <v>4</v>
      </c>
      <c r="K1228" s="3">
        <v>3089.36</v>
      </c>
      <c r="L1228" s="1">
        <v>10</v>
      </c>
      <c r="M1228" s="1" t="s">
        <v>69</v>
      </c>
      <c r="N1228" s="10" t="s">
        <v>45</v>
      </c>
      <c r="Q1228"/>
    </row>
    <row r="1229" spans="1:17" x14ac:dyDescent="0.25">
      <c r="A1229" s="9" t="s">
        <v>2149</v>
      </c>
      <c r="B1229" s="2">
        <v>44937</v>
      </c>
      <c r="C1229" s="1" t="s">
        <v>1284</v>
      </c>
      <c r="D1229" s="1" t="s">
        <v>87</v>
      </c>
      <c r="E1229" s="1" t="s">
        <v>59</v>
      </c>
      <c r="F1229" s="1" t="s">
        <v>18</v>
      </c>
      <c r="G1229" s="1" t="s">
        <v>53</v>
      </c>
      <c r="H1229" s="1" t="s">
        <v>54</v>
      </c>
      <c r="I1229" s="1" t="s">
        <v>1334</v>
      </c>
      <c r="J1229" s="1">
        <v>5</v>
      </c>
      <c r="K1229" s="3">
        <v>15462.48</v>
      </c>
      <c r="L1229" s="1">
        <v>5</v>
      </c>
      <c r="M1229" s="1" t="s">
        <v>22</v>
      </c>
      <c r="N1229" s="10" t="s">
        <v>64</v>
      </c>
      <c r="Q1229"/>
    </row>
    <row r="1230" spans="1:17" x14ac:dyDescent="0.25">
      <c r="A1230" s="9" t="s">
        <v>2150</v>
      </c>
      <c r="B1230" s="2">
        <v>45325</v>
      </c>
      <c r="C1230" s="1" t="s">
        <v>2151</v>
      </c>
      <c r="D1230" s="1" t="s">
        <v>436</v>
      </c>
      <c r="E1230" s="1" t="s">
        <v>59</v>
      </c>
      <c r="F1230" s="1" t="s">
        <v>88</v>
      </c>
      <c r="G1230" s="1" t="s">
        <v>53</v>
      </c>
      <c r="H1230" s="1" t="s">
        <v>54</v>
      </c>
      <c r="I1230" s="1" t="s">
        <v>1334</v>
      </c>
      <c r="J1230" s="1">
        <v>3</v>
      </c>
      <c r="K1230" s="3">
        <v>10463.290000000001</v>
      </c>
      <c r="L1230" s="1">
        <v>20</v>
      </c>
      <c r="M1230" s="1" t="s">
        <v>69</v>
      </c>
      <c r="N1230" s="10" t="s">
        <v>64</v>
      </c>
      <c r="Q1230"/>
    </row>
    <row r="1231" spans="1:17" x14ac:dyDescent="0.25">
      <c r="A1231" s="9" t="s">
        <v>2152</v>
      </c>
      <c r="B1231" s="2">
        <v>45624</v>
      </c>
      <c r="C1231" s="1" t="s">
        <v>1390</v>
      </c>
      <c r="D1231" s="1" t="s">
        <v>71</v>
      </c>
      <c r="E1231" s="1" t="s">
        <v>17</v>
      </c>
      <c r="F1231" s="1" t="s">
        <v>18</v>
      </c>
      <c r="G1231" s="1" t="s">
        <v>42</v>
      </c>
      <c r="H1231" s="1" t="s">
        <v>61</v>
      </c>
      <c r="I1231" s="1" t="s">
        <v>1011</v>
      </c>
      <c r="J1231" s="1">
        <v>5</v>
      </c>
      <c r="K1231" s="3">
        <v>24497.439999999999</v>
      </c>
      <c r="L1231" s="1">
        <v>5</v>
      </c>
      <c r="M1231" s="1" t="s">
        <v>93</v>
      </c>
      <c r="N1231" s="10" t="s">
        <v>23</v>
      </c>
      <c r="Q1231"/>
    </row>
    <row r="1232" spans="1:17" x14ac:dyDescent="0.25">
      <c r="A1232" s="9" t="s">
        <v>2153</v>
      </c>
      <c r="B1232" s="2">
        <v>45603</v>
      </c>
      <c r="C1232" s="1" t="s">
        <v>160</v>
      </c>
      <c r="D1232" s="1" t="s">
        <v>40</v>
      </c>
      <c r="E1232" s="1" t="s">
        <v>72</v>
      </c>
      <c r="F1232" s="1" t="s">
        <v>49</v>
      </c>
      <c r="G1232" s="1" t="s">
        <v>83</v>
      </c>
      <c r="H1232" s="1" t="s">
        <v>43</v>
      </c>
      <c r="I1232" s="1" t="s">
        <v>100</v>
      </c>
      <c r="J1232" s="1">
        <v>9</v>
      </c>
      <c r="K1232" s="3">
        <v>31819.94</v>
      </c>
      <c r="L1232" s="1">
        <v>20</v>
      </c>
      <c r="M1232" s="1" t="s">
        <v>69</v>
      </c>
      <c r="N1232" s="10" t="s">
        <v>64</v>
      </c>
      <c r="Q1232"/>
    </row>
    <row r="1233" spans="1:17" x14ac:dyDescent="0.25">
      <c r="A1233" s="9" t="s">
        <v>2154</v>
      </c>
      <c r="B1233" s="2">
        <v>45180</v>
      </c>
      <c r="C1233" s="1" t="s">
        <v>316</v>
      </c>
      <c r="D1233" s="1" t="s">
        <v>71</v>
      </c>
      <c r="E1233" s="1" t="s">
        <v>34</v>
      </c>
      <c r="F1233" s="1" t="s">
        <v>88</v>
      </c>
      <c r="G1233" s="1" t="s">
        <v>42</v>
      </c>
      <c r="H1233" s="1" t="s">
        <v>61</v>
      </c>
      <c r="I1233" s="1" t="s">
        <v>151</v>
      </c>
      <c r="J1233" s="1">
        <v>5</v>
      </c>
      <c r="K1233" s="3">
        <v>10712.62</v>
      </c>
      <c r="L1233" s="1">
        <v>0</v>
      </c>
      <c r="M1233" s="1" t="s">
        <v>22</v>
      </c>
      <c r="N1233" s="10" t="s">
        <v>74</v>
      </c>
      <c r="Q1233"/>
    </row>
    <row r="1234" spans="1:17" x14ac:dyDescent="0.25">
      <c r="A1234" s="9" t="s">
        <v>2155</v>
      </c>
      <c r="B1234" s="2">
        <v>45121</v>
      </c>
      <c r="C1234" s="1" t="s">
        <v>129</v>
      </c>
      <c r="D1234" s="1" t="s">
        <v>40</v>
      </c>
      <c r="E1234" s="1" t="s">
        <v>72</v>
      </c>
      <c r="F1234" s="1" t="s">
        <v>88</v>
      </c>
      <c r="G1234" s="1" t="s">
        <v>19</v>
      </c>
      <c r="H1234" s="1" t="s">
        <v>29</v>
      </c>
      <c r="I1234" s="1" t="s">
        <v>113</v>
      </c>
      <c r="J1234" s="1">
        <v>9</v>
      </c>
      <c r="K1234" s="3">
        <v>19636.669999999998</v>
      </c>
      <c r="L1234" s="1">
        <v>0</v>
      </c>
      <c r="M1234" s="1" t="s">
        <v>36</v>
      </c>
      <c r="N1234" s="10" t="s">
        <v>31</v>
      </c>
      <c r="Q1234"/>
    </row>
    <row r="1235" spans="1:17" x14ac:dyDescent="0.25">
      <c r="A1235" s="9" t="s">
        <v>2156</v>
      </c>
      <c r="B1235" s="2">
        <v>45420</v>
      </c>
      <c r="C1235" s="1" t="s">
        <v>1371</v>
      </c>
      <c r="D1235" s="1" t="s">
        <v>33</v>
      </c>
      <c r="E1235" s="1" t="s">
        <v>17</v>
      </c>
      <c r="F1235" s="1" t="s">
        <v>28</v>
      </c>
      <c r="G1235" s="1" t="s">
        <v>19</v>
      </c>
      <c r="H1235" s="1" t="s">
        <v>29</v>
      </c>
      <c r="I1235" s="1" t="s">
        <v>162</v>
      </c>
      <c r="J1235" s="1">
        <v>3</v>
      </c>
      <c r="K1235" s="3">
        <v>12708.27</v>
      </c>
      <c r="L1235" s="1" t="s">
        <v>110</v>
      </c>
      <c r="M1235" s="1" t="s">
        <v>63</v>
      </c>
      <c r="N1235" s="10" t="s">
        <v>64</v>
      </c>
      <c r="Q1235"/>
    </row>
    <row r="1236" spans="1:17" x14ac:dyDescent="0.25">
      <c r="A1236" s="9" t="s">
        <v>2157</v>
      </c>
      <c r="B1236" s="2">
        <v>45156</v>
      </c>
      <c r="C1236" s="1" t="s">
        <v>1004</v>
      </c>
      <c r="D1236" s="1" t="s">
        <v>436</v>
      </c>
      <c r="E1236" s="1" t="s">
        <v>17</v>
      </c>
      <c r="F1236" s="1" t="s">
        <v>60</v>
      </c>
      <c r="G1236" s="1" t="s">
        <v>83</v>
      </c>
      <c r="H1236" s="1" t="s">
        <v>43</v>
      </c>
      <c r="I1236" s="1" t="s">
        <v>50</v>
      </c>
      <c r="J1236" s="1">
        <v>3</v>
      </c>
      <c r="K1236" s="3">
        <v>12635.33</v>
      </c>
      <c r="L1236" s="1" t="s">
        <v>110</v>
      </c>
      <c r="M1236" s="1" t="s">
        <v>93</v>
      </c>
      <c r="N1236" s="10" t="s">
        <v>31</v>
      </c>
      <c r="Q1236"/>
    </row>
    <row r="1237" spans="1:17" x14ac:dyDescent="0.25">
      <c r="A1237" s="9" t="s">
        <v>2158</v>
      </c>
      <c r="B1237" s="2">
        <v>45263</v>
      </c>
      <c r="C1237" s="1" t="s">
        <v>813</v>
      </c>
      <c r="D1237" s="1" t="s">
        <v>33</v>
      </c>
      <c r="E1237" s="1" t="s">
        <v>41</v>
      </c>
      <c r="F1237" s="1" t="s">
        <v>99</v>
      </c>
      <c r="G1237" s="1" t="s">
        <v>42</v>
      </c>
      <c r="H1237" s="1" t="s">
        <v>61</v>
      </c>
      <c r="I1237" s="1" t="s">
        <v>440</v>
      </c>
      <c r="J1237" s="1">
        <v>3</v>
      </c>
      <c r="K1237" s="3">
        <v>11487.77</v>
      </c>
      <c r="L1237" s="1">
        <v>0</v>
      </c>
      <c r="M1237" s="1" t="s">
        <v>93</v>
      </c>
      <c r="N1237" s="10" t="s">
        <v>37</v>
      </c>
      <c r="Q1237"/>
    </row>
    <row r="1238" spans="1:17" x14ac:dyDescent="0.25">
      <c r="A1238" s="9" t="s">
        <v>2159</v>
      </c>
      <c r="B1238" s="2">
        <v>45085</v>
      </c>
      <c r="C1238" s="1" t="s">
        <v>301</v>
      </c>
      <c r="D1238" s="1" t="s">
        <v>67</v>
      </c>
      <c r="E1238" s="1" t="s">
        <v>34</v>
      </c>
      <c r="F1238" s="1" t="s">
        <v>60</v>
      </c>
      <c r="G1238" s="1" t="s">
        <v>19</v>
      </c>
      <c r="H1238" s="1" t="s">
        <v>20</v>
      </c>
      <c r="I1238" s="1" t="s">
        <v>563</v>
      </c>
      <c r="J1238" s="1">
        <v>4</v>
      </c>
      <c r="K1238" s="3">
        <v>2932.08</v>
      </c>
      <c r="L1238" s="1">
        <v>20</v>
      </c>
      <c r="M1238" s="1" t="s">
        <v>22</v>
      </c>
      <c r="N1238" s="10" t="s">
        <v>37</v>
      </c>
      <c r="Q1238"/>
    </row>
    <row r="1239" spans="1:17" x14ac:dyDescent="0.25">
      <c r="A1239" s="9" t="s">
        <v>2160</v>
      </c>
      <c r="B1239" s="2">
        <v>45076</v>
      </c>
      <c r="C1239" s="1" t="s">
        <v>2161</v>
      </c>
      <c r="D1239" s="1" t="s">
        <v>26</v>
      </c>
      <c r="E1239" s="1" t="s">
        <v>34</v>
      </c>
      <c r="F1239" s="1" t="s">
        <v>28</v>
      </c>
      <c r="G1239" s="1" t="s">
        <v>19</v>
      </c>
      <c r="H1239" s="1" t="s">
        <v>20</v>
      </c>
      <c r="I1239" s="1" t="s">
        <v>21</v>
      </c>
      <c r="J1239" s="1">
        <v>6</v>
      </c>
      <c r="K1239" s="3">
        <v>22758.32</v>
      </c>
      <c r="L1239" s="1">
        <v>5</v>
      </c>
      <c r="M1239" s="1" t="s">
        <v>69</v>
      </c>
      <c r="N1239" s="10" t="s">
        <v>45</v>
      </c>
      <c r="Q1239"/>
    </row>
    <row r="1240" spans="1:17" x14ac:dyDescent="0.25">
      <c r="A1240" s="9" t="s">
        <v>2162</v>
      </c>
      <c r="B1240" s="2">
        <v>45448</v>
      </c>
      <c r="C1240" s="1" t="s">
        <v>870</v>
      </c>
      <c r="D1240" s="1" t="s">
        <v>147</v>
      </c>
      <c r="E1240" s="1" t="s">
        <v>72</v>
      </c>
      <c r="F1240" s="1" t="s">
        <v>99</v>
      </c>
      <c r="G1240" s="1" t="s">
        <v>19</v>
      </c>
      <c r="H1240" s="1" t="s">
        <v>20</v>
      </c>
      <c r="I1240" s="1" t="s">
        <v>214</v>
      </c>
      <c r="J1240" s="1">
        <v>5</v>
      </c>
      <c r="K1240" s="3">
        <v>17672.38</v>
      </c>
      <c r="L1240" s="1">
        <v>5</v>
      </c>
      <c r="M1240" s="1" t="s">
        <v>36</v>
      </c>
      <c r="N1240" s="10" t="s">
        <v>45</v>
      </c>
      <c r="Q1240"/>
    </row>
    <row r="1241" spans="1:17" x14ac:dyDescent="0.25">
      <c r="A1241" s="9" t="s">
        <v>2163</v>
      </c>
      <c r="B1241" s="2">
        <v>45015</v>
      </c>
      <c r="C1241" s="1" t="s">
        <v>2164</v>
      </c>
      <c r="D1241" s="1" t="s">
        <v>26</v>
      </c>
      <c r="E1241" s="1" t="s">
        <v>27</v>
      </c>
      <c r="F1241" s="1" t="s">
        <v>60</v>
      </c>
      <c r="G1241" s="1" t="s">
        <v>19</v>
      </c>
      <c r="H1241" s="1" t="s">
        <v>20</v>
      </c>
      <c r="I1241" s="1" t="s">
        <v>928</v>
      </c>
      <c r="J1241" s="1">
        <v>5</v>
      </c>
      <c r="K1241" s="3">
        <v>20760.18</v>
      </c>
      <c r="L1241" s="1">
        <v>15</v>
      </c>
      <c r="M1241" s="1" t="s">
        <v>63</v>
      </c>
      <c r="N1241" s="10" t="s">
        <v>74</v>
      </c>
      <c r="Q1241"/>
    </row>
    <row r="1242" spans="1:17" x14ac:dyDescent="0.25">
      <c r="A1242" s="9" t="s">
        <v>2165</v>
      </c>
      <c r="B1242" s="2">
        <v>44999</v>
      </c>
      <c r="C1242" s="1" t="s">
        <v>509</v>
      </c>
      <c r="D1242" s="1" t="s">
        <v>67</v>
      </c>
      <c r="E1242" s="1" t="s">
        <v>41</v>
      </c>
      <c r="F1242" s="1" t="s">
        <v>99</v>
      </c>
      <c r="G1242" s="1" t="s">
        <v>83</v>
      </c>
      <c r="H1242" s="1" t="s">
        <v>43</v>
      </c>
      <c r="I1242" s="1" t="s">
        <v>348</v>
      </c>
      <c r="J1242" s="1">
        <v>1</v>
      </c>
      <c r="K1242" s="3">
        <v>1170.6600000000001</v>
      </c>
      <c r="L1242" s="1">
        <v>0</v>
      </c>
      <c r="M1242" s="1" t="s">
        <v>36</v>
      </c>
      <c r="N1242" s="10" t="s">
        <v>74</v>
      </c>
      <c r="Q1242"/>
    </row>
    <row r="1243" spans="1:17" x14ac:dyDescent="0.25">
      <c r="A1243" s="9" t="s">
        <v>2166</v>
      </c>
      <c r="B1243" s="2">
        <v>45123</v>
      </c>
      <c r="C1243" s="1" t="s">
        <v>666</v>
      </c>
      <c r="D1243" s="1" t="s">
        <v>71</v>
      </c>
      <c r="E1243" s="1" t="s">
        <v>17</v>
      </c>
      <c r="F1243" s="1" t="s">
        <v>82</v>
      </c>
      <c r="G1243" s="1" t="s">
        <v>42</v>
      </c>
      <c r="H1243" s="1" t="s">
        <v>43</v>
      </c>
      <c r="I1243" s="1" t="s">
        <v>336</v>
      </c>
      <c r="J1243" s="1">
        <v>3</v>
      </c>
      <c r="K1243" s="3">
        <v>12423.76</v>
      </c>
      <c r="L1243" s="1">
        <v>15</v>
      </c>
      <c r="M1243" s="1" t="s">
        <v>93</v>
      </c>
      <c r="N1243" s="10" t="s">
        <v>31</v>
      </c>
      <c r="Q1243"/>
    </row>
    <row r="1244" spans="1:17" x14ac:dyDescent="0.25">
      <c r="A1244" s="9" t="s">
        <v>2167</v>
      </c>
      <c r="B1244" s="2">
        <v>45568</v>
      </c>
      <c r="C1244" s="1" t="s">
        <v>2168</v>
      </c>
      <c r="D1244" s="1" t="s">
        <v>33</v>
      </c>
      <c r="E1244" s="1" t="s">
        <v>34</v>
      </c>
      <c r="F1244" s="1" t="s">
        <v>18</v>
      </c>
      <c r="G1244" s="1" t="s">
        <v>53</v>
      </c>
      <c r="H1244" s="1" t="s">
        <v>54</v>
      </c>
      <c r="I1244" s="1" t="s">
        <v>308</v>
      </c>
      <c r="J1244" s="1">
        <v>9</v>
      </c>
      <c r="K1244" s="3">
        <v>20993.56</v>
      </c>
      <c r="L1244" s="1">
        <v>0</v>
      </c>
      <c r="M1244" s="1" t="s">
        <v>36</v>
      </c>
      <c r="N1244" s="10" t="s">
        <v>37</v>
      </c>
      <c r="Q1244"/>
    </row>
    <row r="1245" spans="1:17" x14ac:dyDescent="0.25">
      <c r="A1245" s="9" t="s">
        <v>2169</v>
      </c>
      <c r="B1245" s="2">
        <v>45484</v>
      </c>
      <c r="C1245" s="1" t="s">
        <v>2170</v>
      </c>
      <c r="D1245" s="1" t="s">
        <v>71</v>
      </c>
      <c r="E1245" s="1" t="s">
        <v>34</v>
      </c>
      <c r="F1245" s="1" t="s">
        <v>88</v>
      </c>
      <c r="G1245" s="1" t="s">
        <v>83</v>
      </c>
      <c r="H1245" s="1" t="s">
        <v>43</v>
      </c>
      <c r="I1245" s="1" t="s">
        <v>572</v>
      </c>
      <c r="J1245" s="1">
        <v>5</v>
      </c>
      <c r="K1245" s="3">
        <v>1474.63</v>
      </c>
      <c r="L1245" s="1" t="s">
        <v>110</v>
      </c>
      <c r="M1245" s="1" t="s">
        <v>63</v>
      </c>
      <c r="N1245" s="10" t="s">
        <v>74</v>
      </c>
      <c r="Q1245"/>
    </row>
    <row r="1246" spans="1:17" x14ac:dyDescent="0.25">
      <c r="A1246" s="9" t="s">
        <v>2171</v>
      </c>
      <c r="B1246" s="2">
        <v>45020</v>
      </c>
      <c r="C1246" s="1" t="s">
        <v>1618</v>
      </c>
      <c r="D1246" s="1" t="s">
        <v>16</v>
      </c>
      <c r="E1246" s="1" t="s">
        <v>59</v>
      </c>
      <c r="F1246" s="1" t="s">
        <v>88</v>
      </c>
      <c r="G1246" s="1" t="s">
        <v>53</v>
      </c>
      <c r="H1246" s="1" t="s">
        <v>54</v>
      </c>
      <c r="I1246" s="1" t="s">
        <v>308</v>
      </c>
      <c r="J1246" s="1">
        <v>2</v>
      </c>
      <c r="K1246" s="3">
        <v>2216.58</v>
      </c>
      <c r="L1246" s="1">
        <v>15</v>
      </c>
      <c r="M1246" s="1" t="s">
        <v>36</v>
      </c>
      <c r="N1246" s="10" t="s">
        <v>74</v>
      </c>
      <c r="Q1246"/>
    </row>
    <row r="1247" spans="1:17" x14ac:dyDescent="0.25">
      <c r="A1247" s="9" t="s">
        <v>2172</v>
      </c>
      <c r="B1247" s="2">
        <v>45565</v>
      </c>
      <c r="C1247" s="1" t="s">
        <v>753</v>
      </c>
      <c r="D1247" s="1" t="s">
        <v>52</v>
      </c>
      <c r="E1247" s="1" t="s">
        <v>59</v>
      </c>
      <c r="F1247" s="1" t="s">
        <v>82</v>
      </c>
      <c r="G1247" s="1" t="s">
        <v>19</v>
      </c>
      <c r="H1247" s="1" t="s">
        <v>20</v>
      </c>
      <c r="I1247" s="1" t="s">
        <v>312</v>
      </c>
      <c r="J1247" s="1">
        <v>6</v>
      </c>
      <c r="K1247" s="3">
        <v>13806.01</v>
      </c>
      <c r="L1247" s="1" t="s">
        <v>110</v>
      </c>
      <c r="M1247" s="1" t="s">
        <v>63</v>
      </c>
      <c r="N1247" s="10" t="s">
        <v>64</v>
      </c>
      <c r="Q1247"/>
    </row>
    <row r="1248" spans="1:17" x14ac:dyDescent="0.25">
      <c r="A1248" s="9" t="s">
        <v>2173</v>
      </c>
      <c r="B1248" s="2">
        <v>45096</v>
      </c>
      <c r="C1248" s="1" t="s">
        <v>560</v>
      </c>
      <c r="D1248" s="1" t="s">
        <v>81</v>
      </c>
      <c r="E1248" s="1" t="s">
        <v>17</v>
      </c>
      <c r="F1248" s="1" t="s">
        <v>88</v>
      </c>
      <c r="G1248" s="1" t="s">
        <v>42</v>
      </c>
      <c r="H1248" s="1" t="s">
        <v>43</v>
      </c>
      <c r="I1248" s="1" t="s">
        <v>288</v>
      </c>
      <c r="J1248" s="1">
        <v>5</v>
      </c>
      <c r="K1248" s="3">
        <v>10351.85</v>
      </c>
      <c r="L1248" s="1">
        <v>5</v>
      </c>
      <c r="M1248" s="1" t="s">
        <v>69</v>
      </c>
      <c r="N1248" s="10" t="s">
        <v>74</v>
      </c>
      <c r="Q1248"/>
    </row>
    <row r="1249" spans="1:17" x14ac:dyDescent="0.25">
      <c r="A1249" s="9" t="s">
        <v>2174</v>
      </c>
      <c r="B1249" s="2">
        <v>45354</v>
      </c>
      <c r="C1249" s="1" t="s">
        <v>150</v>
      </c>
      <c r="D1249" s="1" t="s">
        <v>87</v>
      </c>
      <c r="E1249" s="1" t="s">
        <v>72</v>
      </c>
      <c r="F1249" s="1" t="s">
        <v>60</v>
      </c>
      <c r="G1249" s="1" t="s">
        <v>19</v>
      </c>
      <c r="H1249" s="1" t="s">
        <v>20</v>
      </c>
      <c r="I1249" s="1" t="s">
        <v>731</v>
      </c>
      <c r="J1249" s="1">
        <v>-1</v>
      </c>
      <c r="K1249" s="3">
        <v>3949.77</v>
      </c>
      <c r="L1249" s="1">
        <v>10</v>
      </c>
      <c r="M1249" s="1" t="s">
        <v>36</v>
      </c>
      <c r="N1249" s="10" t="s">
        <v>31</v>
      </c>
      <c r="Q1249"/>
    </row>
    <row r="1250" spans="1:17" x14ac:dyDescent="0.25">
      <c r="A1250" s="9" t="s">
        <v>2175</v>
      </c>
      <c r="B1250" s="2">
        <v>45072</v>
      </c>
      <c r="C1250" s="1" t="s">
        <v>347</v>
      </c>
      <c r="D1250" s="1" t="s">
        <v>16</v>
      </c>
      <c r="E1250" s="1" t="s">
        <v>34</v>
      </c>
      <c r="F1250" s="1" t="s">
        <v>60</v>
      </c>
      <c r="G1250" s="1" t="s">
        <v>53</v>
      </c>
      <c r="H1250" s="1" t="s">
        <v>54</v>
      </c>
      <c r="I1250" s="1" t="s">
        <v>173</v>
      </c>
      <c r="J1250" s="1">
        <v>9</v>
      </c>
      <c r="K1250" s="3">
        <v>24789.919999999998</v>
      </c>
      <c r="L1250" s="1">
        <v>15</v>
      </c>
      <c r="M1250" s="1" t="s">
        <v>56</v>
      </c>
      <c r="N1250" s="10" t="s">
        <v>37</v>
      </c>
      <c r="Q1250"/>
    </row>
    <row r="1251" spans="1:17" x14ac:dyDescent="0.25">
      <c r="A1251" s="9" t="s">
        <v>2176</v>
      </c>
      <c r="B1251" s="2">
        <v>45313</v>
      </c>
      <c r="C1251" s="1" t="s">
        <v>649</v>
      </c>
      <c r="D1251" s="1" t="s">
        <v>16</v>
      </c>
      <c r="E1251" s="1" t="s">
        <v>41</v>
      </c>
      <c r="F1251" s="1" t="s">
        <v>99</v>
      </c>
      <c r="G1251" s="1" t="s">
        <v>53</v>
      </c>
      <c r="H1251" s="1" t="s">
        <v>54</v>
      </c>
      <c r="I1251" s="1" t="s">
        <v>173</v>
      </c>
      <c r="J1251" s="1">
        <v>3</v>
      </c>
      <c r="K1251" s="3">
        <v>706.04</v>
      </c>
      <c r="L1251" s="1">
        <v>0</v>
      </c>
      <c r="M1251" s="1" t="s">
        <v>63</v>
      </c>
      <c r="N1251" s="10" t="s">
        <v>23</v>
      </c>
      <c r="Q1251"/>
    </row>
    <row r="1252" spans="1:17" x14ac:dyDescent="0.25">
      <c r="A1252" s="9" t="s">
        <v>2177</v>
      </c>
      <c r="B1252" s="2">
        <v>45326</v>
      </c>
      <c r="C1252" s="1" t="s">
        <v>1316</v>
      </c>
      <c r="D1252" s="1" t="s">
        <v>87</v>
      </c>
      <c r="E1252" s="1" t="s">
        <v>59</v>
      </c>
      <c r="F1252" s="1" t="s">
        <v>82</v>
      </c>
      <c r="G1252" s="1" t="s">
        <v>19</v>
      </c>
      <c r="H1252" s="1" t="s">
        <v>20</v>
      </c>
      <c r="I1252" s="1" t="s">
        <v>176</v>
      </c>
      <c r="J1252" s="1">
        <v>2</v>
      </c>
      <c r="K1252" s="3">
        <v>6679.49</v>
      </c>
      <c r="L1252" s="1">
        <v>10</v>
      </c>
      <c r="M1252" s="1" t="s">
        <v>69</v>
      </c>
      <c r="N1252" s="10" t="s">
        <v>74</v>
      </c>
      <c r="Q1252"/>
    </row>
    <row r="1253" spans="1:17" x14ac:dyDescent="0.25">
      <c r="A1253" s="9" t="s">
        <v>2178</v>
      </c>
      <c r="B1253" s="2">
        <v>45375</v>
      </c>
      <c r="C1253" s="1" t="s">
        <v>1694</v>
      </c>
      <c r="D1253" s="1" t="s">
        <v>26</v>
      </c>
      <c r="E1253" s="1" t="s">
        <v>27</v>
      </c>
      <c r="F1253" s="1" t="s">
        <v>49</v>
      </c>
      <c r="G1253" s="1" t="s">
        <v>42</v>
      </c>
      <c r="H1253" s="1" t="s">
        <v>61</v>
      </c>
      <c r="I1253" s="1" t="s">
        <v>196</v>
      </c>
      <c r="J1253" s="1">
        <v>10</v>
      </c>
      <c r="K1253" s="3">
        <v>33910.86</v>
      </c>
      <c r="L1253" s="1">
        <v>10</v>
      </c>
      <c r="M1253" s="1" t="s">
        <v>36</v>
      </c>
      <c r="N1253" s="10" t="s">
        <v>45</v>
      </c>
      <c r="Q1253"/>
    </row>
    <row r="1254" spans="1:17" x14ac:dyDescent="0.25">
      <c r="A1254" s="9" t="s">
        <v>2179</v>
      </c>
      <c r="B1254" s="2">
        <v>45290</v>
      </c>
      <c r="C1254" s="1" t="s">
        <v>2180</v>
      </c>
      <c r="D1254" s="1" t="s">
        <v>147</v>
      </c>
      <c r="E1254" s="1" t="s">
        <v>59</v>
      </c>
      <c r="F1254" s="1" t="s">
        <v>99</v>
      </c>
      <c r="G1254" s="1" t="s">
        <v>19</v>
      </c>
      <c r="H1254" s="1" t="s">
        <v>20</v>
      </c>
      <c r="I1254" s="1" t="s">
        <v>263</v>
      </c>
      <c r="J1254" s="1">
        <v>8</v>
      </c>
      <c r="K1254" s="3">
        <v>19579.189999999999</v>
      </c>
      <c r="L1254" s="1">
        <v>5</v>
      </c>
      <c r="M1254" s="1" t="s">
        <v>56</v>
      </c>
      <c r="N1254" s="10" t="s">
        <v>37</v>
      </c>
      <c r="Q1254"/>
    </row>
    <row r="1255" spans="1:17" x14ac:dyDescent="0.25">
      <c r="A1255" s="9" t="s">
        <v>2181</v>
      </c>
      <c r="B1255" s="2">
        <v>45583</v>
      </c>
      <c r="C1255" s="1" t="s">
        <v>181</v>
      </c>
      <c r="D1255" s="1" t="s">
        <v>147</v>
      </c>
      <c r="E1255" s="1" t="s">
        <v>17</v>
      </c>
      <c r="F1255" s="1" t="s">
        <v>88</v>
      </c>
      <c r="G1255" s="1" t="s">
        <v>42</v>
      </c>
      <c r="H1255" s="1" t="s">
        <v>43</v>
      </c>
      <c r="I1255" s="1" t="s">
        <v>572</v>
      </c>
      <c r="J1255" s="1">
        <v>7</v>
      </c>
      <c r="K1255" s="3">
        <v>15955.62</v>
      </c>
      <c r="L1255" s="1">
        <v>20</v>
      </c>
      <c r="M1255" s="1" t="s">
        <v>63</v>
      </c>
      <c r="N1255" s="10" t="s">
        <v>64</v>
      </c>
      <c r="Q1255"/>
    </row>
    <row r="1256" spans="1:17" x14ac:dyDescent="0.25">
      <c r="A1256" s="9" t="s">
        <v>2182</v>
      </c>
      <c r="B1256" s="2">
        <v>45313</v>
      </c>
      <c r="C1256" s="1" t="s">
        <v>2015</v>
      </c>
      <c r="D1256" s="1" t="s">
        <v>40</v>
      </c>
      <c r="E1256" s="1" t="s">
        <v>17</v>
      </c>
      <c r="F1256" s="1" t="s">
        <v>88</v>
      </c>
      <c r="G1256" s="1" t="s">
        <v>83</v>
      </c>
      <c r="H1256" s="1" t="s">
        <v>43</v>
      </c>
      <c r="I1256" s="1" t="s">
        <v>652</v>
      </c>
      <c r="J1256" s="1">
        <v>9</v>
      </c>
      <c r="K1256" s="3">
        <v>23514.43</v>
      </c>
      <c r="L1256" s="1">
        <v>20</v>
      </c>
      <c r="M1256" s="1" t="s">
        <v>56</v>
      </c>
      <c r="N1256" s="10" t="s">
        <v>45</v>
      </c>
      <c r="Q1256"/>
    </row>
    <row r="1257" spans="1:17" x14ac:dyDescent="0.25">
      <c r="A1257" s="9" t="s">
        <v>2183</v>
      </c>
      <c r="B1257" s="2">
        <v>45040</v>
      </c>
      <c r="C1257" s="1" t="s">
        <v>2184</v>
      </c>
      <c r="D1257" s="1" t="s">
        <v>81</v>
      </c>
      <c r="E1257" s="1" t="s">
        <v>41</v>
      </c>
      <c r="F1257" s="1" t="s">
        <v>99</v>
      </c>
      <c r="G1257" s="1" t="s">
        <v>19</v>
      </c>
      <c r="H1257" s="1" t="s">
        <v>29</v>
      </c>
      <c r="I1257" s="1" t="s">
        <v>1215</v>
      </c>
      <c r="J1257" s="1">
        <v>7</v>
      </c>
      <c r="K1257" s="3">
        <v>14925.36</v>
      </c>
      <c r="L1257" s="1" t="s">
        <v>110</v>
      </c>
      <c r="M1257" s="1" t="s">
        <v>56</v>
      </c>
      <c r="N1257" s="10" t="s">
        <v>45</v>
      </c>
      <c r="Q1257"/>
    </row>
    <row r="1258" spans="1:17" x14ac:dyDescent="0.25">
      <c r="A1258" s="9" t="s">
        <v>2185</v>
      </c>
      <c r="B1258" s="2">
        <v>44946</v>
      </c>
      <c r="C1258" s="1" t="s">
        <v>403</v>
      </c>
      <c r="D1258" s="1" t="s">
        <v>71</v>
      </c>
      <c r="E1258" s="1" t="s">
        <v>41</v>
      </c>
      <c r="F1258" s="1" t="s">
        <v>99</v>
      </c>
      <c r="G1258" s="1" t="s">
        <v>53</v>
      </c>
      <c r="H1258" s="1" t="s">
        <v>54</v>
      </c>
      <c r="I1258" s="1" t="s">
        <v>55</v>
      </c>
      <c r="J1258" s="1">
        <v>5</v>
      </c>
      <c r="K1258" s="3">
        <v>2205.14</v>
      </c>
      <c r="L1258" s="1">
        <v>0</v>
      </c>
      <c r="M1258" s="1" t="s">
        <v>36</v>
      </c>
      <c r="N1258" s="10" t="s">
        <v>23</v>
      </c>
      <c r="Q1258"/>
    </row>
    <row r="1259" spans="1:17" x14ac:dyDescent="0.25">
      <c r="A1259" s="9" t="s">
        <v>2186</v>
      </c>
      <c r="B1259" s="2">
        <v>45584</v>
      </c>
      <c r="C1259" s="1" t="s">
        <v>2050</v>
      </c>
      <c r="D1259" s="1" t="s">
        <v>40</v>
      </c>
      <c r="E1259" s="1" t="s">
        <v>27</v>
      </c>
      <c r="F1259" s="1" t="s">
        <v>88</v>
      </c>
      <c r="G1259" s="1" t="s">
        <v>19</v>
      </c>
      <c r="H1259" s="1" t="s">
        <v>29</v>
      </c>
      <c r="I1259" s="1" t="s">
        <v>1449</v>
      </c>
      <c r="J1259" s="1">
        <v>6</v>
      </c>
      <c r="K1259" s="3">
        <v>4752.8100000000004</v>
      </c>
      <c r="L1259" s="1" t="s">
        <v>110</v>
      </c>
      <c r="M1259" s="1" t="s">
        <v>93</v>
      </c>
      <c r="N1259" s="10" t="s">
        <v>37</v>
      </c>
      <c r="Q1259"/>
    </row>
    <row r="1260" spans="1:17" x14ac:dyDescent="0.25">
      <c r="A1260" s="9" t="s">
        <v>2187</v>
      </c>
      <c r="B1260" s="2">
        <v>45617</v>
      </c>
      <c r="C1260" s="1" t="s">
        <v>252</v>
      </c>
      <c r="D1260" s="1" t="s">
        <v>16</v>
      </c>
      <c r="E1260" s="1" t="s">
        <v>34</v>
      </c>
      <c r="F1260" s="1" t="s">
        <v>18</v>
      </c>
      <c r="G1260" s="1" t="s">
        <v>42</v>
      </c>
      <c r="H1260" s="1" t="s">
        <v>43</v>
      </c>
      <c r="I1260" s="1" t="s">
        <v>144</v>
      </c>
      <c r="J1260" s="1">
        <v>4</v>
      </c>
      <c r="K1260" s="3">
        <v>12070.89</v>
      </c>
      <c r="L1260" s="1" t="s">
        <v>110</v>
      </c>
      <c r="M1260" s="1" t="s">
        <v>93</v>
      </c>
      <c r="N1260" s="10" t="s">
        <v>31</v>
      </c>
      <c r="Q1260"/>
    </row>
    <row r="1261" spans="1:17" x14ac:dyDescent="0.25">
      <c r="A1261" s="9" t="s">
        <v>2188</v>
      </c>
      <c r="B1261" s="2">
        <v>45052</v>
      </c>
      <c r="C1261" s="1" t="s">
        <v>2189</v>
      </c>
      <c r="D1261" s="1" t="s">
        <v>147</v>
      </c>
      <c r="E1261" s="1" t="s">
        <v>34</v>
      </c>
      <c r="F1261" s="1" t="s">
        <v>28</v>
      </c>
      <c r="G1261" s="1" t="s">
        <v>53</v>
      </c>
      <c r="H1261" s="1" t="s">
        <v>54</v>
      </c>
      <c r="I1261" s="1" t="s">
        <v>132</v>
      </c>
      <c r="J1261" s="1">
        <v>3</v>
      </c>
      <c r="K1261" s="3">
        <v>1232.8800000000001</v>
      </c>
      <c r="L1261" s="1">
        <v>5</v>
      </c>
      <c r="M1261" s="1" t="s">
        <v>56</v>
      </c>
      <c r="N1261" s="10" t="s">
        <v>45</v>
      </c>
      <c r="Q1261"/>
    </row>
    <row r="1262" spans="1:17" x14ac:dyDescent="0.25">
      <c r="A1262" s="9" t="s">
        <v>2190</v>
      </c>
      <c r="B1262" s="2">
        <v>45539</v>
      </c>
      <c r="C1262" s="1" t="s">
        <v>375</v>
      </c>
      <c r="D1262" s="1" t="s">
        <v>67</v>
      </c>
      <c r="E1262" s="1" t="s">
        <v>34</v>
      </c>
      <c r="F1262" s="1" t="s">
        <v>49</v>
      </c>
      <c r="G1262" s="1" t="s">
        <v>42</v>
      </c>
      <c r="H1262" s="1" t="s">
        <v>61</v>
      </c>
      <c r="I1262" s="1" t="s">
        <v>234</v>
      </c>
      <c r="J1262" s="1">
        <v>6</v>
      </c>
      <c r="K1262" s="3">
        <v>9107.84</v>
      </c>
      <c r="L1262" s="1">
        <v>20</v>
      </c>
      <c r="M1262" s="1" t="s">
        <v>36</v>
      </c>
      <c r="N1262" s="10" t="s">
        <v>45</v>
      </c>
      <c r="Q1262"/>
    </row>
    <row r="1263" spans="1:17" x14ac:dyDescent="0.25">
      <c r="A1263" s="9" t="s">
        <v>2191</v>
      </c>
      <c r="B1263" s="2">
        <v>45279</v>
      </c>
      <c r="C1263" s="1" t="s">
        <v>1988</v>
      </c>
      <c r="D1263" s="1" t="s">
        <v>81</v>
      </c>
      <c r="E1263" s="1" t="s">
        <v>59</v>
      </c>
      <c r="F1263" s="1" t="s">
        <v>18</v>
      </c>
      <c r="G1263" s="1" t="s">
        <v>19</v>
      </c>
      <c r="H1263" s="1" t="s">
        <v>20</v>
      </c>
      <c r="I1263" s="1" t="s">
        <v>78</v>
      </c>
      <c r="J1263" s="1">
        <v>6</v>
      </c>
      <c r="K1263" s="3">
        <v>21707.69</v>
      </c>
      <c r="L1263" s="1">
        <v>5</v>
      </c>
      <c r="M1263" s="1" t="s">
        <v>56</v>
      </c>
      <c r="N1263" s="10" t="s">
        <v>74</v>
      </c>
      <c r="Q1263"/>
    </row>
    <row r="1264" spans="1:17" x14ac:dyDescent="0.25">
      <c r="A1264" s="9" t="s">
        <v>2192</v>
      </c>
      <c r="B1264" s="2">
        <v>45149</v>
      </c>
      <c r="C1264" s="1" t="s">
        <v>992</v>
      </c>
      <c r="D1264" s="1" t="s">
        <v>399</v>
      </c>
      <c r="E1264" s="1" t="s">
        <v>34</v>
      </c>
      <c r="F1264" s="1" t="s">
        <v>99</v>
      </c>
      <c r="G1264" s="1" t="s">
        <v>19</v>
      </c>
      <c r="H1264" s="1" t="s">
        <v>20</v>
      </c>
      <c r="I1264" s="1" t="s">
        <v>239</v>
      </c>
      <c r="J1264" s="1">
        <v>9</v>
      </c>
      <c r="K1264" s="3">
        <v>33878.269999999997</v>
      </c>
      <c r="L1264" s="1">
        <v>0</v>
      </c>
      <c r="M1264" s="1" t="s">
        <v>56</v>
      </c>
      <c r="N1264" s="10" t="s">
        <v>45</v>
      </c>
      <c r="Q1264"/>
    </row>
    <row r="1265" spans="1:17" x14ac:dyDescent="0.25">
      <c r="A1265" s="9" t="s">
        <v>2193</v>
      </c>
      <c r="B1265" s="2">
        <v>45157</v>
      </c>
      <c r="C1265" s="1" t="s">
        <v>2194</v>
      </c>
      <c r="D1265" s="1" t="s">
        <v>16</v>
      </c>
      <c r="E1265" s="1" t="s">
        <v>59</v>
      </c>
      <c r="F1265" s="1" t="s">
        <v>49</v>
      </c>
      <c r="G1265" s="1" t="s">
        <v>19</v>
      </c>
      <c r="H1265" s="1" t="s">
        <v>20</v>
      </c>
      <c r="I1265" s="1" t="s">
        <v>214</v>
      </c>
      <c r="J1265" s="1">
        <v>10</v>
      </c>
      <c r="K1265" s="3">
        <v>6664.4</v>
      </c>
      <c r="L1265" s="1">
        <v>15</v>
      </c>
      <c r="M1265" s="1" t="s">
        <v>93</v>
      </c>
      <c r="N1265" s="10" t="s">
        <v>23</v>
      </c>
      <c r="Q1265"/>
    </row>
    <row r="1266" spans="1:17" x14ac:dyDescent="0.25">
      <c r="A1266" s="9" t="s">
        <v>2195</v>
      </c>
      <c r="B1266" s="2">
        <v>45654</v>
      </c>
      <c r="C1266" s="1" t="s">
        <v>1485</v>
      </c>
      <c r="D1266" s="1" t="s">
        <v>40</v>
      </c>
      <c r="E1266" s="1" t="s">
        <v>59</v>
      </c>
      <c r="F1266" s="1" t="s">
        <v>18</v>
      </c>
      <c r="G1266" s="1" t="s">
        <v>83</v>
      </c>
      <c r="H1266" s="1" t="s">
        <v>43</v>
      </c>
      <c r="I1266" s="1" t="s">
        <v>144</v>
      </c>
      <c r="J1266" s="1">
        <v>5</v>
      </c>
      <c r="K1266" s="3">
        <v>11147.66</v>
      </c>
      <c r="L1266" s="1">
        <v>20</v>
      </c>
      <c r="M1266" s="1" t="s">
        <v>63</v>
      </c>
      <c r="N1266" s="10" t="s">
        <v>45</v>
      </c>
      <c r="Q1266"/>
    </row>
    <row r="1267" spans="1:17" x14ac:dyDescent="0.25">
      <c r="A1267" s="9" t="s">
        <v>2196</v>
      </c>
      <c r="B1267" s="2">
        <v>45398</v>
      </c>
      <c r="C1267" s="1" t="s">
        <v>787</v>
      </c>
      <c r="D1267" s="1" t="s">
        <v>40</v>
      </c>
      <c r="E1267" s="1" t="s">
        <v>59</v>
      </c>
      <c r="F1267" s="1" t="s">
        <v>49</v>
      </c>
      <c r="G1267" s="1" t="s">
        <v>53</v>
      </c>
      <c r="H1267" s="1" t="s">
        <v>54</v>
      </c>
      <c r="I1267" s="1" t="s">
        <v>55</v>
      </c>
      <c r="J1267" s="1">
        <v>3</v>
      </c>
      <c r="K1267" s="3">
        <v>9237.1299999999992</v>
      </c>
      <c r="L1267" s="1" t="s">
        <v>110</v>
      </c>
      <c r="M1267" s="1" t="s">
        <v>22</v>
      </c>
      <c r="N1267" s="10" t="s">
        <v>64</v>
      </c>
      <c r="Q1267"/>
    </row>
    <row r="1268" spans="1:17" x14ac:dyDescent="0.25">
      <c r="A1268" s="9" t="s">
        <v>2197</v>
      </c>
      <c r="B1268" s="2">
        <v>45624</v>
      </c>
      <c r="C1268" s="1" t="s">
        <v>1288</v>
      </c>
      <c r="D1268" s="1" t="s">
        <v>81</v>
      </c>
      <c r="E1268" s="1" t="s">
        <v>72</v>
      </c>
      <c r="F1268" s="1" t="s">
        <v>18</v>
      </c>
      <c r="G1268" s="1" t="s">
        <v>19</v>
      </c>
      <c r="H1268" s="1" t="s">
        <v>20</v>
      </c>
      <c r="I1268" s="1" t="s">
        <v>193</v>
      </c>
      <c r="J1268" s="1">
        <v>6</v>
      </c>
      <c r="K1268" s="3">
        <v>14343.58</v>
      </c>
      <c r="L1268" s="1">
        <v>5</v>
      </c>
      <c r="M1268" s="1" t="s">
        <v>93</v>
      </c>
      <c r="N1268" s="10" t="s">
        <v>74</v>
      </c>
      <c r="Q1268"/>
    </row>
    <row r="1269" spans="1:17" x14ac:dyDescent="0.25">
      <c r="A1269" s="9" t="s">
        <v>2198</v>
      </c>
      <c r="B1269" s="2">
        <v>45457</v>
      </c>
      <c r="C1269" s="1" t="s">
        <v>2101</v>
      </c>
      <c r="D1269" s="1" t="s">
        <v>16</v>
      </c>
      <c r="E1269" s="1" t="s">
        <v>59</v>
      </c>
      <c r="F1269" s="1" t="s">
        <v>82</v>
      </c>
      <c r="G1269" s="1" t="s">
        <v>42</v>
      </c>
      <c r="H1269" s="1" t="s">
        <v>43</v>
      </c>
      <c r="I1269" s="1" t="s">
        <v>323</v>
      </c>
      <c r="J1269" s="1">
        <v>2</v>
      </c>
      <c r="K1269" s="3">
        <v>6071.14</v>
      </c>
      <c r="L1269" s="1">
        <v>20</v>
      </c>
      <c r="M1269" s="1" t="s">
        <v>63</v>
      </c>
      <c r="N1269" s="10" t="s">
        <v>45</v>
      </c>
      <c r="Q1269"/>
    </row>
    <row r="1270" spans="1:17" x14ac:dyDescent="0.25">
      <c r="A1270" s="9" t="s">
        <v>2199</v>
      </c>
      <c r="B1270" s="2">
        <v>45600</v>
      </c>
      <c r="C1270" s="1" t="s">
        <v>1823</v>
      </c>
      <c r="D1270" s="1" t="s">
        <v>87</v>
      </c>
      <c r="E1270" s="1" t="s">
        <v>41</v>
      </c>
      <c r="F1270" s="1" t="s">
        <v>60</v>
      </c>
      <c r="G1270" s="1" t="s">
        <v>83</v>
      </c>
      <c r="H1270" s="1" t="s">
        <v>43</v>
      </c>
      <c r="I1270" s="1" t="s">
        <v>394</v>
      </c>
      <c r="J1270" s="1">
        <v>1</v>
      </c>
      <c r="K1270" s="3">
        <v>2213.17</v>
      </c>
      <c r="L1270" s="1">
        <v>20</v>
      </c>
      <c r="M1270" s="1" t="s">
        <v>22</v>
      </c>
      <c r="N1270" s="10" t="s">
        <v>74</v>
      </c>
      <c r="Q1270"/>
    </row>
    <row r="1271" spans="1:17" x14ac:dyDescent="0.25">
      <c r="A1271" s="9" t="s">
        <v>2200</v>
      </c>
      <c r="B1271" s="2">
        <v>45588</v>
      </c>
      <c r="C1271" s="1" t="s">
        <v>200</v>
      </c>
      <c r="D1271" s="1" t="s">
        <v>81</v>
      </c>
      <c r="E1271" s="1" t="s">
        <v>72</v>
      </c>
      <c r="F1271" s="1" t="s">
        <v>49</v>
      </c>
      <c r="G1271" s="1" t="s">
        <v>53</v>
      </c>
      <c r="H1271" s="1" t="s">
        <v>54</v>
      </c>
      <c r="I1271" s="1" t="s">
        <v>554</v>
      </c>
      <c r="J1271" s="1">
        <v>9</v>
      </c>
      <c r="K1271" s="3">
        <v>5945.04</v>
      </c>
      <c r="L1271" s="1">
        <v>20</v>
      </c>
      <c r="M1271" s="1" t="s">
        <v>69</v>
      </c>
      <c r="N1271" s="10" t="s">
        <v>37</v>
      </c>
      <c r="Q1271"/>
    </row>
    <row r="1272" spans="1:17" x14ac:dyDescent="0.25">
      <c r="A1272" s="9" t="s">
        <v>2201</v>
      </c>
      <c r="B1272" s="2">
        <v>45140</v>
      </c>
      <c r="C1272" s="1" t="s">
        <v>958</v>
      </c>
      <c r="D1272" s="1" t="s">
        <v>87</v>
      </c>
      <c r="E1272" s="1" t="s">
        <v>17</v>
      </c>
      <c r="F1272" s="1" t="s">
        <v>99</v>
      </c>
      <c r="G1272" s="1" t="s">
        <v>42</v>
      </c>
      <c r="H1272" s="1" t="s">
        <v>61</v>
      </c>
      <c r="I1272" s="1" t="s">
        <v>185</v>
      </c>
      <c r="J1272" s="1">
        <v>9</v>
      </c>
      <c r="K1272" s="3">
        <v>37597.78</v>
      </c>
      <c r="L1272" s="1">
        <v>20</v>
      </c>
      <c r="M1272" s="1" t="s">
        <v>63</v>
      </c>
      <c r="N1272" s="10" t="s">
        <v>31</v>
      </c>
      <c r="Q1272"/>
    </row>
    <row r="1273" spans="1:17" x14ac:dyDescent="0.25">
      <c r="A1273" s="9" t="s">
        <v>2202</v>
      </c>
      <c r="B1273" s="2">
        <v>45585</v>
      </c>
      <c r="C1273" s="1" t="s">
        <v>1342</v>
      </c>
      <c r="D1273" s="1" t="s">
        <v>16</v>
      </c>
      <c r="E1273" s="1" t="s">
        <v>34</v>
      </c>
      <c r="F1273" s="1" t="s">
        <v>88</v>
      </c>
      <c r="G1273" s="1" t="s">
        <v>42</v>
      </c>
      <c r="H1273" s="1" t="s">
        <v>61</v>
      </c>
      <c r="I1273" s="1" t="s">
        <v>388</v>
      </c>
      <c r="J1273" s="1">
        <v>3</v>
      </c>
      <c r="K1273" s="3">
        <v>9076.76</v>
      </c>
      <c r="L1273" s="1">
        <v>15</v>
      </c>
      <c r="M1273" s="1" t="s">
        <v>22</v>
      </c>
      <c r="N1273" s="10" t="s">
        <v>45</v>
      </c>
      <c r="Q1273"/>
    </row>
    <row r="1274" spans="1:17" x14ac:dyDescent="0.25">
      <c r="A1274" s="9" t="s">
        <v>2203</v>
      </c>
      <c r="B1274" s="2">
        <v>45103</v>
      </c>
      <c r="C1274" s="1" t="s">
        <v>1564</v>
      </c>
      <c r="D1274" s="1" t="s">
        <v>52</v>
      </c>
      <c r="E1274" s="1" t="s">
        <v>72</v>
      </c>
      <c r="F1274" s="1" t="s">
        <v>60</v>
      </c>
      <c r="G1274" s="1" t="s">
        <v>19</v>
      </c>
      <c r="H1274" s="1" t="s">
        <v>20</v>
      </c>
      <c r="I1274" s="1" t="s">
        <v>280</v>
      </c>
      <c r="J1274" s="1">
        <v>8</v>
      </c>
      <c r="K1274" s="3">
        <v>4061.23</v>
      </c>
      <c r="L1274" s="1">
        <v>10</v>
      </c>
      <c r="M1274" s="1" t="s">
        <v>22</v>
      </c>
      <c r="N1274" s="10" t="s">
        <v>31</v>
      </c>
      <c r="Q1274"/>
    </row>
    <row r="1275" spans="1:17" x14ac:dyDescent="0.25">
      <c r="A1275" s="9" t="s">
        <v>2204</v>
      </c>
      <c r="B1275" s="2">
        <v>45087</v>
      </c>
      <c r="C1275" s="1" t="s">
        <v>2205</v>
      </c>
      <c r="D1275" s="1" t="s">
        <v>33</v>
      </c>
      <c r="E1275" s="1" t="s">
        <v>27</v>
      </c>
      <c r="F1275" s="1" t="s">
        <v>82</v>
      </c>
      <c r="G1275" s="1" t="s">
        <v>83</v>
      </c>
      <c r="H1275" s="1" t="s">
        <v>43</v>
      </c>
      <c r="I1275" s="1" t="s">
        <v>348</v>
      </c>
      <c r="J1275" s="1">
        <v>3</v>
      </c>
      <c r="K1275" s="3">
        <v>1546.36</v>
      </c>
      <c r="L1275" s="1">
        <v>15</v>
      </c>
      <c r="M1275" s="1" t="s">
        <v>36</v>
      </c>
      <c r="N1275" s="10" t="s">
        <v>23</v>
      </c>
      <c r="Q1275"/>
    </row>
    <row r="1276" spans="1:17" x14ac:dyDescent="0.25">
      <c r="A1276" s="9" t="s">
        <v>2206</v>
      </c>
      <c r="B1276" s="2">
        <v>45021</v>
      </c>
      <c r="C1276" s="1" t="s">
        <v>942</v>
      </c>
      <c r="D1276" s="1" t="s">
        <v>161</v>
      </c>
      <c r="E1276" s="1" t="s">
        <v>34</v>
      </c>
      <c r="F1276" s="1" t="s">
        <v>18</v>
      </c>
      <c r="G1276" s="1" t="s">
        <v>53</v>
      </c>
      <c r="H1276" s="1" t="s">
        <v>54</v>
      </c>
      <c r="I1276" s="1" t="s">
        <v>558</v>
      </c>
      <c r="J1276" s="1">
        <v>5</v>
      </c>
      <c r="K1276" s="3">
        <v>19174.63</v>
      </c>
      <c r="L1276" s="1" t="s">
        <v>110</v>
      </c>
      <c r="M1276" s="1" t="s">
        <v>93</v>
      </c>
      <c r="N1276" s="10" t="s">
        <v>23</v>
      </c>
      <c r="Q1276"/>
    </row>
    <row r="1277" spans="1:17" x14ac:dyDescent="0.25">
      <c r="A1277" s="9" t="s">
        <v>2207</v>
      </c>
      <c r="B1277" s="2">
        <v>45628</v>
      </c>
      <c r="C1277" s="1" t="s">
        <v>474</v>
      </c>
      <c r="D1277" s="1" t="s">
        <v>52</v>
      </c>
      <c r="E1277" s="1" t="s">
        <v>59</v>
      </c>
      <c r="F1277" s="1" t="s">
        <v>82</v>
      </c>
      <c r="G1277" s="1" t="s">
        <v>19</v>
      </c>
      <c r="H1277" s="1" t="s">
        <v>20</v>
      </c>
      <c r="I1277" s="1" t="s">
        <v>127</v>
      </c>
      <c r="J1277" s="1">
        <v>3</v>
      </c>
      <c r="K1277" s="3">
        <v>13393.05</v>
      </c>
      <c r="L1277" s="1">
        <v>20</v>
      </c>
      <c r="M1277" s="1" t="s">
        <v>63</v>
      </c>
      <c r="N1277" s="10" t="s">
        <v>74</v>
      </c>
      <c r="Q1277"/>
    </row>
    <row r="1278" spans="1:17" x14ac:dyDescent="0.25">
      <c r="A1278" s="9" t="s">
        <v>2208</v>
      </c>
      <c r="B1278" s="2">
        <v>45105</v>
      </c>
      <c r="C1278" s="1" t="s">
        <v>1834</v>
      </c>
      <c r="D1278" s="1" t="s">
        <v>87</v>
      </c>
      <c r="E1278" s="1" t="s">
        <v>72</v>
      </c>
      <c r="F1278" s="1" t="s">
        <v>60</v>
      </c>
      <c r="G1278" s="1" t="s">
        <v>42</v>
      </c>
      <c r="H1278" s="1" t="s">
        <v>43</v>
      </c>
      <c r="I1278" s="1" t="s">
        <v>44</v>
      </c>
      <c r="J1278" s="1">
        <v>2</v>
      </c>
      <c r="K1278" s="3">
        <v>4201.91</v>
      </c>
      <c r="L1278" s="1">
        <v>10</v>
      </c>
      <c r="M1278" s="1" t="s">
        <v>22</v>
      </c>
      <c r="N1278" s="10" t="s">
        <v>37</v>
      </c>
      <c r="Q1278"/>
    </row>
    <row r="1279" spans="1:17" x14ac:dyDescent="0.25">
      <c r="A1279" s="9" t="s">
        <v>2209</v>
      </c>
      <c r="B1279" s="2">
        <v>45448</v>
      </c>
      <c r="C1279" s="1" t="s">
        <v>1458</v>
      </c>
      <c r="D1279" s="1" t="s">
        <v>40</v>
      </c>
      <c r="E1279" s="1" t="s">
        <v>72</v>
      </c>
      <c r="F1279" s="1" t="s">
        <v>60</v>
      </c>
      <c r="G1279" s="1" t="s">
        <v>19</v>
      </c>
      <c r="H1279" s="1" t="s">
        <v>29</v>
      </c>
      <c r="I1279" s="1" t="s">
        <v>370</v>
      </c>
      <c r="J1279" s="1">
        <v>7</v>
      </c>
      <c r="K1279" s="3">
        <v>9523.09</v>
      </c>
      <c r="L1279" s="1" t="s">
        <v>110</v>
      </c>
      <c r="M1279" s="1" t="s">
        <v>56</v>
      </c>
      <c r="N1279" s="10" t="s">
        <v>45</v>
      </c>
      <c r="Q1279"/>
    </row>
    <row r="1280" spans="1:17" x14ac:dyDescent="0.25">
      <c r="A1280" s="9" t="s">
        <v>2210</v>
      </c>
      <c r="B1280" s="2">
        <v>45285</v>
      </c>
      <c r="C1280" s="1" t="s">
        <v>1288</v>
      </c>
      <c r="D1280" s="1" t="s">
        <v>81</v>
      </c>
      <c r="E1280" s="1" t="s">
        <v>72</v>
      </c>
      <c r="F1280" s="1" t="s">
        <v>28</v>
      </c>
      <c r="G1280" s="1" t="s">
        <v>19</v>
      </c>
      <c r="H1280" s="1" t="s">
        <v>20</v>
      </c>
      <c r="I1280" s="1" t="s">
        <v>788</v>
      </c>
      <c r="J1280" s="1">
        <v>9</v>
      </c>
      <c r="K1280" s="3">
        <v>43130.97</v>
      </c>
      <c r="L1280" s="1">
        <v>15</v>
      </c>
      <c r="M1280" s="1" t="s">
        <v>36</v>
      </c>
      <c r="N1280" s="10" t="s">
        <v>74</v>
      </c>
      <c r="Q1280"/>
    </row>
    <row r="1281" spans="1:17" x14ac:dyDescent="0.25">
      <c r="A1281" s="9" t="s">
        <v>2211</v>
      </c>
      <c r="B1281" s="2">
        <v>44928</v>
      </c>
      <c r="C1281" s="1" t="s">
        <v>86</v>
      </c>
      <c r="D1281" s="1" t="s">
        <v>67</v>
      </c>
      <c r="E1281" s="1" t="s">
        <v>59</v>
      </c>
      <c r="F1281" s="1" t="s">
        <v>49</v>
      </c>
      <c r="G1281" s="1" t="s">
        <v>83</v>
      </c>
      <c r="H1281" s="1" t="s">
        <v>43</v>
      </c>
      <c r="I1281" s="1" t="s">
        <v>157</v>
      </c>
      <c r="J1281" s="1">
        <v>10</v>
      </c>
      <c r="K1281" s="3">
        <v>3580.98</v>
      </c>
      <c r="L1281" s="1">
        <v>15</v>
      </c>
      <c r="M1281" s="1" t="s">
        <v>36</v>
      </c>
      <c r="N1281" s="10" t="s">
        <v>23</v>
      </c>
      <c r="Q1281"/>
    </row>
    <row r="1282" spans="1:17" x14ac:dyDescent="0.25">
      <c r="A1282" s="9" t="s">
        <v>2212</v>
      </c>
      <c r="B1282" s="2">
        <v>45045</v>
      </c>
      <c r="C1282" s="1" t="s">
        <v>417</v>
      </c>
      <c r="D1282" s="1" t="s">
        <v>26</v>
      </c>
      <c r="E1282" s="1" t="s">
        <v>17</v>
      </c>
      <c r="F1282" s="1" t="s">
        <v>88</v>
      </c>
      <c r="G1282" s="1" t="s">
        <v>83</v>
      </c>
      <c r="H1282" s="1" t="s">
        <v>43</v>
      </c>
      <c r="I1282" s="1" t="s">
        <v>323</v>
      </c>
      <c r="J1282" s="1">
        <v>8</v>
      </c>
      <c r="K1282" s="3">
        <v>6537.6</v>
      </c>
      <c r="L1282" s="1">
        <v>10</v>
      </c>
      <c r="M1282" s="1" t="s">
        <v>56</v>
      </c>
      <c r="N1282" s="10" t="s">
        <v>31</v>
      </c>
      <c r="Q1282"/>
    </row>
    <row r="1283" spans="1:17" x14ac:dyDescent="0.25">
      <c r="A1283" s="9" t="s">
        <v>2213</v>
      </c>
      <c r="B1283" s="2">
        <v>45339</v>
      </c>
      <c r="C1283" s="1" t="s">
        <v>260</v>
      </c>
      <c r="D1283" s="1" t="s">
        <v>67</v>
      </c>
      <c r="E1283" s="1" t="s">
        <v>72</v>
      </c>
      <c r="F1283" s="1" t="s">
        <v>18</v>
      </c>
      <c r="G1283" s="1" t="s">
        <v>19</v>
      </c>
      <c r="H1283" s="1" t="s">
        <v>20</v>
      </c>
      <c r="I1283" s="1" t="s">
        <v>214</v>
      </c>
      <c r="J1283" s="1">
        <v>5</v>
      </c>
      <c r="K1283" s="3">
        <v>6663.64</v>
      </c>
      <c r="L1283" s="1" t="s">
        <v>110</v>
      </c>
      <c r="M1283" s="1" t="s">
        <v>93</v>
      </c>
      <c r="N1283" s="10" t="s">
        <v>31</v>
      </c>
      <c r="Q1283"/>
    </row>
    <row r="1284" spans="1:17" x14ac:dyDescent="0.25">
      <c r="A1284" s="9" t="s">
        <v>2214</v>
      </c>
      <c r="B1284" s="2">
        <v>45506</v>
      </c>
      <c r="C1284" s="1" t="s">
        <v>2215</v>
      </c>
      <c r="D1284" s="1" t="s">
        <v>33</v>
      </c>
      <c r="E1284" s="1" t="s">
        <v>41</v>
      </c>
      <c r="F1284" s="1" t="s">
        <v>28</v>
      </c>
      <c r="G1284" s="1" t="s">
        <v>19</v>
      </c>
      <c r="H1284" s="1" t="s">
        <v>29</v>
      </c>
      <c r="I1284" s="1" t="s">
        <v>267</v>
      </c>
      <c r="J1284" s="1">
        <v>9</v>
      </c>
      <c r="K1284" s="3">
        <v>14712.93</v>
      </c>
      <c r="L1284" s="1">
        <v>5</v>
      </c>
      <c r="M1284" s="1" t="s">
        <v>22</v>
      </c>
      <c r="N1284" s="10" t="s">
        <v>64</v>
      </c>
      <c r="Q1284"/>
    </row>
    <row r="1285" spans="1:17" x14ac:dyDescent="0.25">
      <c r="A1285" s="9" t="s">
        <v>2217</v>
      </c>
      <c r="B1285" s="2">
        <v>45034</v>
      </c>
      <c r="C1285" s="1" t="s">
        <v>2218</v>
      </c>
      <c r="D1285" s="1" t="s">
        <v>40</v>
      </c>
      <c r="E1285" s="1" t="s">
        <v>34</v>
      </c>
      <c r="F1285" s="1" t="s">
        <v>60</v>
      </c>
      <c r="G1285" s="1" t="s">
        <v>19</v>
      </c>
      <c r="H1285" s="1" t="s">
        <v>29</v>
      </c>
      <c r="I1285" s="1" t="s">
        <v>370</v>
      </c>
      <c r="J1285" s="1">
        <v>10</v>
      </c>
      <c r="K1285" s="3">
        <v>43182.36</v>
      </c>
      <c r="L1285" s="1">
        <v>20</v>
      </c>
      <c r="M1285" s="1" t="s">
        <v>56</v>
      </c>
      <c r="N1285" s="10" t="s">
        <v>23</v>
      </c>
      <c r="Q1285"/>
    </row>
    <row r="1286" spans="1:17" x14ac:dyDescent="0.25">
      <c r="A1286" s="9" t="s">
        <v>2219</v>
      </c>
      <c r="B1286" s="2">
        <v>45627</v>
      </c>
      <c r="C1286" s="1" t="s">
        <v>1983</v>
      </c>
      <c r="D1286" s="1" t="s">
        <v>71</v>
      </c>
      <c r="E1286" s="1" t="s">
        <v>34</v>
      </c>
      <c r="F1286" s="1" t="s">
        <v>88</v>
      </c>
      <c r="G1286" s="1" t="s">
        <v>53</v>
      </c>
      <c r="H1286" s="1" t="s">
        <v>54</v>
      </c>
      <c r="I1286" s="1" t="s">
        <v>109</v>
      </c>
      <c r="J1286" s="1">
        <v>9</v>
      </c>
      <c r="K1286" s="3">
        <v>32411.18</v>
      </c>
      <c r="L1286" s="1">
        <v>10</v>
      </c>
      <c r="M1286" s="1" t="s">
        <v>63</v>
      </c>
      <c r="N1286" s="10" t="s">
        <v>37</v>
      </c>
      <c r="Q1286"/>
    </row>
    <row r="1287" spans="1:17" x14ac:dyDescent="0.25">
      <c r="A1287" s="9" t="s">
        <v>2220</v>
      </c>
      <c r="B1287" s="2">
        <v>45642</v>
      </c>
      <c r="C1287" s="1" t="s">
        <v>1788</v>
      </c>
      <c r="D1287" s="1" t="s">
        <v>52</v>
      </c>
      <c r="E1287" s="1" t="s">
        <v>59</v>
      </c>
      <c r="F1287" s="1" t="s">
        <v>82</v>
      </c>
      <c r="G1287" s="1" t="s">
        <v>42</v>
      </c>
      <c r="H1287" s="1" t="s">
        <v>61</v>
      </c>
      <c r="I1287" s="1" t="s">
        <v>68</v>
      </c>
      <c r="J1287" s="1">
        <v>1</v>
      </c>
      <c r="K1287" s="3">
        <v>3443.27</v>
      </c>
      <c r="L1287" s="1">
        <v>15</v>
      </c>
      <c r="M1287" s="1" t="s">
        <v>22</v>
      </c>
      <c r="N1287" s="10" t="s">
        <v>74</v>
      </c>
      <c r="Q1287"/>
    </row>
    <row r="1288" spans="1:17" x14ac:dyDescent="0.25">
      <c r="A1288" s="9" t="s">
        <v>2221</v>
      </c>
      <c r="B1288" s="2">
        <v>45123</v>
      </c>
      <c r="C1288" s="1" t="s">
        <v>585</v>
      </c>
      <c r="D1288" s="1" t="s">
        <v>67</v>
      </c>
      <c r="E1288" s="1" t="s">
        <v>72</v>
      </c>
      <c r="F1288" s="1" t="s">
        <v>49</v>
      </c>
      <c r="G1288" s="1" t="s">
        <v>83</v>
      </c>
      <c r="H1288" s="1" t="s">
        <v>43</v>
      </c>
      <c r="I1288" s="1" t="s">
        <v>394</v>
      </c>
      <c r="J1288" s="1">
        <v>9</v>
      </c>
      <c r="K1288" s="3">
        <v>27842.06</v>
      </c>
      <c r="L1288" s="1">
        <v>0</v>
      </c>
      <c r="M1288" s="1" t="s">
        <v>93</v>
      </c>
      <c r="N1288" s="10" t="s">
        <v>64</v>
      </c>
      <c r="Q1288"/>
    </row>
    <row r="1289" spans="1:17" x14ac:dyDescent="0.25">
      <c r="A1289" s="9" t="s">
        <v>2222</v>
      </c>
      <c r="B1289" s="2">
        <v>44951</v>
      </c>
      <c r="C1289" s="1" t="s">
        <v>1110</v>
      </c>
      <c r="D1289" s="1" t="s">
        <v>71</v>
      </c>
      <c r="E1289" s="1" t="s">
        <v>59</v>
      </c>
      <c r="F1289" s="1" t="s">
        <v>99</v>
      </c>
      <c r="G1289" s="1" t="s">
        <v>42</v>
      </c>
      <c r="H1289" s="1" t="s">
        <v>61</v>
      </c>
      <c r="I1289" s="1" t="s">
        <v>217</v>
      </c>
      <c r="J1289" s="1">
        <v>7</v>
      </c>
      <c r="K1289" s="3">
        <v>22482.42</v>
      </c>
      <c r="L1289" s="1">
        <v>20</v>
      </c>
      <c r="M1289" s="1" t="s">
        <v>93</v>
      </c>
      <c r="N1289" s="10" t="s">
        <v>23</v>
      </c>
      <c r="Q1289"/>
    </row>
    <row r="1290" spans="1:17" x14ac:dyDescent="0.25">
      <c r="A1290" s="9" t="s">
        <v>2223</v>
      </c>
      <c r="B1290" s="2">
        <v>45416</v>
      </c>
      <c r="C1290" s="1" t="s">
        <v>2224</v>
      </c>
      <c r="D1290" s="1" t="s">
        <v>81</v>
      </c>
      <c r="E1290" s="1" t="s">
        <v>34</v>
      </c>
      <c r="F1290" s="1" t="s">
        <v>99</v>
      </c>
      <c r="G1290" s="1" t="s">
        <v>19</v>
      </c>
      <c r="H1290" s="1" t="s">
        <v>29</v>
      </c>
      <c r="I1290" s="1" t="s">
        <v>223</v>
      </c>
      <c r="J1290" s="1">
        <v>8</v>
      </c>
      <c r="K1290" s="3">
        <v>6143.02</v>
      </c>
      <c r="L1290" s="1">
        <v>20</v>
      </c>
      <c r="M1290" s="1" t="s">
        <v>63</v>
      </c>
      <c r="N1290" s="10" t="s">
        <v>74</v>
      </c>
      <c r="Q1290"/>
    </row>
    <row r="1291" spans="1:17" x14ac:dyDescent="0.25">
      <c r="A1291" s="9" t="s">
        <v>2225</v>
      </c>
      <c r="B1291" s="2">
        <v>45147</v>
      </c>
      <c r="C1291" s="1" t="s">
        <v>2226</v>
      </c>
      <c r="D1291" s="1" t="s">
        <v>81</v>
      </c>
      <c r="E1291" s="1" t="s">
        <v>27</v>
      </c>
      <c r="F1291" s="1" t="s">
        <v>18</v>
      </c>
      <c r="G1291" s="1" t="s">
        <v>19</v>
      </c>
      <c r="H1291" s="1" t="s">
        <v>20</v>
      </c>
      <c r="I1291" s="1" t="s">
        <v>176</v>
      </c>
      <c r="J1291" s="1">
        <v>4</v>
      </c>
      <c r="K1291" s="3">
        <v>2656.76</v>
      </c>
      <c r="L1291" s="1">
        <v>10</v>
      </c>
      <c r="M1291" s="1" t="s">
        <v>69</v>
      </c>
      <c r="N1291" s="10" t="s">
        <v>45</v>
      </c>
      <c r="Q1291"/>
    </row>
    <row r="1292" spans="1:17" x14ac:dyDescent="0.25">
      <c r="A1292" s="9" t="s">
        <v>2227</v>
      </c>
      <c r="B1292" s="2">
        <v>45612</v>
      </c>
      <c r="C1292" s="1" t="s">
        <v>1085</v>
      </c>
      <c r="D1292" s="1" t="s">
        <v>67</v>
      </c>
      <c r="E1292" s="1" t="s">
        <v>72</v>
      </c>
      <c r="F1292" s="1" t="s">
        <v>28</v>
      </c>
      <c r="G1292" s="1" t="s">
        <v>42</v>
      </c>
      <c r="H1292" s="1" t="s">
        <v>43</v>
      </c>
      <c r="I1292" s="1" t="s">
        <v>182</v>
      </c>
      <c r="J1292" s="1">
        <v>10</v>
      </c>
      <c r="K1292" s="3">
        <v>49542.77</v>
      </c>
      <c r="L1292" s="1">
        <v>10</v>
      </c>
      <c r="M1292" s="1" t="s">
        <v>22</v>
      </c>
      <c r="N1292" s="10" t="s">
        <v>64</v>
      </c>
      <c r="Q1292"/>
    </row>
    <row r="1293" spans="1:17" x14ac:dyDescent="0.25">
      <c r="A1293" s="9" t="s">
        <v>2228</v>
      </c>
      <c r="B1293" s="2">
        <v>45200</v>
      </c>
      <c r="C1293" s="1" t="s">
        <v>637</v>
      </c>
      <c r="D1293" s="1" t="s">
        <v>40</v>
      </c>
      <c r="E1293" s="1" t="s">
        <v>17</v>
      </c>
      <c r="F1293" s="1" t="s">
        <v>88</v>
      </c>
      <c r="G1293" s="1" t="s">
        <v>42</v>
      </c>
      <c r="H1293" s="1" t="s">
        <v>61</v>
      </c>
      <c r="I1293" s="1" t="s">
        <v>402</v>
      </c>
      <c r="J1293" s="1">
        <v>2</v>
      </c>
      <c r="K1293" s="3">
        <v>4867.05</v>
      </c>
      <c r="L1293" s="1">
        <v>10</v>
      </c>
      <c r="M1293" s="1" t="s">
        <v>93</v>
      </c>
      <c r="N1293" s="10" t="s">
        <v>31</v>
      </c>
      <c r="Q1293"/>
    </row>
    <row r="1294" spans="1:17" x14ac:dyDescent="0.25">
      <c r="A1294" s="9" t="s">
        <v>2229</v>
      </c>
      <c r="B1294" s="2">
        <v>45375</v>
      </c>
      <c r="C1294" s="1" t="s">
        <v>1167</v>
      </c>
      <c r="D1294" s="1" t="s">
        <v>33</v>
      </c>
      <c r="E1294" s="1" t="s">
        <v>41</v>
      </c>
      <c r="F1294" s="1" t="s">
        <v>99</v>
      </c>
      <c r="G1294" s="1" t="s">
        <v>53</v>
      </c>
      <c r="H1294" s="1" t="s">
        <v>54</v>
      </c>
      <c r="I1294" s="1" t="s">
        <v>518</v>
      </c>
      <c r="J1294" s="1">
        <v>5</v>
      </c>
      <c r="K1294" s="3">
        <v>17262.3</v>
      </c>
      <c r="L1294" s="1">
        <v>10</v>
      </c>
      <c r="M1294" s="1" t="s">
        <v>56</v>
      </c>
      <c r="N1294" s="10" t="s">
        <v>74</v>
      </c>
      <c r="Q1294"/>
    </row>
    <row r="1295" spans="1:17" x14ac:dyDescent="0.25">
      <c r="A1295" s="9" t="s">
        <v>2230</v>
      </c>
      <c r="B1295" s="2">
        <v>45144</v>
      </c>
      <c r="C1295" s="1" t="s">
        <v>417</v>
      </c>
      <c r="D1295" s="1" t="s">
        <v>33</v>
      </c>
      <c r="E1295" s="1" t="s">
        <v>72</v>
      </c>
      <c r="F1295" s="1" t="s">
        <v>28</v>
      </c>
      <c r="G1295" s="1" t="s">
        <v>19</v>
      </c>
      <c r="H1295" s="1" t="s">
        <v>29</v>
      </c>
      <c r="I1295" s="1" t="s">
        <v>556</v>
      </c>
      <c r="J1295" s="1">
        <v>6</v>
      </c>
      <c r="K1295" s="3">
        <v>20361.189999999999</v>
      </c>
      <c r="L1295" s="1">
        <v>10</v>
      </c>
      <c r="M1295" s="1" t="s">
        <v>63</v>
      </c>
      <c r="N1295" s="10" t="s">
        <v>31</v>
      </c>
      <c r="Q1295"/>
    </row>
    <row r="1296" spans="1:17" x14ac:dyDescent="0.25">
      <c r="A1296" s="9" t="s">
        <v>2231</v>
      </c>
      <c r="B1296" s="2">
        <v>44985</v>
      </c>
      <c r="C1296" s="1" t="s">
        <v>2232</v>
      </c>
      <c r="D1296" s="1" t="s">
        <v>77</v>
      </c>
      <c r="E1296" s="1" t="s">
        <v>41</v>
      </c>
      <c r="F1296" s="1" t="s">
        <v>88</v>
      </c>
      <c r="G1296" s="1" t="s">
        <v>53</v>
      </c>
      <c r="H1296" s="1" t="s">
        <v>54</v>
      </c>
      <c r="I1296" s="1" t="s">
        <v>121</v>
      </c>
      <c r="J1296" s="1">
        <v>4</v>
      </c>
      <c r="K1296" s="3">
        <v>14331.41</v>
      </c>
      <c r="L1296" s="1">
        <v>10</v>
      </c>
      <c r="M1296" s="1" t="s">
        <v>69</v>
      </c>
      <c r="N1296" s="10" t="s">
        <v>31</v>
      </c>
      <c r="Q1296"/>
    </row>
    <row r="1297" spans="1:17" x14ac:dyDescent="0.25">
      <c r="A1297" s="9" t="s">
        <v>2233</v>
      </c>
      <c r="B1297" s="2">
        <v>45642</v>
      </c>
      <c r="C1297" s="1" t="s">
        <v>1843</v>
      </c>
      <c r="D1297" s="1" t="s">
        <v>81</v>
      </c>
      <c r="E1297" s="1" t="s">
        <v>72</v>
      </c>
      <c r="F1297" s="1" t="s">
        <v>60</v>
      </c>
      <c r="G1297" s="1" t="s">
        <v>19</v>
      </c>
      <c r="H1297" s="1" t="s">
        <v>29</v>
      </c>
      <c r="I1297" s="1" t="s">
        <v>556</v>
      </c>
      <c r="J1297" s="1">
        <v>9</v>
      </c>
      <c r="K1297" s="3">
        <v>2495.35</v>
      </c>
      <c r="L1297" s="1">
        <v>5</v>
      </c>
      <c r="M1297" s="1" t="s">
        <v>69</v>
      </c>
      <c r="N1297" s="10" t="s">
        <v>45</v>
      </c>
      <c r="Q1297"/>
    </row>
    <row r="1298" spans="1:17" x14ac:dyDescent="0.25">
      <c r="A1298" s="9" t="s">
        <v>2234</v>
      </c>
      <c r="B1298" s="2">
        <v>45479</v>
      </c>
      <c r="C1298" s="1" t="s">
        <v>1986</v>
      </c>
      <c r="D1298" s="1" t="s">
        <v>67</v>
      </c>
      <c r="E1298" s="1" t="s">
        <v>72</v>
      </c>
      <c r="F1298" s="1" t="s">
        <v>18</v>
      </c>
      <c r="G1298" s="1" t="s">
        <v>53</v>
      </c>
      <c r="H1298" s="1" t="s">
        <v>54</v>
      </c>
      <c r="I1298" s="1" t="s">
        <v>132</v>
      </c>
      <c r="J1298" s="1">
        <v>3</v>
      </c>
      <c r="K1298" s="3">
        <v>12950.31</v>
      </c>
      <c r="L1298" s="1">
        <v>0</v>
      </c>
      <c r="M1298" s="1" t="s">
        <v>69</v>
      </c>
      <c r="N1298" s="10" t="s">
        <v>64</v>
      </c>
      <c r="Q1298"/>
    </row>
    <row r="1299" spans="1:17" x14ac:dyDescent="0.25">
      <c r="A1299" s="9" t="s">
        <v>2235</v>
      </c>
      <c r="B1299" s="2">
        <v>45034</v>
      </c>
      <c r="C1299" s="1" t="s">
        <v>2236</v>
      </c>
      <c r="D1299" s="1" t="s">
        <v>33</v>
      </c>
      <c r="E1299" s="1" t="s">
        <v>72</v>
      </c>
      <c r="F1299" s="1" t="s">
        <v>18</v>
      </c>
      <c r="G1299" s="1" t="s">
        <v>83</v>
      </c>
      <c r="H1299" s="1" t="s">
        <v>43</v>
      </c>
      <c r="I1299" s="1" t="s">
        <v>258</v>
      </c>
      <c r="J1299" s="1">
        <v>3</v>
      </c>
      <c r="K1299" s="3">
        <v>11023.06</v>
      </c>
      <c r="L1299" s="1">
        <v>20</v>
      </c>
      <c r="M1299" s="1" t="s">
        <v>69</v>
      </c>
      <c r="N1299" s="10" t="s">
        <v>37</v>
      </c>
      <c r="Q1299"/>
    </row>
    <row r="1300" spans="1:17" x14ac:dyDescent="0.25">
      <c r="A1300" s="9" t="s">
        <v>2237</v>
      </c>
      <c r="B1300" s="2">
        <v>45015</v>
      </c>
      <c r="C1300" s="1" t="s">
        <v>1883</v>
      </c>
      <c r="D1300" s="1" t="s">
        <v>52</v>
      </c>
      <c r="E1300" s="1" t="s">
        <v>27</v>
      </c>
      <c r="F1300" s="1" t="s">
        <v>49</v>
      </c>
      <c r="G1300" s="1" t="s">
        <v>42</v>
      </c>
      <c r="H1300" s="1" t="s">
        <v>43</v>
      </c>
      <c r="I1300" s="1" t="s">
        <v>494</v>
      </c>
      <c r="J1300" s="1">
        <v>10</v>
      </c>
      <c r="K1300" s="3">
        <v>17332.240000000002</v>
      </c>
      <c r="L1300" s="1">
        <v>5</v>
      </c>
      <c r="M1300" s="1" t="s">
        <v>63</v>
      </c>
      <c r="N1300" s="10" t="s">
        <v>31</v>
      </c>
      <c r="Q1300"/>
    </row>
    <row r="1301" spans="1:17" x14ac:dyDescent="0.25">
      <c r="A1301" s="9" t="s">
        <v>2238</v>
      </c>
      <c r="B1301" s="2">
        <v>45309</v>
      </c>
      <c r="C1301" s="1" t="s">
        <v>304</v>
      </c>
      <c r="D1301" s="1" t="s">
        <v>87</v>
      </c>
      <c r="E1301" s="1" t="s">
        <v>17</v>
      </c>
      <c r="F1301" s="1" t="s">
        <v>18</v>
      </c>
      <c r="G1301" s="1" t="s">
        <v>42</v>
      </c>
      <c r="H1301" s="1" t="s">
        <v>43</v>
      </c>
      <c r="I1301" s="1" t="s">
        <v>572</v>
      </c>
      <c r="J1301" s="1">
        <v>10</v>
      </c>
      <c r="K1301" s="3">
        <v>7512.13</v>
      </c>
      <c r="L1301" s="1">
        <v>0</v>
      </c>
      <c r="M1301" s="1" t="s">
        <v>36</v>
      </c>
      <c r="N1301" s="10" t="s">
        <v>74</v>
      </c>
      <c r="Q1301"/>
    </row>
    <row r="1302" spans="1:17" x14ac:dyDescent="0.25">
      <c r="A1302" s="9" t="s">
        <v>2239</v>
      </c>
      <c r="B1302" s="2">
        <v>45090</v>
      </c>
      <c r="C1302" s="1" t="s">
        <v>533</v>
      </c>
      <c r="D1302" s="1" t="s">
        <v>40</v>
      </c>
      <c r="E1302" s="1" t="s">
        <v>41</v>
      </c>
      <c r="F1302" s="1" t="s">
        <v>88</v>
      </c>
      <c r="G1302" s="1" t="s">
        <v>42</v>
      </c>
      <c r="H1302" s="1" t="s">
        <v>43</v>
      </c>
      <c r="I1302" s="1" t="s">
        <v>258</v>
      </c>
      <c r="J1302" s="1">
        <v>2</v>
      </c>
      <c r="K1302" s="3">
        <v>7785.76</v>
      </c>
      <c r="L1302" s="1">
        <v>5</v>
      </c>
      <c r="M1302" s="1" t="s">
        <v>22</v>
      </c>
      <c r="N1302" s="10" t="s">
        <v>31</v>
      </c>
      <c r="Q1302"/>
    </row>
    <row r="1303" spans="1:17" x14ac:dyDescent="0.25">
      <c r="A1303" s="9" t="s">
        <v>2240</v>
      </c>
      <c r="B1303" s="2">
        <v>45197</v>
      </c>
      <c r="C1303" s="1" t="s">
        <v>1739</v>
      </c>
      <c r="D1303" s="1" t="s">
        <v>399</v>
      </c>
      <c r="E1303" s="1" t="s">
        <v>72</v>
      </c>
      <c r="F1303" s="1" t="s">
        <v>99</v>
      </c>
      <c r="G1303" s="1" t="s">
        <v>42</v>
      </c>
      <c r="H1303" s="1" t="s">
        <v>43</v>
      </c>
      <c r="I1303" s="1" t="s">
        <v>288</v>
      </c>
      <c r="J1303" s="1">
        <v>1</v>
      </c>
      <c r="K1303" s="3">
        <v>3988.4</v>
      </c>
      <c r="L1303" s="1">
        <v>5</v>
      </c>
      <c r="M1303" s="1" t="s">
        <v>56</v>
      </c>
      <c r="N1303" s="10" t="s">
        <v>45</v>
      </c>
      <c r="Q1303"/>
    </row>
    <row r="1304" spans="1:17" x14ac:dyDescent="0.25">
      <c r="A1304" s="9" t="s">
        <v>2241</v>
      </c>
      <c r="B1304" s="2">
        <v>45413</v>
      </c>
      <c r="C1304" s="1" t="s">
        <v>1027</v>
      </c>
      <c r="D1304" s="1" t="s">
        <v>33</v>
      </c>
      <c r="E1304" s="1" t="s">
        <v>59</v>
      </c>
      <c r="F1304" s="1" t="s">
        <v>28</v>
      </c>
      <c r="G1304" s="1" t="s">
        <v>19</v>
      </c>
      <c r="H1304" s="1" t="s">
        <v>20</v>
      </c>
      <c r="I1304" s="1" t="s">
        <v>801</v>
      </c>
      <c r="J1304" s="1">
        <v>4</v>
      </c>
      <c r="K1304" s="3">
        <v>13674.4</v>
      </c>
      <c r="L1304" s="1">
        <v>0</v>
      </c>
      <c r="M1304" s="1" t="s">
        <v>22</v>
      </c>
      <c r="N1304" s="10" t="s">
        <v>64</v>
      </c>
      <c r="Q1304"/>
    </row>
    <row r="1305" spans="1:17" x14ac:dyDescent="0.25">
      <c r="A1305" s="9" t="s">
        <v>2242</v>
      </c>
      <c r="B1305" s="2">
        <v>45411</v>
      </c>
      <c r="C1305" s="1" t="s">
        <v>2122</v>
      </c>
      <c r="D1305" s="1" t="s">
        <v>118</v>
      </c>
      <c r="E1305" s="1" t="s">
        <v>17</v>
      </c>
      <c r="F1305" s="1" t="s">
        <v>28</v>
      </c>
      <c r="G1305" s="1" t="s">
        <v>53</v>
      </c>
      <c r="H1305" s="1" t="s">
        <v>54</v>
      </c>
      <c r="I1305" s="1" t="s">
        <v>55</v>
      </c>
      <c r="J1305" s="1">
        <v>2</v>
      </c>
      <c r="K1305" s="3">
        <v>8036.98</v>
      </c>
      <c r="L1305" s="1" t="s">
        <v>110</v>
      </c>
      <c r="M1305" s="1" t="s">
        <v>93</v>
      </c>
      <c r="N1305" s="10" t="s">
        <v>45</v>
      </c>
      <c r="Q1305"/>
    </row>
    <row r="1306" spans="1:17" x14ac:dyDescent="0.25">
      <c r="A1306" s="9" t="s">
        <v>2243</v>
      </c>
      <c r="B1306" s="2">
        <v>45314</v>
      </c>
      <c r="C1306" s="1" t="s">
        <v>1052</v>
      </c>
      <c r="D1306" s="1" t="s">
        <v>147</v>
      </c>
      <c r="E1306" s="1" t="s">
        <v>72</v>
      </c>
      <c r="F1306" s="1" t="s">
        <v>60</v>
      </c>
      <c r="G1306" s="1" t="s">
        <v>42</v>
      </c>
      <c r="H1306" s="1" t="s">
        <v>43</v>
      </c>
      <c r="I1306" s="1" t="s">
        <v>288</v>
      </c>
      <c r="J1306" s="1">
        <v>1</v>
      </c>
      <c r="K1306" s="3">
        <v>3924.24</v>
      </c>
      <c r="L1306" s="1">
        <v>15</v>
      </c>
      <c r="M1306" s="1" t="s">
        <v>63</v>
      </c>
      <c r="N1306" s="10" t="s">
        <v>45</v>
      </c>
      <c r="Q1306"/>
    </row>
    <row r="1307" spans="1:17" x14ac:dyDescent="0.25">
      <c r="A1307" s="9" t="s">
        <v>2244</v>
      </c>
      <c r="B1307" s="2">
        <v>45363</v>
      </c>
      <c r="C1307" s="1" t="s">
        <v>2245</v>
      </c>
      <c r="D1307" s="1" t="s">
        <v>436</v>
      </c>
      <c r="E1307" s="1" t="s">
        <v>17</v>
      </c>
      <c r="F1307" s="1" t="s">
        <v>28</v>
      </c>
      <c r="G1307" s="1" t="s">
        <v>53</v>
      </c>
      <c r="H1307" s="1" t="s">
        <v>54</v>
      </c>
      <c r="I1307" s="1" t="s">
        <v>173</v>
      </c>
      <c r="J1307" s="1">
        <v>10</v>
      </c>
      <c r="K1307" s="3">
        <v>38234.86</v>
      </c>
      <c r="L1307" s="1">
        <v>0</v>
      </c>
      <c r="M1307" s="1" t="s">
        <v>22</v>
      </c>
      <c r="N1307" s="10" t="s">
        <v>45</v>
      </c>
      <c r="Q1307"/>
    </row>
    <row r="1308" spans="1:17" x14ac:dyDescent="0.25">
      <c r="A1308" s="9" t="s">
        <v>2246</v>
      </c>
      <c r="B1308" s="2">
        <v>45314</v>
      </c>
      <c r="C1308" s="1" t="s">
        <v>284</v>
      </c>
      <c r="D1308" s="1" t="s">
        <v>52</v>
      </c>
      <c r="E1308" s="1" t="s">
        <v>34</v>
      </c>
      <c r="F1308" s="1" t="s">
        <v>18</v>
      </c>
      <c r="G1308" s="1" t="s">
        <v>53</v>
      </c>
      <c r="H1308" s="1" t="s">
        <v>54</v>
      </c>
      <c r="I1308" s="1" t="s">
        <v>55</v>
      </c>
      <c r="J1308" s="1">
        <v>8</v>
      </c>
      <c r="K1308" s="3">
        <v>28717.39</v>
      </c>
      <c r="L1308" s="1">
        <v>5</v>
      </c>
      <c r="M1308" s="1" t="s">
        <v>93</v>
      </c>
      <c r="N1308" s="10" t="s">
        <v>37</v>
      </c>
      <c r="Q1308"/>
    </row>
    <row r="1309" spans="1:17" x14ac:dyDescent="0.25">
      <c r="A1309" s="9" t="s">
        <v>2247</v>
      </c>
      <c r="B1309" s="2">
        <v>45604</v>
      </c>
      <c r="C1309" s="1" t="s">
        <v>1840</v>
      </c>
      <c r="D1309" s="1" t="s">
        <v>16</v>
      </c>
      <c r="E1309" s="1" t="s">
        <v>34</v>
      </c>
      <c r="F1309" s="1" t="s">
        <v>28</v>
      </c>
      <c r="G1309" s="1" t="s">
        <v>19</v>
      </c>
      <c r="H1309" s="1" t="s">
        <v>29</v>
      </c>
      <c r="I1309" s="1" t="s">
        <v>141</v>
      </c>
      <c r="J1309" s="1">
        <v>10</v>
      </c>
      <c r="K1309" s="3">
        <v>18770.490000000002</v>
      </c>
      <c r="L1309" s="1">
        <v>0</v>
      </c>
      <c r="M1309" s="1" t="s">
        <v>93</v>
      </c>
      <c r="N1309" s="10" t="s">
        <v>45</v>
      </c>
      <c r="Q1309"/>
    </row>
    <row r="1310" spans="1:17" x14ac:dyDescent="0.25">
      <c r="A1310" s="9" t="s">
        <v>2248</v>
      </c>
      <c r="B1310" s="2">
        <v>45397</v>
      </c>
      <c r="C1310" s="1" t="s">
        <v>2249</v>
      </c>
      <c r="D1310" s="1" t="s">
        <v>52</v>
      </c>
      <c r="E1310" s="1" t="s">
        <v>27</v>
      </c>
      <c r="F1310" s="1" t="s">
        <v>99</v>
      </c>
      <c r="G1310" s="1" t="s">
        <v>19</v>
      </c>
      <c r="H1310" s="1" t="s">
        <v>29</v>
      </c>
      <c r="I1310" s="1" t="s">
        <v>646</v>
      </c>
      <c r="J1310" s="1">
        <v>9</v>
      </c>
      <c r="K1310" s="3">
        <v>37493.64</v>
      </c>
      <c r="L1310" s="1">
        <v>15</v>
      </c>
      <c r="M1310" s="1" t="s">
        <v>69</v>
      </c>
      <c r="N1310" s="10" t="s">
        <v>74</v>
      </c>
      <c r="Q1310"/>
    </row>
    <row r="1311" spans="1:17" x14ac:dyDescent="0.25">
      <c r="A1311" s="9" t="s">
        <v>2250</v>
      </c>
      <c r="B1311" s="2">
        <v>45347</v>
      </c>
      <c r="C1311" s="1" t="s">
        <v>514</v>
      </c>
      <c r="D1311" s="1" t="s">
        <v>52</v>
      </c>
      <c r="E1311" s="1" t="s">
        <v>72</v>
      </c>
      <c r="F1311" s="1" t="s">
        <v>99</v>
      </c>
      <c r="G1311" s="1" t="s">
        <v>19</v>
      </c>
      <c r="H1311" s="1" t="s">
        <v>20</v>
      </c>
      <c r="I1311" s="1" t="s">
        <v>226</v>
      </c>
      <c r="J1311" s="1">
        <v>1</v>
      </c>
      <c r="K1311" s="3">
        <v>1950.5</v>
      </c>
      <c r="L1311" s="1">
        <v>10</v>
      </c>
      <c r="M1311" s="1" t="s">
        <v>69</v>
      </c>
      <c r="N1311" s="10" t="s">
        <v>45</v>
      </c>
      <c r="Q1311"/>
    </row>
    <row r="1312" spans="1:17" x14ac:dyDescent="0.25">
      <c r="A1312" s="9" t="s">
        <v>2251</v>
      </c>
      <c r="B1312" s="2">
        <v>45440</v>
      </c>
      <c r="C1312" s="1" t="s">
        <v>1126</v>
      </c>
      <c r="D1312" s="1" t="s">
        <v>40</v>
      </c>
      <c r="E1312" s="1" t="s">
        <v>59</v>
      </c>
      <c r="F1312" s="1" t="s">
        <v>28</v>
      </c>
      <c r="G1312" s="1" t="s">
        <v>53</v>
      </c>
      <c r="H1312" s="1" t="s">
        <v>54</v>
      </c>
      <c r="I1312" s="1" t="s">
        <v>253</v>
      </c>
      <c r="J1312" s="1">
        <v>1</v>
      </c>
      <c r="K1312" s="3">
        <v>1889.77</v>
      </c>
      <c r="L1312" s="1" t="s">
        <v>110</v>
      </c>
      <c r="M1312" s="1" t="s">
        <v>63</v>
      </c>
      <c r="N1312" s="10" t="s">
        <v>23</v>
      </c>
      <c r="Q1312"/>
    </row>
    <row r="1313" spans="1:17" x14ac:dyDescent="0.25">
      <c r="A1313" s="9" t="s">
        <v>2252</v>
      </c>
      <c r="B1313" s="2">
        <v>45453</v>
      </c>
      <c r="C1313" s="1" t="s">
        <v>1549</v>
      </c>
      <c r="D1313" s="1" t="s">
        <v>67</v>
      </c>
      <c r="E1313" s="1" t="s">
        <v>34</v>
      </c>
      <c r="F1313" s="1" t="s">
        <v>49</v>
      </c>
      <c r="G1313" s="1" t="s">
        <v>42</v>
      </c>
      <c r="H1313" s="1" t="s">
        <v>43</v>
      </c>
      <c r="I1313" s="1" t="s">
        <v>144</v>
      </c>
      <c r="J1313" s="1">
        <v>3</v>
      </c>
      <c r="K1313" s="3">
        <v>3094.04</v>
      </c>
      <c r="L1313" s="1">
        <v>5</v>
      </c>
      <c r="M1313" s="1" t="s">
        <v>69</v>
      </c>
      <c r="N1313" s="10" t="s">
        <v>74</v>
      </c>
      <c r="Q1313"/>
    </row>
    <row r="1314" spans="1:17" x14ac:dyDescent="0.25">
      <c r="A1314" s="9" t="s">
        <v>2253</v>
      </c>
      <c r="B1314" s="2">
        <v>45526</v>
      </c>
      <c r="C1314" s="1" t="s">
        <v>316</v>
      </c>
      <c r="D1314" s="1" t="s">
        <v>81</v>
      </c>
      <c r="E1314" s="1" t="s">
        <v>17</v>
      </c>
      <c r="F1314" s="1" t="s">
        <v>28</v>
      </c>
      <c r="G1314" s="1" t="s">
        <v>19</v>
      </c>
      <c r="H1314" s="1" t="s">
        <v>29</v>
      </c>
      <c r="I1314" s="1" t="s">
        <v>472</v>
      </c>
      <c r="J1314" s="1">
        <v>7</v>
      </c>
      <c r="K1314" s="3">
        <v>31749.86</v>
      </c>
      <c r="L1314" s="1">
        <v>5</v>
      </c>
      <c r="M1314" s="1" t="s">
        <v>36</v>
      </c>
      <c r="N1314" s="10" t="s">
        <v>37</v>
      </c>
      <c r="Q1314"/>
    </row>
    <row r="1315" spans="1:17" x14ac:dyDescent="0.25">
      <c r="A1315" s="9" t="s">
        <v>2254</v>
      </c>
      <c r="B1315" s="2">
        <v>45079</v>
      </c>
      <c r="C1315" s="1" t="s">
        <v>998</v>
      </c>
      <c r="D1315" s="1" t="s">
        <v>26</v>
      </c>
      <c r="E1315" s="1" t="s">
        <v>34</v>
      </c>
      <c r="F1315" s="1" t="s">
        <v>99</v>
      </c>
      <c r="G1315" s="1" t="s">
        <v>42</v>
      </c>
      <c r="H1315" s="1" t="s">
        <v>61</v>
      </c>
      <c r="I1315" s="1" t="s">
        <v>357</v>
      </c>
      <c r="J1315" s="1">
        <v>6</v>
      </c>
      <c r="K1315" s="3">
        <v>1214.71</v>
      </c>
      <c r="L1315" s="1">
        <v>20</v>
      </c>
      <c r="M1315" s="1" t="s">
        <v>22</v>
      </c>
      <c r="N1315" s="10" t="s">
        <v>45</v>
      </c>
      <c r="Q1315"/>
    </row>
    <row r="1316" spans="1:17" x14ac:dyDescent="0.25">
      <c r="A1316" s="9" t="s">
        <v>2255</v>
      </c>
      <c r="B1316" s="2">
        <v>45447</v>
      </c>
      <c r="C1316" s="1" t="s">
        <v>2256</v>
      </c>
      <c r="D1316" s="1" t="s">
        <v>52</v>
      </c>
      <c r="E1316" s="1" t="s">
        <v>34</v>
      </c>
      <c r="F1316" s="1" t="s">
        <v>18</v>
      </c>
      <c r="G1316" s="1" t="s">
        <v>42</v>
      </c>
      <c r="H1316" s="1" t="s">
        <v>61</v>
      </c>
      <c r="I1316" s="1" t="s">
        <v>294</v>
      </c>
      <c r="J1316" s="1">
        <v>9</v>
      </c>
      <c r="K1316" s="3">
        <v>3049.59</v>
      </c>
      <c r="L1316" s="1">
        <v>20</v>
      </c>
      <c r="M1316" s="1" t="s">
        <v>69</v>
      </c>
      <c r="N1316" s="10" t="s">
        <v>45</v>
      </c>
      <c r="Q1316"/>
    </row>
    <row r="1317" spans="1:17" x14ac:dyDescent="0.25">
      <c r="A1317" s="9" t="s">
        <v>2257</v>
      </c>
      <c r="B1317" s="2">
        <v>45470</v>
      </c>
      <c r="C1317" s="1" t="s">
        <v>1376</v>
      </c>
      <c r="D1317" s="1" t="s">
        <v>71</v>
      </c>
      <c r="E1317" s="1" t="s">
        <v>41</v>
      </c>
      <c r="F1317" s="1" t="s">
        <v>28</v>
      </c>
      <c r="G1317" s="1" t="s">
        <v>42</v>
      </c>
      <c r="H1317" s="1" t="s">
        <v>43</v>
      </c>
      <c r="I1317" s="1" t="s">
        <v>44</v>
      </c>
      <c r="J1317" s="1">
        <v>4</v>
      </c>
      <c r="K1317" s="3">
        <v>10343.19</v>
      </c>
      <c r="L1317" s="1">
        <v>10</v>
      </c>
      <c r="M1317" s="1" t="s">
        <v>93</v>
      </c>
      <c r="N1317" s="10" t="s">
        <v>45</v>
      </c>
      <c r="Q1317"/>
    </row>
    <row r="1318" spans="1:17" x14ac:dyDescent="0.25">
      <c r="A1318" s="9" t="s">
        <v>2258</v>
      </c>
      <c r="B1318" s="2">
        <v>45170</v>
      </c>
      <c r="C1318" s="1" t="s">
        <v>260</v>
      </c>
      <c r="D1318" s="1" t="s">
        <v>67</v>
      </c>
      <c r="E1318" s="1" t="s">
        <v>17</v>
      </c>
      <c r="F1318" s="1" t="s">
        <v>60</v>
      </c>
      <c r="G1318" s="1" t="s">
        <v>83</v>
      </c>
      <c r="H1318" s="1" t="s">
        <v>43</v>
      </c>
      <c r="I1318" s="1" t="s">
        <v>652</v>
      </c>
      <c r="J1318" s="1">
        <v>1</v>
      </c>
      <c r="K1318" s="3">
        <v>3177.16</v>
      </c>
      <c r="L1318" s="1">
        <v>15</v>
      </c>
      <c r="M1318" s="1" t="s">
        <v>69</v>
      </c>
      <c r="N1318" s="10" t="s">
        <v>45</v>
      </c>
      <c r="Q1318"/>
    </row>
    <row r="1319" spans="1:17" x14ac:dyDescent="0.25">
      <c r="A1319" s="9" t="s">
        <v>2259</v>
      </c>
      <c r="B1319" s="2">
        <v>45240</v>
      </c>
      <c r="C1319" s="1" t="s">
        <v>574</v>
      </c>
      <c r="D1319" s="1" t="s">
        <v>26</v>
      </c>
      <c r="E1319" s="1" t="s">
        <v>17</v>
      </c>
      <c r="F1319" s="1" t="s">
        <v>28</v>
      </c>
      <c r="G1319" s="1" t="s">
        <v>19</v>
      </c>
      <c r="H1319" s="1" t="s">
        <v>29</v>
      </c>
      <c r="I1319" s="1" t="s">
        <v>30</v>
      </c>
      <c r="J1319" s="1">
        <v>3</v>
      </c>
      <c r="K1319" s="3">
        <v>11997.68</v>
      </c>
      <c r="L1319" s="1">
        <v>20</v>
      </c>
      <c r="M1319" s="1" t="s">
        <v>93</v>
      </c>
      <c r="N1319" s="10" t="s">
        <v>31</v>
      </c>
      <c r="Q1319"/>
    </row>
    <row r="1320" spans="1:17" x14ac:dyDescent="0.25">
      <c r="A1320" s="9" t="s">
        <v>2260</v>
      </c>
      <c r="B1320" s="2">
        <v>45026</v>
      </c>
      <c r="C1320" s="1" t="s">
        <v>379</v>
      </c>
      <c r="D1320" s="1" t="s">
        <v>16</v>
      </c>
      <c r="E1320" s="1" t="s">
        <v>17</v>
      </c>
      <c r="F1320" s="1" t="s">
        <v>49</v>
      </c>
      <c r="G1320" s="1" t="s">
        <v>42</v>
      </c>
      <c r="H1320" s="1" t="s">
        <v>61</v>
      </c>
      <c r="I1320" s="1" t="s">
        <v>62</v>
      </c>
      <c r="J1320" s="1">
        <v>10</v>
      </c>
      <c r="K1320" s="3">
        <v>41503.839999999997</v>
      </c>
      <c r="L1320" s="1">
        <v>5</v>
      </c>
      <c r="M1320" s="1" t="s">
        <v>63</v>
      </c>
      <c r="N1320" s="10" t="s">
        <v>64</v>
      </c>
      <c r="Q1320"/>
    </row>
    <row r="1321" spans="1:17" x14ac:dyDescent="0.25">
      <c r="A1321" s="9" t="s">
        <v>2261</v>
      </c>
      <c r="B1321" s="2">
        <v>45390</v>
      </c>
      <c r="C1321" s="1" t="s">
        <v>2262</v>
      </c>
      <c r="D1321" s="1" t="s">
        <v>40</v>
      </c>
      <c r="E1321" s="1" t="s">
        <v>17</v>
      </c>
      <c r="F1321" s="1" t="s">
        <v>88</v>
      </c>
      <c r="G1321" s="1" t="s">
        <v>83</v>
      </c>
      <c r="H1321" s="1" t="s">
        <v>43</v>
      </c>
      <c r="I1321" s="1" t="s">
        <v>348</v>
      </c>
      <c r="J1321" s="1">
        <v>7</v>
      </c>
      <c r="K1321" s="3">
        <v>32306.55</v>
      </c>
      <c r="L1321" s="1">
        <v>20</v>
      </c>
      <c r="M1321" s="1" t="s">
        <v>36</v>
      </c>
      <c r="N1321" s="10" t="s">
        <v>23</v>
      </c>
      <c r="Q1321"/>
    </row>
    <row r="1322" spans="1:17" x14ac:dyDescent="0.25">
      <c r="A1322" s="9" t="s">
        <v>2263</v>
      </c>
      <c r="B1322" s="2">
        <v>45526</v>
      </c>
      <c r="C1322" s="1" t="s">
        <v>619</v>
      </c>
      <c r="D1322" s="1" t="s">
        <v>67</v>
      </c>
      <c r="E1322" s="1" t="s">
        <v>27</v>
      </c>
      <c r="F1322" s="1" t="s">
        <v>99</v>
      </c>
      <c r="G1322" s="1" t="s">
        <v>42</v>
      </c>
      <c r="H1322" s="1" t="s">
        <v>43</v>
      </c>
      <c r="I1322" s="1" t="s">
        <v>566</v>
      </c>
      <c r="J1322" s="1">
        <v>3</v>
      </c>
      <c r="K1322" s="3">
        <v>4868.28</v>
      </c>
      <c r="L1322" s="1">
        <v>5</v>
      </c>
      <c r="M1322" s="1" t="s">
        <v>69</v>
      </c>
      <c r="N1322" s="10" t="s">
        <v>37</v>
      </c>
      <c r="Q1322"/>
    </row>
    <row r="1323" spans="1:17" x14ac:dyDescent="0.25">
      <c r="A1323" s="9" t="s">
        <v>2264</v>
      </c>
      <c r="B1323" s="2">
        <v>45078</v>
      </c>
      <c r="C1323" s="1" t="s">
        <v>1605</v>
      </c>
      <c r="D1323" s="1" t="s">
        <v>67</v>
      </c>
      <c r="E1323" s="1" t="s">
        <v>41</v>
      </c>
      <c r="F1323" s="1" t="s">
        <v>28</v>
      </c>
      <c r="G1323" s="1" t="s">
        <v>19</v>
      </c>
      <c r="H1323" s="1" t="s">
        <v>20</v>
      </c>
      <c r="I1323" s="1" t="s">
        <v>193</v>
      </c>
      <c r="J1323" s="1">
        <v>5</v>
      </c>
      <c r="K1323" s="3">
        <v>2913.12</v>
      </c>
      <c r="L1323" s="1">
        <v>20</v>
      </c>
      <c r="M1323" s="1" t="s">
        <v>69</v>
      </c>
      <c r="N1323" s="10" t="s">
        <v>64</v>
      </c>
      <c r="Q1323"/>
    </row>
    <row r="1324" spans="1:17" x14ac:dyDescent="0.25">
      <c r="A1324" s="9" t="s">
        <v>2265</v>
      </c>
      <c r="B1324" s="2">
        <v>45357</v>
      </c>
      <c r="C1324" s="1" t="s">
        <v>1620</v>
      </c>
      <c r="D1324" s="1" t="s">
        <v>16</v>
      </c>
      <c r="E1324" s="1" t="s">
        <v>17</v>
      </c>
      <c r="F1324" s="1" t="s">
        <v>99</v>
      </c>
      <c r="G1324" s="1" t="s">
        <v>83</v>
      </c>
      <c r="H1324" s="1" t="s">
        <v>43</v>
      </c>
      <c r="I1324" s="1" t="s">
        <v>323</v>
      </c>
      <c r="J1324" s="1">
        <v>9</v>
      </c>
      <c r="K1324" s="3">
        <v>40427.69</v>
      </c>
      <c r="L1324" s="1">
        <v>20</v>
      </c>
      <c r="M1324" s="1" t="s">
        <v>69</v>
      </c>
      <c r="N1324" s="10" t="s">
        <v>31</v>
      </c>
      <c r="Q1324"/>
    </row>
    <row r="1325" spans="1:17" x14ac:dyDescent="0.25">
      <c r="A1325" s="9" t="s">
        <v>2266</v>
      </c>
      <c r="B1325" s="2">
        <v>44999</v>
      </c>
      <c r="C1325" s="1" t="s">
        <v>423</v>
      </c>
      <c r="D1325" s="1" t="s">
        <v>26</v>
      </c>
      <c r="E1325" s="1" t="s">
        <v>17</v>
      </c>
      <c r="F1325" s="1" t="s">
        <v>49</v>
      </c>
      <c r="G1325" s="1" t="s">
        <v>19</v>
      </c>
      <c r="H1325" s="1" t="s">
        <v>20</v>
      </c>
      <c r="I1325" s="1" t="s">
        <v>326</v>
      </c>
      <c r="J1325" s="1">
        <v>10</v>
      </c>
      <c r="K1325" s="3">
        <v>6030.62</v>
      </c>
      <c r="L1325" s="1">
        <v>5</v>
      </c>
      <c r="M1325" s="1" t="s">
        <v>93</v>
      </c>
      <c r="N1325" s="10" t="s">
        <v>64</v>
      </c>
      <c r="Q1325"/>
    </row>
    <row r="1326" spans="1:17" x14ac:dyDescent="0.25">
      <c r="A1326" s="9" t="s">
        <v>2267</v>
      </c>
      <c r="B1326" s="2">
        <v>45488</v>
      </c>
      <c r="C1326" s="1" t="s">
        <v>585</v>
      </c>
      <c r="D1326" s="1" t="s">
        <v>40</v>
      </c>
      <c r="E1326" s="1" t="s">
        <v>17</v>
      </c>
      <c r="F1326" s="1" t="s">
        <v>60</v>
      </c>
      <c r="G1326" s="1" t="s">
        <v>19</v>
      </c>
      <c r="H1326" s="1" t="s">
        <v>20</v>
      </c>
      <c r="I1326" s="1" t="s">
        <v>801</v>
      </c>
      <c r="J1326" s="1">
        <v>10</v>
      </c>
      <c r="K1326" s="3">
        <v>12341.3</v>
      </c>
      <c r="L1326" s="1">
        <v>20</v>
      </c>
      <c r="M1326" s="1" t="s">
        <v>63</v>
      </c>
      <c r="N1326" s="10" t="s">
        <v>45</v>
      </c>
      <c r="Q1326"/>
    </row>
    <row r="1327" spans="1:17" x14ac:dyDescent="0.25">
      <c r="A1327" s="9" t="s">
        <v>2268</v>
      </c>
      <c r="B1327" s="2">
        <v>45533</v>
      </c>
      <c r="C1327" s="1" t="s">
        <v>2269</v>
      </c>
      <c r="D1327" s="1" t="s">
        <v>147</v>
      </c>
      <c r="E1327" s="1" t="s">
        <v>27</v>
      </c>
      <c r="F1327" s="1" t="s">
        <v>99</v>
      </c>
      <c r="G1327" s="1" t="s">
        <v>19</v>
      </c>
      <c r="H1327" s="1" t="s">
        <v>29</v>
      </c>
      <c r="I1327" s="1" t="s">
        <v>113</v>
      </c>
      <c r="J1327" s="1">
        <v>3</v>
      </c>
      <c r="K1327" s="3">
        <v>6744.27</v>
      </c>
      <c r="L1327" s="1">
        <v>10</v>
      </c>
      <c r="M1327" s="1" t="s">
        <v>22</v>
      </c>
      <c r="N1327" s="10" t="s">
        <v>23</v>
      </c>
      <c r="Q1327"/>
    </row>
    <row r="1328" spans="1:17" x14ac:dyDescent="0.25">
      <c r="A1328" s="9" t="s">
        <v>636</v>
      </c>
      <c r="B1328" s="2">
        <v>45340</v>
      </c>
      <c r="C1328" s="1" t="s">
        <v>1267</v>
      </c>
      <c r="D1328" s="1" t="s">
        <v>16</v>
      </c>
      <c r="E1328" s="1" t="s">
        <v>72</v>
      </c>
      <c r="F1328" s="1" t="s">
        <v>82</v>
      </c>
      <c r="G1328" s="1" t="s">
        <v>19</v>
      </c>
      <c r="H1328" s="1" t="s">
        <v>20</v>
      </c>
      <c r="I1328" s="1" t="s">
        <v>280</v>
      </c>
      <c r="J1328" s="1">
        <v>6</v>
      </c>
      <c r="K1328" s="3">
        <v>13134.27</v>
      </c>
      <c r="L1328" s="1">
        <v>10</v>
      </c>
      <c r="M1328" s="1" t="s">
        <v>63</v>
      </c>
      <c r="N1328" s="10" t="s">
        <v>45</v>
      </c>
      <c r="Q1328"/>
    </row>
    <row r="1329" spans="1:17" x14ac:dyDescent="0.25">
      <c r="A1329" s="9" t="s">
        <v>2270</v>
      </c>
      <c r="B1329" s="2">
        <v>45555</v>
      </c>
      <c r="C1329" s="1" t="s">
        <v>117</v>
      </c>
      <c r="D1329" s="1" t="s">
        <v>87</v>
      </c>
      <c r="E1329" s="1" t="s">
        <v>72</v>
      </c>
      <c r="F1329" s="1" t="s">
        <v>99</v>
      </c>
      <c r="G1329" s="1" t="s">
        <v>42</v>
      </c>
      <c r="H1329" s="1" t="s">
        <v>61</v>
      </c>
      <c r="I1329" s="1" t="s">
        <v>106</v>
      </c>
      <c r="J1329" s="1">
        <v>2</v>
      </c>
      <c r="K1329" s="3">
        <v>2315.34</v>
      </c>
      <c r="L1329" s="1">
        <v>15</v>
      </c>
      <c r="M1329" s="1" t="s">
        <v>22</v>
      </c>
      <c r="N1329" s="10" t="s">
        <v>64</v>
      </c>
      <c r="Q1329"/>
    </row>
    <row r="1330" spans="1:17" x14ac:dyDescent="0.25">
      <c r="A1330" s="9" t="s">
        <v>2271</v>
      </c>
      <c r="B1330" s="2">
        <v>44985</v>
      </c>
      <c r="C1330" s="1" t="s">
        <v>98</v>
      </c>
      <c r="D1330" s="1" t="s">
        <v>161</v>
      </c>
      <c r="E1330" s="1" t="s">
        <v>59</v>
      </c>
      <c r="F1330" s="1" t="s">
        <v>28</v>
      </c>
      <c r="G1330" s="1" t="s">
        <v>83</v>
      </c>
      <c r="H1330" s="1" t="s">
        <v>43</v>
      </c>
      <c r="I1330" s="1" t="s">
        <v>365</v>
      </c>
      <c r="J1330" s="1">
        <v>1</v>
      </c>
      <c r="K1330" s="3">
        <v>586.20000000000005</v>
      </c>
      <c r="L1330" s="1">
        <v>15</v>
      </c>
      <c r="M1330" s="1" t="s">
        <v>69</v>
      </c>
      <c r="N1330" s="10" t="s">
        <v>74</v>
      </c>
      <c r="Q1330"/>
    </row>
    <row r="1331" spans="1:17" x14ac:dyDescent="0.25">
      <c r="A1331" s="9" t="s">
        <v>838</v>
      </c>
      <c r="B1331" s="2">
        <v>45599</v>
      </c>
      <c r="C1331" s="1" t="s">
        <v>1324</v>
      </c>
      <c r="D1331" s="1" t="s">
        <v>71</v>
      </c>
      <c r="E1331" s="1" t="s">
        <v>17</v>
      </c>
      <c r="F1331" s="1" t="s">
        <v>99</v>
      </c>
      <c r="G1331" s="1" t="s">
        <v>83</v>
      </c>
      <c r="H1331" s="1" t="s">
        <v>43</v>
      </c>
      <c r="I1331" s="1" t="s">
        <v>380</v>
      </c>
      <c r="J1331" s="1">
        <v>3</v>
      </c>
      <c r="K1331" s="3">
        <v>3894.08</v>
      </c>
      <c r="L1331" s="1">
        <v>20</v>
      </c>
      <c r="M1331" s="1" t="s">
        <v>63</v>
      </c>
      <c r="N1331" s="10" t="s">
        <v>23</v>
      </c>
      <c r="Q1331"/>
    </row>
    <row r="1332" spans="1:17" x14ac:dyDescent="0.25">
      <c r="A1332" s="9" t="s">
        <v>2272</v>
      </c>
      <c r="B1332" s="2">
        <v>45195</v>
      </c>
      <c r="C1332" s="1" t="s">
        <v>1147</v>
      </c>
      <c r="D1332" s="1" t="s">
        <v>81</v>
      </c>
      <c r="E1332" s="1" t="s">
        <v>34</v>
      </c>
      <c r="F1332" s="1" t="s">
        <v>82</v>
      </c>
      <c r="G1332" s="1" t="s">
        <v>83</v>
      </c>
      <c r="H1332" s="1" t="s">
        <v>43</v>
      </c>
      <c r="I1332" s="1" t="s">
        <v>182</v>
      </c>
      <c r="J1332" s="1">
        <v>1</v>
      </c>
      <c r="K1332" s="3">
        <v>527.79999999999995</v>
      </c>
      <c r="L1332" s="1">
        <v>5</v>
      </c>
      <c r="M1332" s="1" t="s">
        <v>69</v>
      </c>
      <c r="N1332" s="10" t="s">
        <v>31</v>
      </c>
      <c r="Q1332"/>
    </row>
    <row r="1333" spans="1:17" x14ac:dyDescent="0.25">
      <c r="A1333" s="9" t="s">
        <v>2273</v>
      </c>
      <c r="B1333" s="2">
        <v>45163</v>
      </c>
      <c r="C1333" s="1" t="s">
        <v>663</v>
      </c>
      <c r="D1333" s="1" t="s">
        <v>87</v>
      </c>
      <c r="E1333" s="1" t="s">
        <v>17</v>
      </c>
      <c r="F1333" s="1" t="s">
        <v>82</v>
      </c>
      <c r="G1333" s="1" t="s">
        <v>19</v>
      </c>
      <c r="H1333" s="1" t="s">
        <v>20</v>
      </c>
      <c r="I1333" s="1" t="s">
        <v>731</v>
      </c>
      <c r="J1333" s="1">
        <v>2</v>
      </c>
      <c r="K1333" s="3">
        <v>8147.29</v>
      </c>
      <c r="L1333" s="1">
        <v>20</v>
      </c>
      <c r="M1333" s="1" t="s">
        <v>69</v>
      </c>
      <c r="N1333" s="10" t="s">
        <v>23</v>
      </c>
      <c r="Q1333"/>
    </row>
    <row r="1334" spans="1:17" x14ac:dyDescent="0.25">
      <c r="A1334" s="9" t="s">
        <v>2274</v>
      </c>
      <c r="B1334" s="2">
        <v>45505</v>
      </c>
      <c r="C1334" s="1" t="s">
        <v>1035</v>
      </c>
      <c r="D1334" s="1" t="s">
        <v>378</v>
      </c>
      <c r="E1334" s="1" t="s">
        <v>59</v>
      </c>
      <c r="F1334" s="1" t="s">
        <v>82</v>
      </c>
      <c r="G1334" s="1" t="s">
        <v>53</v>
      </c>
      <c r="H1334" s="1" t="s">
        <v>54</v>
      </c>
      <c r="I1334" s="1" t="s">
        <v>608</v>
      </c>
      <c r="J1334" s="1">
        <v>5</v>
      </c>
      <c r="K1334" s="3">
        <v>20419.77</v>
      </c>
      <c r="L1334" s="1">
        <v>5</v>
      </c>
      <c r="M1334" s="1" t="s">
        <v>36</v>
      </c>
      <c r="N1334" s="10" t="s">
        <v>37</v>
      </c>
      <c r="Q1334"/>
    </row>
    <row r="1335" spans="1:17" x14ac:dyDescent="0.25">
      <c r="A1335" s="9" t="s">
        <v>2275</v>
      </c>
      <c r="B1335" s="2">
        <v>45396</v>
      </c>
      <c r="C1335" s="1" t="s">
        <v>1986</v>
      </c>
      <c r="D1335" s="1" t="s">
        <v>16</v>
      </c>
      <c r="E1335" s="1" t="s">
        <v>27</v>
      </c>
      <c r="F1335" s="1" t="s">
        <v>18</v>
      </c>
      <c r="G1335" s="1" t="s">
        <v>19</v>
      </c>
      <c r="H1335" s="1" t="s">
        <v>20</v>
      </c>
      <c r="I1335" s="1" t="s">
        <v>731</v>
      </c>
      <c r="J1335" s="1">
        <v>7</v>
      </c>
      <c r="K1335" s="3">
        <v>26131.25</v>
      </c>
      <c r="L1335" s="1">
        <v>20</v>
      </c>
      <c r="M1335" s="1" t="s">
        <v>69</v>
      </c>
      <c r="N1335" s="10" t="s">
        <v>23</v>
      </c>
      <c r="Q1335"/>
    </row>
    <row r="1336" spans="1:17" x14ac:dyDescent="0.25">
      <c r="A1336" s="9" t="s">
        <v>2276</v>
      </c>
      <c r="B1336" s="2">
        <v>45077</v>
      </c>
      <c r="C1336" s="1" t="s">
        <v>1333</v>
      </c>
      <c r="D1336" s="1" t="s">
        <v>81</v>
      </c>
      <c r="E1336" s="1" t="s">
        <v>17</v>
      </c>
      <c r="F1336" s="1" t="s">
        <v>82</v>
      </c>
      <c r="G1336" s="1" t="s">
        <v>53</v>
      </c>
      <c r="H1336" s="1" t="s">
        <v>54</v>
      </c>
      <c r="I1336" s="1" t="s">
        <v>437</v>
      </c>
      <c r="J1336" s="1">
        <v>10</v>
      </c>
      <c r="K1336" s="3">
        <v>37453.94</v>
      </c>
      <c r="L1336" s="1">
        <v>10</v>
      </c>
      <c r="M1336" s="1" t="s">
        <v>36</v>
      </c>
      <c r="N1336" s="10" t="s">
        <v>64</v>
      </c>
      <c r="Q1336"/>
    </row>
    <row r="1337" spans="1:17" x14ac:dyDescent="0.25">
      <c r="A1337" s="9" t="s">
        <v>2277</v>
      </c>
      <c r="B1337" s="2">
        <v>45474</v>
      </c>
      <c r="C1337" s="1" t="s">
        <v>2278</v>
      </c>
      <c r="D1337" s="1" t="s">
        <v>16</v>
      </c>
      <c r="E1337" s="1" t="s">
        <v>34</v>
      </c>
      <c r="F1337" s="1" t="s">
        <v>28</v>
      </c>
      <c r="G1337" s="1" t="s">
        <v>19</v>
      </c>
      <c r="H1337" s="1" t="s">
        <v>29</v>
      </c>
      <c r="I1337" s="1" t="s">
        <v>223</v>
      </c>
      <c r="J1337" s="1">
        <v>3</v>
      </c>
      <c r="K1337" s="3">
        <v>5070.8599999999997</v>
      </c>
      <c r="L1337" s="1">
        <v>15</v>
      </c>
      <c r="M1337" s="1" t="s">
        <v>69</v>
      </c>
      <c r="N1337" s="10" t="s">
        <v>31</v>
      </c>
      <c r="Q1337"/>
    </row>
    <row r="1338" spans="1:17" x14ac:dyDescent="0.25">
      <c r="A1338" s="9" t="s">
        <v>2279</v>
      </c>
      <c r="B1338" s="2">
        <v>45044</v>
      </c>
      <c r="C1338" s="1" t="s">
        <v>2280</v>
      </c>
      <c r="D1338" s="1" t="s">
        <v>52</v>
      </c>
      <c r="E1338" s="1" t="s">
        <v>72</v>
      </c>
      <c r="F1338" s="1" t="s">
        <v>28</v>
      </c>
      <c r="G1338" s="1" t="s">
        <v>42</v>
      </c>
      <c r="H1338" s="1" t="s">
        <v>43</v>
      </c>
      <c r="I1338" s="1" t="s">
        <v>285</v>
      </c>
      <c r="J1338" s="1">
        <v>4</v>
      </c>
      <c r="K1338" s="3">
        <v>17142.16</v>
      </c>
      <c r="L1338" s="1">
        <v>5</v>
      </c>
      <c r="M1338" s="1" t="s">
        <v>36</v>
      </c>
      <c r="N1338" s="10" t="s">
        <v>64</v>
      </c>
      <c r="Q1338"/>
    </row>
    <row r="1339" spans="1:17" x14ac:dyDescent="0.25">
      <c r="A1339" s="9" t="s">
        <v>2281</v>
      </c>
      <c r="B1339" s="2">
        <v>45211</v>
      </c>
      <c r="C1339" s="1" t="s">
        <v>2282</v>
      </c>
      <c r="D1339" s="1" t="s">
        <v>26</v>
      </c>
      <c r="E1339" s="1" t="s">
        <v>17</v>
      </c>
      <c r="F1339" s="1" t="s">
        <v>60</v>
      </c>
      <c r="G1339" s="1" t="s">
        <v>83</v>
      </c>
      <c r="H1339" s="1" t="s">
        <v>43</v>
      </c>
      <c r="I1339" s="1" t="s">
        <v>329</v>
      </c>
      <c r="J1339" s="1">
        <v>3</v>
      </c>
      <c r="K1339" s="3">
        <v>4562.1400000000003</v>
      </c>
      <c r="L1339" s="1" t="s">
        <v>110</v>
      </c>
      <c r="M1339" s="1" t="s">
        <v>93</v>
      </c>
      <c r="N1339" s="10" t="s">
        <v>23</v>
      </c>
      <c r="Q1339"/>
    </row>
    <row r="1340" spans="1:17" x14ac:dyDescent="0.25">
      <c r="A1340" s="9" t="s">
        <v>2283</v>
      </c>
      <c r="B1340" s="2">
        <v>45348</v>
      </c>
      <c r="C1340" s="1" t="s">
        <v>1647</v>
      </c>
      <c r="D1340" s="1" t="s">
        <v>87</v>
      </c>
      <c r="E1340" s="1" t="s">
        <v>59</v>
      </c>
      <c r="F1340" s="1" t="s">
        <v>49</v>
      </c>
      <c r="G1340" s="1" t="s">
        <v>53</v>
      </c>
      <c r="H1340" s="1" t="s">
        <v>54</v>
      </c>
      <c r="I1340" s="1" t="s">
        <v>1334</v>
      </c>
      <c r="J1340" s="1">
        <v>9</v>
      </c>
      <c r="K1340" s="3">
        <v>38407.5</v>
      </c>
      <c r="L1340" s="1">
        <v>5</v>
      </c>
      <c r="M1340" s="1" t="s">
        <v>93</v>
      </c>
      <c r="N1340" s="10" t="s">
        <v>45</v>
      </c>
      <c r="Q1340"/>
    </row>
    <row r="1341" spans="1:17" x14ac:dyDescent="0.25">
      <c r="A1341" s="9" t="s">
        <v>2284</v>
      </c>
      <c r="B1341" s="2">
        <v>44947</v>
      </c>
      <c r="C1341" s="1" t="s">
        <v>1567</v>
      </c>
      <c r="D1341" s="1" t="s">
        <v>52</v>
      </c>
      <c r="E1341" s="1" t="s">
        <v>17</v>
      </c>
      <c r="F1341" s="1" t="s">
        <v>28</v>
      </c>
      <c r="G1341" s="1" t="s">
        <v>19</v>
      </c>
      <c r="H1341" s="1" t="s">
        <v>20</v>
      </c>
      <c r="I1341" s="1" t="s">
        <v>280</v>
      </c>
      <c r="J1341" s="1">
        <v>3</v>
      </c>
      <c r="K1341" s="3">
        <v>3580.51</v>
      </c>
      <c r="L1341" s="1" t="s">
        <v>110</v>
      </c>
      <c r="M1341" s="1" t="s">
        <v>36</v>
      </c>
      <c r="N1341" s="10" t="s">
        <v>37</v>
      </c>
      <c r="Q1341"/>
    </row>
    <row r="1342" spans="1:17" x14ac:dyDescent="0.25">
      <c r="A1342" s="9" t="s">
        <v>2285</v>
      </c>
      <c r="B1342" s="2">
        <v>45323</v>
      </c>
      <c r="C1342" s="1" t="s">
        <v>2286</v>
      </c>
      <c r="D1342" s="1" t="s">
        <v>87</v>
      </c>
      <c r="E1342" s="1" t="s">
        <v>41</v>
      </c>
      <c r="F1342" s="1" t="s">
        <v>18</v>
      </c>
      <c r="G1342" s="1" t="s">
        <v>19</v>
      </c>
      <c r="H1342" s="1" t="s">
        <v>29</v>
      </c>
      <c r="I1342" s="1" t="s">
        <v>635</v>
      </c>
      <c r="J1342" s="1">
        <v>9</v>
      </c>
      <c r="K1342" s="3">
        <v>14695.96</v>
      </c>
      <c r="L1342" s="1" t="s">
        <v>110</v>
      </c>
      <c r="M1342" s="1" t="s">
        <v>93</v>
      </c>
      <c r="N1342" s="10" t="s">
        <v>64</v>
      </c>
      <c r="Q1342"/>
    </row>
    <row r="1343" spans="1:17" x14ac:dyDescent="0.25">
      <c r="A1343" s="9" t="s">
        <v>2287</v>
      </c>
      <c r="B1343" s="2">
        <v>45449</v>
      </c>
      <c r="C1343" s="1" t="s">
        <v>331</v>
      </c>
      <c r="D1343" s="1" t="s">
        <v>16</v>
      </c>
      <c r="E1343" s="1" t="s">
        <v>59</v>
      </c>
      <c r="F1343" s="1" t="s">
        <v>49</v>
      </c>
      <c r="G1343" s="1" t="s">
        <v>42</v>
      </c>
      <c r="H1343" s="1" t="s">
        <v>61</v>
      </c>
      <c r="I1343" s="1" t="s">
        <v>294</v>
      </c>
      <c r="J1343" s="1">
        <v>1</v>
      </c>
      <c r="K1343" s="3">
        <v>613.6</v>
      </c>
      <c r="L1343" s="1" t="s">
        <v>110</v>
      </c>
      <c r="M1343" s="1" t="s">
        <v>22</v>
      </c>
      <c r="N1343" s="10" t="s">
        <v>23</v>
      </c>
      <c r="Q1343"/>
    </row>
    <row r="1344" spans="1:17" x14ac:dyDescent="0.25">
      <c r="A1344" s="9" t="s">
        <v>2288</v>
      </c>
      <c r="B1344" s="2">
        <v>45523</v>
      </c>
      <c r="C1344" s="1" t="s">
        <v>659</v>
      </c>
      <c r="D1344" s="1" t="s">
        <v>33</v>
      </c>
      <c r="E1344" s="1" t="s">
        <v>27</v>
      </c>
      <c r="F1344" s="1" t="s">
        <v>82</v>
      </c>
      <c r="G1344" s="1" t="s">
        <v>42</v>
      </c>
      <c r="H1344" s="1" t="s">
        <v>43</v>
      </c>
      <c r="I1344" s="1" t="s">
        <v>339</v>
      </c>
      <c r="J1344" s="1">
        <v>6</v>
      </c>
      <c r="K1344" s="3">
        <v>4198.87</v>
      </c>
      <c r="L1344" s="1">
        <v>0</v>
      </c>
      <c r="M1344" s="1" t="s">
        <v>56</v>
      </c>
      <c r="N1344" s="10" t="s">
        <v>37</v>
      </c>
      <c r="Q1344"/>
    </row>
    <row r="1345" spans="1:17" x14ac:dyDescent="0.25">
      <c r="A1345" s="9" t="s">
        <v>2289</v>
      </c>
      <c r="B1345" s="2">
        <v>45640</v>
      </c>
      <c r="C1345" s="1" t="s">
        <v>238</v>
      </c>
      <c r="D1345" s="1" t="s">
        <v>16</v>
      </c>
      <c r="E1345" s="1" t="s">
        <v>34</v>
      </c>
      <c r="F1345" s="1" t="s">
        <v>60</v>
      </c>
      <c r="G1345" s="1" t="s">
        <v>42</v>
      </c>
      <c r="H1345" s="1" t="s">
        <v>43</v>
      </c>
      <c r="I1345" s="1" t="s">
        <v>44</v>
      </c>
      <c r="J1345" s="1">
        <v>3</v>
      </c>
      <c r="K1345" s="3">
        <v>13840.62</v>
      </c>
      <c r="L1345" s="1">
        <v>10</v>
      </c>
      <c r="M1345" s="1" t="s">
        <v>63</v>
      </c>
      <c r="N1345" s="10" t="s">
        <v>37</v>
      </c>
      <c r="Q1345"/>
    </row>
    <row r="1346" spans="1:17" x14ac:dyDescent="0.25">
      <c r="A1346" s="9" t="s">
        <v>2290</v>
      </c>
      <c r="B1346" s="2">
        <v>45195</v>
      </c>
      <c r="C1346" s="1" t="s">
        <v>1347</v>
      </c>
      <c r="D1346" s="1" t="s">
        <v>52</v>
      </c>
      <c r="E1346" s="1" t="s">
        <v>72</v>
      </c>
      <c r="F1346" s="1" t="s">
        <v>60</v>
      </c>
      <c r="G1346" s="1" t="s">
        <v>53</v>
      </c>
      <c r="H1346" s="1" t="s">
        <v>54</v>
      </c>
      <c r="I1346" s="1" t="s">
        <v>639</v>
      </c>
      <c r="J1346" s="1">
        <v>1</v>
      </c>
      <c r="K1346" s="3">
        <v>2460.16</v>
      </c>
      <c r="L1346" s="1">
        <v>15</v>
      </c>
      <c r="M1346" s="1" t="s">
        <v>22</v>
      </c>
      <c r="N1346" s="10" t="s">
        <v>31</v>
      </c>
      <c r="Q1346"/>
    </row>
    <row r="1347" spans="1:17" x14ac:dyDescent="0.25">
      <c r="A1347" s="9" t="s">
        <v>2291</v>
      </c>
      <c r="B1347" s="2">
        <v>44963</v>
      </c>
      <c r="C1347" s="1" t="s">
        <v>184</v>
      </c>
      <c r="D1347" s="1" t="s">
        <v>67</v>
      </c>
      <c r="E1347" s="1" t="s">
        <v>72</v>
      </c>
      <c r="F1347" s="1" t="s">
        <v>18</v>
      </c>
      <c r="G1347" s="1" t="s">
        <v>19</v>
      </c>
      <c r="H1347" s="1" t="s">
        <v>20</v>
      </c>
      <c r="I1347" s="1" t="s">
        <v>583</v>
      </c>
      <c r="J1347" s="1">
        <v>9</v>
      </c>
      <c r="K1347" s="3">
        <v>26103.279999999999</v>
      </c>
      <c r="L1347" s="1">
        <v>10</v>
      </c>
      <c r="M1347" s="1" t="s">
        <v>69</v>
      </c>
      <c r="N1347" s="10" t="s">
        <v>74</v>
      </c>
      <c r="Q1347"/>
    </row>
    <row r="1348" spans="1:17" x14ac:dyDescent="0.25">
      <c r="A1348" s="9" t="s">
        <v>2292</v>
      </c>
      <c r="B1348" s="2">
        <v>45325</v>
      </c>
      <c r="C1348" s="1" t="s">
        <v>544</v>
      </c>
      <c r="D1348" s="1" t="s">
        <v>71</v>
      </c>
      <c r="E1348" s="1" t="s">
        <v>27</v>
      </c>
      <c r="F1348" s="1" t="s">
        <v>99</v>
      </c>
      <c r="G1348" s="1" t="s">
        <v>19</v>
      </c>
      <c r="H1348" s="1" t="s">
        <v>29</v>
      </c>
      <c r="I1348" s="1" t="s">
        <v>220</v>
      </c>
      <c r="J1348" s="1">
        <v>10</v>
      </c>
      <c r="K1348" s="3">
        <v>29360.28</v>
      </c>
      <c r="L1348" s="1">
        <v>15</v>
      </c>
      <c r="M1348" s="1" t="s">
        <v>22</v>
      </c>
      <c r="N1348" s="10" t="s">
        <v>45</v>
      </c>
      <c r="Q1348"/>
    </row>
    <row r="1349" spans="1:17" x14ac:dyDescent="0.25">
      <c r="A1349" s="9" t="s">
        <v>2293</v>
      </c>
      <c r="B1349" s="2">
        <v>45621</v>
      </c>
      <c r="C1349" s="1" t="s">
        <v>2294</v>
      </c>
      <c r="D1349" s="1" t="s">
        <v>26</v>
      </c>
      <c r="E1349" s="1" t="s">
        <v>41</v>
      </c>
      <c r="F1349" s="1" t="s">
        <v>99</v>
      </c>
      <c r="G1349" s="1" t="s">
        <v>19</v>
      </c>
      <c r="H1349" s="1" t="s">
        <v>29</v>
      </c>
      <c r="I1349" s="1" t="s">
        <v>646</v>
      </c>
      <c r="J1349" s="1">
        <v>3</v>
      </c>
      <c r="K1349" s="3">
        <v>5907.33</v>
      </c>
      <c r="L1349" s="1">
        <v>5</v>
      </c>
      <c r="M1349" s="1" t="s">
        <v>56</v>
      </c>
      <c r="N1349" s="10" t="s">
        <v>74</v>
      </c>
      <c r="Q1349"/>
    </row>
    <row r="1350" spans="1:17" x14ac:dyDescent="0.25">
      <c r="A1350" s="9" t="s">
        <v>2295</v>
      </c>
      <c r="B1350" s="2">
        <v>45568</v>
      </c>
      <c r="C1350" s="1" t="s">
        <v>2296</v>
      </c>
      <c r="D1350" s="1" t="s">
        <v>71</v>
      </c>
      <c r="E1350" s="1" t="s">
        <v>41</v>
      </c>
      <c r="F1350" s="1" t="s">
        <v>82</v>
      </c>
      <c r="G1350" s="1" t="s">
        <v>42</v>
      </c>
      <c r="H1350" s="1" t="s">
        <v>43</v>
      </c>
      <c r="I1350" s="1" t="s">
        <v>100</v>
      </c>
      <c r="J1350" s="1">
        <v>9</v>
      </c>
      <c r="K1350" s="3">
        <v>23286.63</v>
      </c>
      <c r="L1350" s="1" t="s">
        <v>110</v>
      </c>
      <c r="M1350" s="1" t="s">
        <v>56</v>
      </c>
      <c r="N1350" s="10" t="s">
        <v>74</v>
      </c>
      <c r="Q1350"/>
    </row>
    <row r="1351" spans="1:17" x14ac:dyDescent="0.25">
      <c r="A1351" s="9" t="s">
        <v>2297</v>
      </c>
      <c r="B1351" s="2">
        <v>45182</v>
      </c>
      <c r="C1351" s="1" t="s">
        <v>659</v>
      </c>
      <c r="D1351" s="1" t="s">
        <v>67</v>
      </c>
      <c r="E1351" s="1" t="s">
        <v>72</v>
      </c>
      <c r="F1351" s="1" t="s">
        <v>99</v>
      </c>
      <c r="G1351" s="1" t="s">
        <v>83</v>
      </c>
      <c r="H1351" s="1" t="s">
        <v>43</v>
      </c>
      <c r="I1351" s="1" t="s">
        <v>365</v>
      </c>
      <c r="J1351" s="1">
        <v>1</v>
      </c>
      <c r="K1351" s="3">
        <v>4593.5200000000004</v>
      </c>
      <c r="L1351" s="1" t="s">
        <v>110</v>
      </c>
      <c r="M1351" s="1" t="s">
        <v>36</v>
      </c>
      <c r="N1351" s="10" t="s">
        <v>45</v>
      </c>
      <c r="Q1351"/>
    </row>
    <row r="1352" spans="1:17" x14ac:dyDescent="0.25">
      <c r="A1352" s="9" t="s">
        <v>2298</v>
      </c>
      <c r="B1352" s="2">
        <v>45166</v>
      </c>
      <c r="C1352" s="1" t="s">
        <v>922</v>
      </c>
      <c r="D1352" s="1" t="s">
        <v>52</v>
      </c>
      <c r="E1352" s="1" t="s">
        <v>17</v>
      </c>
      <c r="F1352" s="1" t="s">
        <v>60</v>
      </c>
      <c r="G1352" s="1" t="s">
        <v>19</v>
      </c>
      <c r="H1352" s="1" t="s">
        <v>29</v>
      </c>
      <c r="I1352" s="1" t="s">
        <v>220</v>
      </c>
      <c r="J1352" s="1">
        <v>7</v>
      </c>
      <c r="K1352" s="3">
        <v>11748.14</v>
      </c>
      <c r="L1352" s="1">
        <v>5</v>
      </c>
      <c r="M1352" s="1" t="s">
        <v>22</v>
      </c>
      <c r="N1352" s="10" t="s">
        <v>74</v>
      </c>
      <c r="Q1352"/>
    </row>
    <row r="1353" spans="1:17" x14ac:dyDescent="0.25">
      <c r="A1353" s="9" t="s">
        <v>2299</v>
      </c>
      <c r="B1353" s="2">
        <v>45618</v>
      </c>
      <c r="C1353" s="1" t="s">
        <v>998</v>
      </c>
      <c r="D1353" s="1" t="s">
        <v>67</v>
      </c>
      <c r="E1353" s="1" t="s">
        <v>34</v>
      </c>
      <c r="F1353" s="1" t="s">
        <v>60</v>
      </c>
      <c r="G1353" s="1" t="s">
        <v>42</v>
      </c>
      <c r="H1353" s="1" t="s">
        <v>43</v>
      </c>
      <c r="I1353" s="1" t="s">
        <v>329</v>
      </c>
      <c r="J1353" s="1">
        <v>3</v>
      </c>
      <c r="K1353" s="3">
        <v>7078.18</v>
      </c>
      <c r="L1353" s="1">
        <v>15</v>
      </c>
      <c r="M1353" s="1" t="s">
        <v>93</v>
      </c>
      <c r="N1353" s="10" t="s">
        <v>74</v>
      </c>
      <c r="Q1353"/>
    </row>
    <row r="1354" spans="1:17" x14ac:dyDescent="0.25">
      <c r="A1354" s="9" t="s">
        <v>2300</v>
      </c>
      <c r="B1354" s="2">
        <v>45475</v>
      </c>
      <c r="C1354" s="1" t="s">
        <v>137</v>
      </c>
      <c r="D1354" s="1" t="s">
        <v>16</v>
      </c>
      <c r="E1354" s="1" t="s">
        <v>59</v>
      </c>
      <c r="F1354" s="1" t="s">
        <v>49</v>
      </c>
      <c r="G1354" s="1" t="s">
        <v>19</v>
      </c>
      <c r="H1354" s="1" t="s">
        <v>20</v>
      </c>
      <c r="I1354" s="1" t="s">
        <v>21</v>
      </c>
      <c r="J1354" s="1">
        <v>8</v>
      </c>
      <c r="K1354" s="3">
        <v>3661.76</v>
      </c>
      <c r="L1354" s="1">
        <v>5</v>
      </c>
      <c r="M1354" s="1" t="s">
        <v>69</v>
      </c>
      <c r="N1354" s="10" t="s">
        <v>64</v>
      </c>
      <c r="Q1354"/>
    </row>
    <row r="1355" spans="1:17" x14ac:dyDescent="0.25">
      <c r="A1355" s="9" t="s">
        <v>2301</v>
      </c>
      <c r="B1355" s="2">
        <v>45547</v>
      </c>
      <c r="C1355" s="1" t="s">
        <v>637</v>
      </c>
      <c r="D1355" s="1" t="s">
        <v>67</v>
      </c>
      <c r="E1355" s="1" t="s">
        <v>72</v>
      </c>
      <c r="F1355" s="1" t="s">
        <v>18</v>
      </c>
      <c r="G1355" s="1" t="s">
        <v>42</v>
      </c>
      <c r="H1355" s="1" t="s">
        <v>43</v>
      </c>
      <c r="I1355" s="1" t="s">
        <v>380</v>
      </c>
      <c r="J1355" s="1">
        <v>7</v>
      </c>
      <c r="K1355" s="3">
        <v>28498.6</v>
      </c>
      <c r="L1355" s="1">
        <v>0</v>
      </c>
      <c r="M1355" s="1" t="s">
        <v>56</v>
      </c>
      <c r="N1355" s="10" t="s">
        <v>37</v>
      </c>
      <c r="Q1355"/>
    </row>
    <row r="1356" spans="1:17" x14ac:dyDescent="0.25">
      <c r="A1356" s="9" t="s">
        <v>2302</v>
      </c>
      <c r="B1356" s="2">
        <v>45104</v>
      </c>
      <c r="C1356" s="1" t="s">
        <v>2303</v>
      </c>
      <c r="D1356" s="1" t="s">
        <v>147</v>
      </c>
      <c r="E1356" s="1" t="s">
        <v>59</v>
      </c>
      <c r="F1356" s="1" t="s">
        <v>49</v>
      </c>
      <c r="G1356" s="1" t="s">
        <v>42</v>
      </c>
      <c r="H1356" s="1" t="s">
        <v>43</v>
      </c>
      <c r="I1356" s="1" t="s">
        <v>380</v>
      </c>
      <c r="J1356" s="1">
        <v>6</v>
      </c>
      <c r="K1356" s="3">
        <v>22423.25</v>
      </c>
      <c r="L1356" s="1">
        <v>5</v>
      </c>
      <c r="M1356" s="1" t="s">
        <v>36</v>
      </c>
      <c r="N1356" s="10" t="s">
        <v>31</v>
      </c>
      <c r="Q1356"/>
    </row>
    <row r="1357" spans="1:17" x14ac:dyDescent="0.25">
      <c r="A1357" s="9" t="s">
        <v>2304</v>
      </c>
      <c r="B1357" s="2">
        <v>45304</v>
      </c>
      <c r="C1357" s="1" t="s">
        <v>933</v>
      </c>
      <c r="D1357" s="1" t="s">
        <v>26</v>
      </c>
      <c r="E1357" s="1" t="s">
        <v>72</v>
      </c>
      <c r="F1357" s="1" t="s">
        <v>18</v>
      </c>
      <c r="G1357" s="1" t="s">
        <v>42</v>
      </c>
      <c r="H1357" s="1" t="s">
        <v>61</v>
      </c>
      <c r="I1357" s="1" t="s">
        <v>440</v>
      </c>
      <c r="J1357" s="1">
        <v>8</v>
      </c>
      <c r="K1357" s="3">
        <v>37994.83</v>
      </c>
      <c r="L1357" s="1">
        <v>5</v>
      </c>
      <c r="M1357" s="1" t="s">
        <v>36</v>
      </c>
      <c r="N1357" s="10" t="s">
        <v>23</v>
      </c>
      <c r="Q1357"/>
    </row>
    <row r="1358" spans="1:17" x14ac:dyDescent="0.25">
      <c r="A1358" s="9" t="s">
        <v>2305</v>
      </c>
      <c r="B1358" s="2">
        <v>44979</v>
      </c>
      <c r="C1358" s="1" t="s">
        <v>1514</v>
      </c>
      <c r="D1358" s="1" t="s">
        <v>67</v>
      </c>
      <c r="E1358" s="1" t="s">
        <v>27</v>
      </c>
      <c r="F1358" s="1" t="s">
        <v>49</v>
      </c>
      <c r="G1358" s="1" t="s">
        <v>53</v>
      </c>
      <c r="H1358" s="1" t="s">
        <v>54</v>
      </c>
      <c r="I1358" s="1" t="s">
        <v>1066</v>
      </c>
      <c r="J1358" s="1">
        <v>4</v>
      </c>
      <c r="K1358" s="3">
        <v>11238.21</v>
      </c>
      <c r="L1358" s="1">
        <v>20</v>
      </c>
      <c r="M1358" s="1" t="s">
        <v>22</v>
      </c>
      <c r="N1358" s="10" t="s">
        <v>74</v>
      </c>
      <c r="Q1358"/>
    </row>
    <row r="1359" spans="1:17" x14ac:dyDescent="0.25">
      <c r="A1359" s="9" t="s">
        <v>2306</v>
      </c>
      <c r="B1359" s="2">
        <v>44938</v>
      </c>
      <c r="C1359" s="1" t="s">
        <v>387</v>
      </c>
      <c r="D1359" s="1" t="s">
        <v>16</v>
      </c>
      <c r="E1359" s="1" t="s">
        <v>27</v>
      </c>
      <c r="F1359" s="1" t="s">
        <v>99</v>
      </c>
      <c r="G1359" s="1" t="s">
        <v>42</v>
      </c>
      <c r="H1359" s="1" t="s">
        <v>61</v>
      </c>
      <c r="I1359" s="1" t="s">
        <v>196</v>
      </c>
      <c r="J1359" s="1">
        <v>5</v>
      </c>
      <c r="K1359" s="3">
        <v>24749.47</v>
      </c>
      <c r="L1359" s="1">
        <v>20</v>
      </c>
      <c r="M1359" s="1" t="s">
        <v>56</v>
      </c>
      <c r="N1359" s="10" t="s">
        <v>23</v>
      </c>
      <c r="Q1359"/>
    </row>
    <row r="1360" spans="1:17" x14ac:dyDescent="0.25">
      <c r="A1360" s="9" t="s">
        <v>2307</v>
      </c>
      <c r="B1360" s="2">
        <v>45150</v>
      </c>
      <c r="C1360" s="1" t="s">
        <v>858</v>
      </c>
      <c r="D1360" s="1" t="s">
        <v>81</v>
      </c>
      <c r="E1360" s="1" t="s">
        <v>72</v>
      </c>
      <c r="F1360" s="1" t="s">
        <v>18</v>
      </c>
      <c r="G1360" s="1" t="s">
        <v>83</v>
      </c>
      <c r="H1360" s="1" t="s">
        <v>43</v>
      </c>
      <c r="I1360" s="1" t="s">
        <v>491</v>
      </c>
      <c r="J1360" s="1">
        <v>3</v>
      </c>
      <c r="K1360" s="3">
        <v>13255.56</v>
      </c>
      <c r="L1360" s="1">
        <v>5</v>
      </c>
      <c r="M1360" s="1" t="s">
        <v>93</v>
      </c>
      <c r="N1360" s="10" t="s">
        <v>37</v>
      </c>
      <c r="Q1360"/>
    </row>
    <row r="1361" spans="1:17" x14ac:dyDescent="0.25">
      <c r="A1361" s="9" t="s">
        <v>2308</v>
      </c>
      <c r="B1361" s="2">
        <v>45450</v>
      </c>
      <c r="C1361" s="1" t="s">
        <v>1657</v>
      </c>
      <c r="D1361" s="1" t="s">
        <v>87</v>
      </c>
      <c r="E1361" s="1" t="s">
        <v>27</v>
      </c>
      <c r="F1361" s="1" t="s">
        <v>60</v>
      </c>
      <c r="G1361" s="1" t="s">
        <v>42</v>
      </c>
      <c r="H1361" s="1" t="s">
        <v>61</v>
      </c>
      <c r="I1361" s="1" t="s">
        <v>62</v>
      </c>
      <c r="J1361" s="1">
        <v>8</v>
      </c>
      <c r="K1361" s="3">
        <v>3470.76</v>
      </c>
      <c r="L1361" s="1" t="s">
        <v>110</v>
      </c>
      <c r="M1361" s="1" t="s">
        <v>56</v>
      </c>
      <c r="N1361" s="10" t="s">
        <v>45</v>
      </c>
      <c r="Q1361"/>
    </row>
    <row r="1362" spans="1:17" x14ac:dyDescent="0.25">
      <c r="A1362" s="9" t="s">
        <v>2309</v>
      </c>
      <c r="B1362" s="2">
        <v>45250</v>
      </c>
      <c r="C1362" s="1" t="s">
        <v>249</v>
      </c>
      <c r="D1362" s="1" t="s">
        <v>26</v>
      </c>
      <c r="E1362" s="1" t="s">
        <v>59</v>
      </c>
      <c r="F1362" s="1" t="s">
        <v>28</v>
      </c>
      <c r="G1362" s="1" t="s">
        <v>42</v>
      </c>
      <c r="H1362" s="1" t="s">
        <v>43</v>
      </c>
      <c r="I1362" s="1" t="s">
        <v>182</v>
      </c>
      <c r="J1362" s="1">
        <v>9</v>
      </c>
      <c r="K1362" s="3">
        <v>14664.17</v>
      </c>
      <c r="L1362" s="1">
        <v>20</v>
      </c>
      <c r="M1362" s="1" t="s">
        <v>56</v>
      </c>
      <c r="N1362" s="10" t="s">
        <v>37</v>
      </c>
      <c r="Q1362"/>
    </row>
    <row r="1363" spans="1:17" x14ac:dyDescent="0.25">
      <c r="A1363" s="9" t="s">
        <v>2310</v>
      </c>
      <c r="B1363" s="2">
        <v>45077</v>
      </c>
      <c r="C1363" s="1" t="s">
        <v>1830</v>
      </c>
      <c r="D1363" s="1" t="s">
        <v>77</v>
      </c>
      <c r="E1363" s="1" t="s">
        <v>34</v>
      </c>
      <c r="F1363" s="1" t="s">
        <v>49</v>
      </c>
      <c r="G1363" s="1" t="s">
        <v>19</v>
      </c>
      <c r="H1363" s="1" t="s">
        <v>20</v>
      </c>
      <c r="I1363" s="1" t="s">
        <v>239</v>
      </c>
      <c r="J1363" s="1">
        <v>6</v>
      </c>
      <c r="K1363" s="3">
        <v>27688.12</v>
      </c>
      <c r="L1363" s="1">
        <v>10</v>
      </c>
      <c r="M1363" s="1" t="s">
        <v>63</v>
      </c>
      <c r="N1363" s="10" t="s">
        <v>64</v>
      </c>
      <c r="Q1363"/>
    </row>
    <row r="1364" spans="1:17" x14ac:dyDescent="0.25">
      <c r="A1364" s="9" t="s">
        <v>2311</v>
      </c>
      <c r="B1364" s="2">
        <v>45452</v>
      </c>
      <c r="C1364" s="1" t="s">
        <v>2312</v>
      </c>
      <c r="D1364" s="1" t="s">
        <v>67</v>
      </c>
      <c r="E1364" s="1" t="s">
        <v>34</v>
      </c>
      <c r="F1364" s="1" t="s">
        <v>49</v>
      </c>
      <c r="G1364" s="1" t="s">
        <v>53</v>
      </c>
      <c r="H1364" s="1" t="s">
        <v>54</v>
      </c>
      <c r="I1364" s="1" t="s">
        <v>121</v>
      </c>
      <c r="J1364" s="1">
        <v>1</v>
      </c>
      <c r="K1364" s="3">
        <v>4451.46</v>
      </c>
      <c r="L1364" s="1" t="s">
        <v>110</v>
      </c>
      <c r="M1364" s="1" t="s">
        <v>22</v>
      </c>
      <c r="N1364" s="10" t="s">
        <v>64</v>
      </c>
      <c r="Q1364"/>
    </row>
    <row r="1365" spans="1:17" x14ac:dyDescent="0.25">
      <c r="A1365" s="9" t="s">
        <v>2313</v>
      </c>
      <c r="B1365" s="2">
        <v>45079</v>
      </c>
      <c r="C1365" s="1" t="s">
        <v>2189</v>
      </c>
      <c r="D1365" s="1" t="s">
        <v>81</v>
      </c>
      <c r="E1365" s="1" t="s">
        <v>17</v>
      </c>
      <c r="F1365" s="1" t="s">
        <v>82</v>
      </c>
      <c r="G1365" s="1" t="s">
        <v>19</v>
      </c>
      <c r="H1365" s="1" t="s">
        <v>20</v>
      </c>
      <c r="I1365" s="1" t="s">
        <v>391</v>
      </c>
      <c r="J1365" s="1">
        <v>8</v>
      </c>
      <c r="K1365" s="3">
        <v>5148.49</v>
      </c>
      <c r="L1365" s="1" t="s">
        <v>110</v>
      </c>
      <c r="M1365" s="1" t="s">
        <v>36</v>
      </c>
      <c r="N1365" s="10" t="s">
        <v>64</v>
      </c>
      <c r="Q1365"/>
    </row>
    <row r="1366" spans="1:17" x14ac:dyDescent="0.25">
      <c r="A1366" s="9" t="s">
        <v>2314</v>
      </c>
      <c r="B1366" s="2">
        <v>45230</v>
      </c>
      <c r="C1366" s="1" t="s">
        <v>447</v>
      </c>
      <c r="D1366" s="1" t="s">
        <v>71</v>
      </c>
      <c r="E1366" s="1" t="s">
        <v>72</v>
      </c>
      <c r="F1366" s="1" t="s">
        <v>18</v>
      </c>
      <c r="G1366" s="1" t="s">
        <v>83</v>
      </c>
      <c r="H1366" s="1" t="s">
        <v>43</v>
      </c>
      <c r="I1366" s="1" t="s">
        <v>244</v>
      </c>
      <c r="J1366" s="1">
        <v>5</v>
      </c>
      <c r="K1366" s="3">
        <v>19555.310000000001</v>
      </c>
      <c r="L1366" s="1">
        <v>0</v>
      </c>
      <c r="M1366" s="1" t="s">
        <v>69</v>
      </c>
      <c r="N1366" s="10" t="s">
        <v>45</v>
      </c>
      <c r="Q1366"/>
    </row>
    <row r="1367" spans="1:17" x14ac:dyDescent="0.25">
      <c r="A1367" s="9" t="s">
        <v>2315</v>
      </c>
      <c r="B1367" s="2">
        <v>45523</v>
      </c>
      <c r="C1367" s="1" t="s">
        <v>690</v>
      </c>
      <c r="D1367" s="1" t="s">
        <v>67</v>
      </c>
      <c r="E1367" s="1" t="s">
        <v>72</v>
      </c>
      <c r="F1367" s="1" t="s">
        <v>49</v>
      </c>
      <c r="G1367" s="1" t="s">
        <v>53</v>
      </c>
      <c r="H1367" s="1" t="s">
        <v>54</v>
      </c>
      <c r="I1367" s="1" t="s">
        <v>608</v>
      </c>
      <c r="J1367" s="1">
        <v>8</v>
      </c>
      <c r="K1367" s="3">
        <v>3716.07</v>
      </c>
      <c r="L1367" s="1" t="s">
        <v>110</v>
      </c>
      <c r="M1367" s="1" t="s">
        <v>69</v>
      </c>
      <c r="N1367" s="10" t="s">
        <v>74</v>
      </c>
      <c r="Q1367"/>
    </row>
    <row r="1368" spans="1:17" x14ac:dyDescent="0.25">
      <c r="A1368" s="9" t="s">
        <v>2316</v>
      </c>
      <c r="B1368" s="2">
        <v>45210</v>
      </c>
      <c r="C1368" s="1" t="s">
        <v>849</v>
      </c>
      <c r="D1368" s="1" t="s">
        <v>16</v>
      </c>
      <c r="E1368" s="1" t="s">
        <v>17</v>
      </c>
      <c r="F1368" s="1" t="s">
        <v>28</v>
      </c>
      <c r="G1368" s="1" t="s">
        <v>42</v>
      </c>
      <c r="H1368" s="1" t="s">
        <v>43</v>
      </c>
      <c r="I1368" s="1" t="s">
        <v>488</v>
      </c>
      <c r="J1368" s="1">
        <v>7</v>
      </c>
      <c r="K1368" s="3">
        <v>25469.03</v>
      </c>
      <c r="L1368" s="1">
        <v>20</v>
      </c>
      <c r="M1368" s="1" t="s">
        <v>63</v>
      </c>
      <c r="N1368" s="10" t="s">
        <v>31</v>
      </c>
      <c r="Q1368"/>
    </row>
    <row r="1369" spans="1:17" x14ac:dyDescent="0.25">
      <c r="A1369" s="9" t="s">
        <v>2317</v>
      </c>
      <c r="B1369" s="2">
        <v>45467</v>
      </c>
      <c r="C1369" s="1" t="s">
        <v>2318</v>
      </c>
      <c r="D1369" s="1" t="s">
        <v>26</v>
      </c>
      <c r="E1369" s="1" t="s">
        <v>27</v>
      </c>
      <c r="F1369" s="1" t="s">
        <v>60</v>
      </c>
      <c r="G1369" s="1" t="s">
        <v>53</v>
      </c>
      <c r="H1369" s="1" t="s">
        <v>54</v>
      </c>
      <c r="I1369" s="1" t="s">
        <v>413</v>
      </c>
      <c r="J1369" s="1">
        <v>9</v>
      </c>
      <c r="K1369" s="3">
        <v>15671.38</v>
      </c>
      <c r="L1369" s="1">
        <v>20</v>
      </c>
      <c r="M1369" s="1" t="s">
        <v>56</v>
      </c>
      <c r="N1369" s="10" t="s">
        <v>45</v>
      </c>
      <c r="Q1369"/>
    </row>
    <row r="1370" spans="1:17" x14ac:dyDescent="0.25">
      <c r="A1370" s="9" t="s">
        <v>2319</v>
      </c>
      <c r="B1370" s="2">
        <v>45135</v>
      </c>
      <c r="C1370" s="1" t="s">
        <v>962</v>
      </c>
      <c r="D1370" s="1" t="s">
        <v>81</v>
      </c>
      <c r="E1370" s="1" t="s">
        <v>72</v>
      </c>
      <c r="F1370" s="1" t="s">
        <v>88</v>
      </c>
      <c r="G1370" s="1" t="s">
        <v>19</v>
      </c>
      <c r="H1370" s="1" t="s">
        <v>29</v>
      </c>
      <c r="I1370" s="1" t="s">
        <v>374</v>
      </c>
      <c r="J1370" s="1">
        <v>2</v>
      </c>
      <c r="K1370" s="3">
        <v>6719.54</v>
      </c>
      <c r="L1370" s="1">
        <v>5</v>
      </c>
      <c r="M1370" s="1" t="s">
        <v>69</v>
      </c>
      <c r="N1370" s="10" t="s">
        <v>45</v>
      </c>
      <c r="Q1370"/>
    </row>
    <row r="1371" spans="1:17" x14ac:dyDescent="0.25">
      <c r="A1371" s="9" t="s">
        <v>2320</v>
      </c>
      <c r="B1371" s="2">
        <v>45017</v>
      </c>
      <c r="C1371" s="1" t="s">
        <v>2321</v>
      </c>
      <c r="D1371" s="1" t="s">
        <v>26</v>
      </c>
      <c r="E1371" s="1" t="s">
        <v>34</v>
      </c>
      <c r="F1371" s="1" t="s">
        <v>28</v>
      </c>
      <c r="G1371" s="1" t="s">
        <v>19</v>
      </c>
      <c r="H1371" s="1" t="s">
        <v>20</v>
      </c>
      <c r="I1371" s="1" t="s">
        <v>226</v>
      </c>
      <c r="J1371" s="1">
        <v>6</v>
      </c>
      <c r="K1371" s="3">
        <v>20190.47</v>
      </c>
      <c r="L1371" s="1" t="s">
        <v>110</v>
      </c>
      <c r="M1371" s="1" t="s">
        <v>63</v>
      </c>
      <c r="N1371" s="10" t="s">
        <v>31</v>
      </c>
      <c r="Q1371"/>
    </row>
    <row r="1372" spans="1:17" x14ac:dyDescent="0.25">
      <c r="A1372" s="9" t="s">
        <v>2322</v>
      </c>
      <c r="B1372" s="2">
        <v>45297</v>
      </c>
      <c r="C1372" s="1" t="s">
        <v>2042</v>
      </c>
      <c r="D1372" s="1" t="s">
        <v>87</v>
      </c>
      <c r="E1372" s="1" t="s">
        <v>41</v>
      </c>
      <c r="F1372" s="1" t="s">
        <v>28</v>
      </c>
      <c r="G1372" s="1" t="s">
        <v>42</v>
      </c>
      <c r="H1372" s="1" t="s">
        <v>43</v>
      </c>
      <c r="I1372" s="1" t="s">
        <v>339</v>
      </c>
      <c r="J1372" s="1">
        <v>2</v>
      </c>
      <c r="K1372" s="3">
        <v>6242.43</v>
      </c>
      <c r="L1372" s="1">
        <v>10</v>
      </c>
      <c r="M1372" s="1" t="s">
        <v>56</v>
      </c>
      <c r="N1372" s="10" t="s">
        <v>64</v>
      </c>
      <c r="Q1372"/>
    </row>
    <row r="1373" spans="1:17" x14ac:dyDescent="0.25">
      <c r="A1373" s="9" t="s">
        <v>2323</v>
      </c>
      <c r="B1373" s="2">
        <v>45102</v>
      </c>
      <c r="C1373" s="1" t="s">
        <v>2324</v>
      </c>
      <c r="D1373" s="1" t="s">
        <v>48</v>
      </c>
      <c r="E1373" s="1" t="s">
        <v>27</v>
      </c>
      <c r="F1373" s="1" t="s">
        <v>28</v>
      </c>
      <c r="G1373" s="1" t="s">
        <v>42</v>
      </c>
      <c r="H1373" s="1" t="s">
        <v>43</v>
      </c>
      <c r="I1373" s="1" t="s">
        <v>494</v>
      </c>
      <c r="J1373" s="1">
        <v>2</v>
      </c>
      <c r="K1373" s="3">
        <v>2570.2199999999998</v>
      </c>
      <c r="L1373" s="1">
        <v>10</v>
      </c>
      <c r="M1373" s="1" t="s">
        <v>93</v>
      </c>
      <c r="N1373" s="10" t="s">
        <v>31</v>
      </c>
      <c r="Q1373"/>
    </row>
    <row r="1374" spans="1:17" x14ac:dyDescent="0.25">
      <c r="A1374" s="9" t="s">
        <v>2325</v>
      </c>
      <c r="B1374" s="2">
        <v>45499</v>
      </c>
      <c r="C1374" s="1" t="s">
        <v>108</v>
      </c>
      <c r="D1374" s="1" t="s">
        <v>67</v>
      </c>
      <c r="E1374" s="1" t="s">
        <v>34</v>
      </c>
      <c r="F1374" s="1" t="s">
        <v>82</v>
      </c>
      <c r="G1374" s="1" t="s">
        <v>83</v>
      </c>
      <c r="H1374" s="1" t="s">
        <v>43</v>
      </c>
      <c r="I1374" s="1" t="s">
        <v>704</v>
      </c>
      <c r="J1374" s="1">
        <v>5</v>
      </c>
      <c r="K1374" s="3">
        <v>16098.72</v>
      </c>
      <c r="L1374" s="1">
        <v>15</v>
      </c>
      <c r="M1374" s="1" t="s">
        <v>63</v>
      </c>
      <c r="N1374" s="10" t="s">
        <v>31</v>
      </c>
      <c r="Q1374"/>
    </row>
    <row r="1375" spans="1:17" x14ac:dyDescent="0.25">
      <c r="A1375" s="9" t="s">
        <v>2326</v>
      </c>
      <c r="B1375" s="2">
        <v>45515</v>
      </c>
      <c r="C1375" s="1" t="s">
        <v>2125</v>
      </c>
      <c r="D1375" s="1" t="s">
        <v>399</v>
      </c>
      <c r="E1375" s="1" t="s">
        <v>59</v>
      </c>
      <c r="F1375" s="1" t="s">
        <v>99</v>
      </c>
      <c r="G1375" s="1" t="s">
        <v>19</v>
      </c>
      <c r="H1375" s="1" t="s">
        <v>29</v>
      </c>
      <c r="I1375" s="1" t="s">
        <v>385</v>
      </c>
      <c r="J1375" s="1">
        <v>6</v>
      </c>
      <c r="K1375" s="3">
        <v>2066.31</v>
      </c>
      <c r="L1375" s="1">
        <v>15</v>
      </c>
      <c r="M1375" s="1" t="s">
        <v>56</v>
      </c>
      <c r="N1375" s="10" t="s">
        <v>31</v>
      </c>
      <c r="Q1375"/>
    </row>
    <row r="1376" spans="1:17" x14ac:dyDescent="0.25">
      <c r="A1376" s="9" t="s">
        <v>2328</v>
      </c>
      <c r="B1376" s="2">
        <v>45307</v>
      </c>
      <c r="C1376" s="1" t="s">
        <v>70</v>
      </c>
      <c r="D1376" s="1" t="s">
        <v>33</v>
      </c>
      <c r="E1376" s="1" t="s">
        <v>41</v>
      </c>
      <c r="F1376" s="1" t="s">
        <v>60</v>
      </c>
      <c r="G1376" s="1" t="s">
        <v>42</v>
      </c>
      <c r="H1376" s="1" t="s">
        <v>61</v>
      </c>
      <c r="I1376" s="1" t="s">
        <v>68</v>
      </c>
      <c r="J1376" s="1">
        <v>7</v>
      </c>
      <c r="K1376" s="3">
        <v>32006.31</v>
      </c>
      <c r="L1376" s="1">
        <v>20</v>
      </c>
      <c r="M1376" s="1" t="s">
        <v>63</v>
      </c>
      <c r="N1376" s="10" t="s">
        <v>45</v>
      </c>
      <c r="Q1376"/>
    </row>
    <row r="1377" spans="1:17" x14ac:dyDescent="0.25">
      <c r="A1377" s="9" t="s">
        <v>2329</v>
      </c>
      <c r="B1377" s="2">
        <v>45477</v>
      </c>
      <c r="C1377" s="1" t="s">
        <v>2330</v>
      </c>
      <c r="D1377" s="1" t="s">
        <v>147</v>
      </c>
      <c r="E1377" s="1" t="s">
        <v>17</v>
      </c>
      <c r="F1377" s="1" t="s">
        <v>99</v>
      </c>
      <c r="G1377" s="1" t="s">
        <v>42</v>
      </c>
      <c r="H1377" s="1" t="s">
        <v>43</v>
      </c>
      <c r="I1377" s="1" t="s">
        <v>380</v>
      </c>
      <c r="J1377" s="1">
        <v>9</v>
      </c>
      <c r="K1377" s="3">
        <v>17878.11</v>
      </c>
      <c r="L1377" s="1" t="s">
        <v>110</v>
      </c>
      <c r="M1377" s="1" t="s">
        <v>93</v>
      </c>
      <c r="N1377" s="10" t="s">
        <v>74</v>
      </c>
      <c r="Q1377"/>
    </row>
    <row r="1378" spans="1:17" x14ac:dyDescent="0.25">
      <c r="A1378" s="9" t="s">
        <v>2331</v>
      </c>
      <c r="B1378" s="2">
        <v>45242</v>
      </c>
      <c r="C1378" s="1" t="s">
        <v>625</v>
      </c>
      <c r="D1378" s="1" t="s">
        <v>26</v>
      </c>
      <c r="E1378" s="1" t="s">
        <v>59</v>
      </c>
      <c r="F1378" s="1" t="s">
        <v>88</v>
      </c>
      <c r="G1378" s="1" t="s">
        <v>42</v>
      </c>
      <c r="H1378" s="1" t="s">
        <v>43</v>
      </c>
      <c r="I1378" s="1" t="s">
        <v>494</v>
      </c>
      <c r="J1378" s="1">
        <v>7</v>
      </c>
      <c r="K1378" s="3">
        <v>23132.45</v>
      </c>
      <c r="L1378" s="1">
        <v>0</v>
      </c>
      <c r="M1378" s="1" t="s">
        <v>56</v>
      </c>
      <c r="N1378" s="10" t="s">
        <v>37</v>
      </c>
      <c r="Q1378"/>
    </row>
    <row r="1379" spans="1:17" x14ac:dyDescent="0.25">
      <c r="A1379" s="9" t="s">
        <v>2332</v>
      </c>
      <c r="B1379" s="2">
        <v>45282</v>
      </c>
      <c r="C1379" s="1" t="s">
        <v>1616</v>
      </c>
      <c r="D1379" s="1" t="s">
        <v>52</v>
      </c>
      <c r="E1379" s="1" t="s">
        <v>34</v>
      </c>
      <c r="F1379" s="1" t="s">
        <v>82</v>
      </c>
      <c r="G1379" s="1" t="s">
        <v>19</v>
      </c>
      <c r="H1379" s="1" t="s">
        <v>29</v>
      </c>
      <c r="I1379" s="1" t="s">
        <v>320</v>
      </c>
      <c r="J1379" s="1">
        <v>3</v>
      </c>
      <c r="K1379" s="3">
        <v>8868.83</v>
      </c>
      <c r="L1379" s="1" t="s">
        <v>110</v>
      </c>
      <c r="M1379" s="1" t="s">
        <v>69</v>
      </c>
      <c r="N1379" s="10" t="s">
        <v>31</v>
      </c>
      <c r="Q1379"/>
    </row>
    <row r="1380" spans="1:17" x14ac:dyDescent="0.25">
      <c r="A1380" s="9" t="s">
        <v>2333</v>
      </c>
      <c r="B1380" s="2">
        <v>45167</v>
      </c>
      <c r="C1380" s="1" t="s">
        <v>2334</v>
      </c>
      <c r="D1380" s="1" t="s">
        <v>26</v>
      </c>
      <c r="E1380" s="1" t="s">
        <v>72</v>
      </c>
      <c r="F1380" s="1" t="s">
        <v>28</v>
      </c>
      <c r="G1380" s="1" t="s">
        <v>19</v>
      </c>
      <c r="H1380" s="1" t="s">
        <v>29</v>
      </c>
      <c r="I1380" s="1" t="s">
        <v>30</v>
      </c>
      <c r="J1380" s="1">
        <v>9</v>
      </c>
      <c r="K1380" s="3">
        <v>39964.46</v>
      </c>
      <c r="L1380" s="1">
        <v>15</v>
      </c>
      <c r="M1380" s="1" t="s">
        <v>36</v>
      </c>
      <c r="N1380" s="10" t="s">
        <v>31</v>
      </c>
      <c r="Q1380"/>
    </row>
    <row r="1381" spans="1:17" x14ac:dyDescent="0.25">
      <c r="A1381" s="9" t="s">
        <v>2335</v>
      </c>
      <c r="B1381" s="2">
        <v>44985</v>
      </c>
      <c r="C1381" s="1" t="s">
        <v>387</v>
      </c>
      <c r="D1381" s="1" t="s">
        <v>71</v>
      </c>
      <c r="E1381" s="1" t="s">
        <v>17</v>
      </c>
      <c r="F1381" s="1" t="s">
        <v>18</v>
      </c>
      <c r="G1381" s="1" t="s">
        <v>83</v>
      </c>
      <c r="H1381" s="1" t="s">
        <v>43</v>
      </c>
      <c r="I1381" s="1" t="s">
        <v>652</v>
      </c>
      <c r="J1381" s="1">
        <v>3</v>
      </c>
      <c r="K1381" s="3">
        <v>3717.31</v>
      </c>
      <c r="L1381" s="1">
        <v>0</v>
      </c>
      <c r="M1381" s="1" t="s">
        <v>93</v>
      </c>
      <c r="N1381" s="10" t="s">
        <v>23</v>
      </c>
      <c r="Q1381"/>
    </row>
    <row r="1382" spans="1:17" x14ac:dyDescent="0.25">
      <c r="A1382" s="9" t="s">
        <v>2336</v>
      </c>
      <c r="B1382" s="2">
        <v>45449</v>
      </c>
      <c r="C1382" s="1" t="s">
        <v>1834</v>
      </c>
      <c r="D1382" s="1" t="s">
        <v>118</v>
      </c>
      <c r="E1382" s="1" t="s">
        <v>17</v>
      </c>
      <c r="F1382" s="1" t="s">
        <v>82</v>
      </c>
      <c r="G1382" s="1" t="s">
        <v>42</v>
      </c>
      <c r="H1382" s="1" t="s">
        <v>43</v>
      </c>
      <c r="I1382" s="1" t="s">
        <v>157</v>
      </c>
      <c r="J1382" s="1">
        <v>1</v>
      </c>
      <c r="K1382" s="3">
        <v>3365.53</v>
      </c>
      <c r="L1382" s="1">
        <v>0</v>
      </c>
      <c r="M1382" s="1" t="s">
        <v>56</v>
      </c>
      <c r="N1382" s="10" t="s">
        <v>74</v>
      </c>
      <c r="Q1382"/>
    </row>
    <row r="1383" spans="1:17" x14ac:dyDescent="0.25">
      <c r="A1383" s="9" t="s">
        <v>2337</v>
      </c>
      <c r="B1383" s="2">
        <v>45133</v>
      </c>
      <c r="C1383" s="1" t="s">
        <v>1914</v>
      </c>
      <c r="D1383" s="1" t="s">
        <v>33</v>
      </c>
      <c r="E1383" s="1" t="s">
        <v>17</v>
      </c>
      <c r="F1383" s="1" t="s">
        <v>18</v>
      </c>
      <c r="G1383" s="1" t="s">
        <v>42</v>
      </c>
      <c r="H1383" s="1" t="s">
        <v>61</v>
      </c>
      <c r="I1383" s="1" t="s">
        <v>217</v>
      </c>
      <c r="J1383" s="1">
        <v>7</v>
      </c>
      <c r="K1383" s="3">
        <v>15249.55</v>
      </c>
      <c r="L1383" s="1">
        <v>0</v>
      </c>
      <c r="M1383" s="1" t="s">
        <v>93</v>
      </c>
      <c r="N1383" s="10" t="s">
        <v>31</v>
      </c>
      <c r="Q1383"/>
    </row>
    <row r="1384" spans="1:17" x14ac:dyDescent="0.25">
      <c r="A1384" s="9" t="s">
        <v>2338</v>
      </c>
      <c r="B1384" s="2">
        <v>45480</v>
      </c>
      <c r="C1384" s="1" t="s">
        <v>1151</v>
      </c>
      <c r="D1384" s="1" t="s">
        <v>33</v>
      </c>
      <c r="E1384" s="1" t="s">
        <v>27</v>
      </c>
      <c r="F1384" s="1" t="s">
        <v>82</v>
      </c>
      <c r="G1384" s="1" t="s">
        <v>19</v>
      </c>
      <c r="H1384" s="1" t="s">
        <v>20</v>
      </c>
      <c r="I1384" s="1" t="s">
        <v>261</v>
      </c>
      <c r="J1384" s="1">
        <v>3</v>
      </c>
      <c r="K1384" s="3">
        <v>12318.64</v>
      </c>
      <c r="L1384" s="1">
        <v>5</v>
      </c>
      <c r="M1384" s="1" t="s">
        <v>56</v>
      </c>
      <c r="N1384" s="10" t="s">
        <v>64</v>
      </c>
      <c r="Q1384"/>
    </row>
    <row r="1385" spans="1:17" x14ac:dyDescent="0.25">
      <c r="A1385" s="9" t="s">
        <v>2339</v>
      </c>
      <c r="B1385" s="2">
        <v>45341</v>
      </c>
      <c r="C1385" s="1" t="s">
        <v>319</v>
      </c>
      <c r="D1385" s="1" t="s">
        <v>33</v>
      </c>
      <c r="E1385" s="1" t="s">
        <v>17</v>
      </c>
      <c r="F1385" s="1" t="s">
        <v>18</v>
      </c>
      <c r="G1385" s="1" t="s">
        <v>83</v>
      </c>
      <c r="H1385" s="1" t="s">
        <v>43</v>
      </c>
      <c r="I1385" s="1" t="s">
        <v>84</v>
      </c>
      <c r="J1385" s="1">
        <v>6</v>
      </c>
      <c r="K1385" s="3">
        <v>21449.45</v>
      </c>
      <c r="L1385" s="1" t="s">
        <v>110</v>
      </c>
      <c r="M1385" s="1" t="s">
        <v>36</v>
      </c>
      <c r="N1385" s="10" t="s">
        <v>74</v>
      </c>
      <c r="Q1385"/>
    </row>
    <row r="1386" spans="1:17" x14ac:dyDescent="0.25">
      <c r="A1386" s="9" t="s">
        <v>2340</v>
      </c>
      <c r="B1386" s="2">
        <v>45582</v>
      </c>
      <c r="C1386" s="1" t="s">
        <v>1039</v>
      </c>
      <c r="D1386" s="1" t="s">
        <v>87</v>
      </c>
      <c r="E1386" s="1" t="s">
        <v>34</v>
      </c>
      <c r="F1386" s="1" t="s">
        <v>60</v>
      </c>
      <c r="G1386" s="1" t="s">
        <v>42</v>
      </c>
      <c r="H1386" s="1" t="s">
        <v>43</v>
      </c>
      <c r="I1386" s="1" t="s">
        <v>323</v>
      </c>
      <c r="J1386" s="1">
        <v>4</v>
      </c>
      <c r="K1386" s="3">
        <v>6292.56</v>
      </c>
      <c r="L1386" s="1">
        <v>20</v>
      </c>
      <c r="M1386" s="1" t="s">
        <v>22</v>
      </c>
      <c r="N1386" s="10" t="s">
        <v>31</v>
      </c>
      <c r="Q1386"/>
    </row>
    <row r="1387" spans="1:17" x14ac:dyDescent="0.25">
      <c r="A1387" s="9" t="s">
        <v>2341</v>
      </c>
      <c r="B1387" s="2">
        <v>45288</v>
      </c>
      <c r="C1387" s="1" t="s">
        <v>1469</v>
      </c>
      <c r="D1387" s="1" t="s">
        <v>71</v>
      </c>
      <c r="E1387" s="1" t="s">
        <v>41</v>
      </c>
      <c r="F1387" s="1" t="s">
        <v>99</v>
      </c>
      <c r="G1387" s="1" t="s">
        <v>19</v>
      </c>
      <c r="H1387" s="1" t="s">
        <v>20</v>
      </c>
      <c r="I1387" s="1" t="s">
        <v>263</v>
      </c>
      <c r="J1387" s="1">
        <v>4</v>
      </c>
      <c r="K1387" s="3">
        <v>9688.43</v>
      </c>
      <c r="L1387" s="1">
        <v>5</v>
      </c>
      <c r="M1387" s="1" t="s">
        <v>36</v>
      </c>
      <c r="N1387" s="10" t="s">
        <v>23</v>
      </c>
      <c r="Q1387"/>
    </row>
    <row r="1388" spans="1:17" x14ac:dyDescent="0.25">
      <c r="A1388" s="9" t="s">
        <v>2342</v>
      </c>
      <c r="B1388" s="2">
        <v>45470</v>
      </c>
      <c r="C1388" s="1" t="s">
        <v>1476</v>
      </c>
      <c r="D1388" s="1" t="s">
        <v>33</v>
      </c>
      <c r="E1388" s="1" t="s">
        <v>17</v>
      </c>
      <c r="F1388" s="1" t="s">
        <v>18</v>
      </c>
      <c r="G1388" s="1" t="s">
        <v>42</v>
      </c>
      <c r="H1388" s="1" t="s">
        <v>43</v>
      </c>
      <c r="I1388" s="1" t="s">
        <v>288</v>
      </c>
      <c r="J1388" s="1">
        <v>9</v>
      </c>
      <c r="K1388" s="3">
        <v>28534.81</v>
      </c>
      <c r="L1388" s="1" t="s">
        <v>110</v>
      </c>
      <c r="M1388" s="1" t="s">
        <v>56</v>
      </c>
      <c r="N1388" s="10" t="s">
        <v>37</v>
      </c>
      <c r="Q1388"/>
    </row>
    <row r="1389" spans="1:17" x14ac:dyDescent="0.25">
      <c r="A1389" s="9" t="s">
        <v>2344</v>
      </c>
      <c r="B1389" s="2">
        <v>45534</v>
      </c>
      <c r="C1389" s="1" t="s">
        <v>1358</v>
      </c>
      <c r="D1389" s="1" t="s">
        <v>87</v>
      </c>
      <c r="E1389" s="1" t="s">
        <v>72</v>
      </c>
      <c r="F1389" s="1" t="s">
        <v>18</v>
      </c>
      <c r="G1389" s="1" t="s">
        <v>19</v>
      </c>
      <c r="H1389" s="1" t="s">
        <v>20</v>
      </c>
      <c r="I1389" s="1" t="s">
        <v>391</v>
      </c>
      <c r="J1389" s="1">
        <v>5</v>
      </c>
      <c r="K1389" s="3">
        <v>9940.7800000000007</v>
      </c>
      <c r="L1389" s="1">
        <v>15</v>
      </c>
      <c r="M1389" s="1" t="s">
        <v>63</v>
      </c>
      <c r="N1389" s="10" t="s">
        <v>64</v>
      </c>
      <c r="Q1389"/>
    </row>
    <row r="1390" spans="1:17" x14ac:dyDescent="0.25">
      <c r="A1390" s="9" t="s">
        <v>2345</v>
      </c>
      <c r="B1390" s="2">
        <v>44998</v>
      </c>
      <c r="C1390" s="1" t="s">
        <v>1910</v>
      </c>
      <c r="D1390" s="1" t="s">
        <v>52</v>
      </c>
      <c r="E1390" s="1" t="s">
        <v>72</v>
      </c>
      <c r="F1390" s="1" t="s">
        <v>49</v>
      </c>
      <c r="G1390" s="1" t="s">
        <v>53</v>
      </c>
      <c r="H1390" s="1" t="s">
        <v>54</v>
      </c>
      <c r="I1390" s="1" t="s">
        <v>308</v>
      </c>
      <c r="J1390" s="1">
        <v>5</v>
      </c>
      <c r="K1390" s="3">
        <v>19634.57</v>
      </c>
      <c r="L1390" s="1" t="s">
        <v>110</v>
      </c>
      <c r="M1390" s="1" t="s">
        <v>36</v>
      </c>
      <c r="N1390" s="10" t="s">
        <v>64</v>
      </c>
      <c r="Q1390"/>
    </row>
    <row r="1391" spans="1:17" x14ac:dyDescent="0.25">
      <c r="A1391" s="9" t="s">
        <v>2346</v>
      </c>
      <c r="B1391" s="2">
        <v>45302</v>
      </c>
      <c r="C1391" s="1" t="s">
        <v>1951</v>
      </c>
      <c r="D1391" s="1" t="s">
        <v>71</v>
      </c>
      <c r="E1391" s="1" t="s">
        <v>17</v>
      </c>
      <c r="F1391" s="1" t="s">
        <v>82</v>
      </c>
      <c r="G1391" s="1" t="s">
        <v>19</v>
      </c>
      <c r="H1391" s="1" t="s">
        <v>29</v>
      </c>
      <c r="I1391" s="1" t="s">
        <v>220</v>
      </c>
      <c r="J1391" s="1">
        <v>2</v>
      </c>
      <c r="K1391" s="3">
        <v>6749.71</v>
      </c>
      <c r="L1391" s="1">
        <v>15</v>
      </c>
      <c r="M1391" s="1" t="s">
        <v>36</v>
      </c>
      <c r="N1391" s="10" t="s">
        <v>23</v>
      </c>
      <c r="Q1391"/>
    </row>
    <row r="1392" spans="1:17" x14ac:dyDescent="0.25">
      <c r="A1392" s="9" t="s">
        <v>2348</v>
      </c>
      <c r="B1392" s="2">
        <v>45557</v>
      </c>
      <c r="C1392" s="1" t="s">
        <v>1250</v>
      </c>
      <c r="D1392" s="1" t="s">
        <v>40</v>
      </c>
      <c r="E1392" s="1" t="s">
        <v>72</v>
      </c>
      <c r="F1392" s="1" t="s">
        <v>88</v>
      </c>
      <c r="G1392" s="1" t="s">
        <v>42</v>
      </c>
      <c r="H1392" s="1" t="s">
        <v>43</v>
      </c>
      <c r="I1392" s="1" t="s">
        <v>336</v>
      </c>
      <c r="J1392" s="1">
        <v>9</v>
      </c>
      <c r="K1392" s="3">
        <v>34551.57</v>
      </c>
      <c r="L1392" s="1" t="s">
        <v>110</v>
      </c>
      <c r="M1392" s="1" t="s">
        <v>69</v>
      </c>
      <c r="N1392" s="10" t="s">
        <v>23</v>
      </c>
      <c r="Q1392"/>
    </row>
    <row r="1393" spans="1:17" x14ac:dyDescent="0.25">
      <c r="A1393" s="9" t="s">
        <v>2349</v>
      </c>
      <c r="B1393" s="2">
        <v>45174</v>
      </c>
      <c r="C1393" s="1" t="s">
        <v>1288</v>
      </c>
      <c r="D1393" s="1" t="s">
        <v>26</v>
      </c>
      <c r="E1393" s="1" t="s">
        <v>41</v>
      </c>
      <c r="F1393" s="1" t="s">
        <v>28</v>
      </c>
      <c r="G1393" s="1" t="s">
        <v>42</v>
      </c>
      <c r="H1393" s="1" t="s">
        <v>61</v>
      </c>
      <c r="I1393" s="1" t="s">
        <v>529</v>
      </c>
      <c r="J1393" s="1">
        <v>1</v>
      </c>
      <c r="K1393" s="3">
        <v>319.77</v>
      </c>
      <c r="L1393" s="1" t="s">
        <v>110</v>
      </c>
      <c r="M1393" s="1" t="s">
        <v>36</v>
      </c>
      <c r="N1393" s="10" t="s">
        <v>45</v>
      </c>
      <c r="Q1393"/>
    </row>
    <row r="1394" spans="1:17" x14ac:dyDescent="0.25">
      <c r="A1394" s="9" t="s">
        <v>2350</v>
      </c>
      <c r="B1394" s="2">
        <v>45156</v>
      </c>
      <c r="C1394" s="1" t="s">
        <v>266</v>
      </c>
      <c r="D1394" s="1" t="s">
        <v>48</v>
      </c>
      <c r="E1394" s="1" t="s">
        <v>27</v>
      </c>
      <c r="F1394" s="1" t="s">
        <v>88</v>
      </c>
      <c r="G1394" s="1" t="s">
        <v>83</v>
      </c>
      <c r="H1394" s="1" t="s">
        <v>43</v>
      </c>
      <c r="I1394" s="1" t="s">
        <v>274</v>
      </c>
      <c r="J1394" s="1">
        <v>2</v>
      </c>
      <c r="K1394" s="3">
        <v>7573.13</v>
      </c>
      <c r="L1394" s="1">
        <v>5</v>
      </c>
      <c r="M1394" s="1" t="s">
        <v>93</v>
      </c>
      <c r="N1394" s="10" t="s">
        <v>45</v>
      </c>
      <c r="Q1394"/>
    </row>
    <row r="1395" spans="1:17" x14ac:dyDescent="0.25">
      <c r="A1395" s="9" t="s">
        <v>2351</v>
      </c>
      <c r="B1395" s="2">
        <v>45177</v>
      </c>
      <c r="C1395" s="1" t="s">
        <v>1220</v>
      </c>
      <c r="D1395" s="1" t="s">
        <v>67</v>
      </c>
      <c r="E1395" s="1" t="s">
        <v>59</v>
      </c>
      <c r="F1395" s="1" t="s">
        <v>28</v>
      </c>
      <c r="G1395" s="1" t="s">
        <v>53</v>
      </c>
      <c r="H1395" s="1" t="s">
        <v>54</v>
      </c>
      <c r="I1395" s="1" t="s">
        <v>437</v>
      </c>
      <c r="J1395" s="1">
        <v>4</v>
      </c>
      <c r="K1395" s="3">
        <v>13765.12</v>
      </c>
      <c r="L1395" s="1">
        <v>15</v>
      </c>
      <c r="M1395" s="1" t="s">
        <v>69</v>
      </c>
      <c r="N1395" s="10" t="s">
        <v>64</v>
      </c>
      <c r="Q1395"/>
    </row>
    <row r="1396" spans="1:17" x14ac:dyDescent="0.25">
      <c r="A1396" s="9" t="s">
        <v>2352</v>
      </c>
      <c r="B1396" s="2">
        <v>45034</v>
      </c>
      <c r="C1396" s="1" t="s">
        <v>943</v>
      </c>
      <c r="D1396" s="1" t="s">
        <v>87</v>
      </c>
      <c r="E1396" s="1" t="s">
        <v>59</v>
      </c>
      <c r="F1396" s="1" t="s">
        <v>18</v>
      </c>
      <c r="G1396" s="1" t="s">
        <v>53</v>
      </c>
      <c r="H1396" s="1" t="s">
        <v>54</v>
      </c>
      <c r="I1396" s="1" t="s">
        <v>253</v>
      </c>
      <c r="J1396" s="1">
        <v>5</v>
      </c>
      <c r="K1396" s="3">
        <v>18257.07</v>
      </c>
      <c r="L1396" s="1">
        <v>0</v>
      </c>
      <c r="M1396" s="1" t="s">
        <v>63</v>
      </c>
      <c r="N1396" s="10" t="s">
        <v>23</v>
      </c>
      <c r="Q1396"/>
    </row>
    <row r="1397" spans="1:17" x14ac:dyDescent="0.25">
      <c r="A1397" s="9" t="s">
        <v>2353</v>
      </c>
      <c r="B1397" s="2">
        <v>45019</v>
      </c>
      <c r="C1397" s="1" t="s">
        <v>1434</v>
      </c>
      <c r="D1397" s="1" t="s">
        <v>360</v>
      </c>
      <c r="E1397" s="1" t="s">
        <v>59</v>
      </c>
      <c r="F1397" s="1" t="s">
        <v>49</v>
      </c>
      <c r="G1397" s="1" t="s">
        <v>19</v>
      </c>
      <c r="H1397" s="1" t="s">
        <v>20</v>
      </c>
      <c r="I1397" s="1" t="s">
        <v>326</v>
      </c>
      <c r="J1397" s="1">
        <v>8</v>
      </c>
      <c r="K1397" s="3">
        <v>22710.97</v>
      </c>
      <c r="L1397" s="1" t="s">
        <v>110</v>
      </c>
      <c r="M1397" s="1" t="s">
        <v>63</v>
      </c>
      <c r="N1397" s="10" t="s">
        <v>64</v>
      </c>
      <c r="Q1397"/>
    </row>
    <row r="1398" spans="1:17" x14ac:dyDescent="0.25">
      <c r="A1398" s="9" t="s">
        <v>2354</v>
      </c>
      <c r="B1398" s="2">
        <v>45590</v>
      </c>
      <c r="C1398" s="1" t="s">
        <v>778</v>
      </c>
      <c r="D1398" s="1" t="s">
        <v>52</v>
      </c>
      <c r="E1398" s="1" t="s">
        <v>72</v>
      </c>
      <c r="F1398" s="1" t="s">
        <v>60</v>
      </c>
      <c r="G1398" s="1" t="s">
        <v>19</v>
      </c>
      <c r="H1398" s="1" t="s">
        <v>20</v>
      </c>
      <c r="I1398" s="1" t="s">
        <v>21</v>
      </c>
      <c r="J1398" s="1">
        <v>2</v>
      </c>
      <c r="K1398" s="3">
        <v>9219.1200000000008</v>
      </c>
      <c r="L1398" s="1">
        <v>20</v>
      </c>
      <c r="M1398" s="1" t="s">
        <v>69</v>
      </c>
      <c r="N1398" s="10" t="s">
        <v>45</v>
      </c>
      <c r="Q1398"/>
    </row>
    <row r="1399" spans="1:17" x14ac:dyDescent="0.25">
      <c r="A1399" s="9" t="s">
        <v>2355</v>
      </c>
      <c r="B1399" s="2">
        <v>45551</v>
      </c>
      <c r="C1399" s="1" t="s">
        <v>117</v>
      </c>
      <c r="D1399" s="1" t="s">
        <v>52</v>
      </c>
      <c r="E1399" s="1" t="s">
        <v>41</v>
      </c>
      <c r="F1399" s="1" t="s">
        <v>82</v>
      </c>
      <c r="G1399" s="1" t="s">
        <v>19</v>
      </c>
      <c r="H1399" s="1" t="s">
        <v>20</v>
      </c>
      <c r="I1399" s="1" t="s">
        <v>563</v>
      </c>
      <c r="J1399" s="1">
        <v>10</v>
      </c>
      <c r="K1399" s="3">
        <v>15050.02</v>
      </c>
      <c r="L1399" s="1">
        <v>5</v>
      </c>
      <c r="M1399" s="1" t="s">
        <v>63</v>
      </c>
      <c r="N1399" s="10" t="s">
        <v>64</v>
      </c>
      <c r="Q1399"/>
    </row>
    <row r="1400" spans="1:17" x14ac:dyDescent="0.25">
      <c r="A1400" s="9" t="s">
        <v>2356</v>
      </c>
      <c r="B1400" s="2">
        <v>45063</v>
      </c>
      <c r="C1400" s="1" t="s">
        <v>1408</v>
      </c>
      <c r="D1400" s="1" t="s">
        <v>16</v>
      </c>
      <c r="E1400" s="1" t="s">
        <v>27</v>
      </c>
      <c r="F1400" s="1" t="s">
        <v>82</v>
      </c>
      <c r="G1400" s="1" t="s">
        <v>19</v>
      </c>
      <c r="H1400" s="1" t="s">
        <v>20</v>
      </c>
      <c r="I1400" s="1" t="s">
        <v>226</v>
      </c>
      <c r="J1400" s="1">
        <v>9</v>
      </c>
      <c r="K1400" s="3">
        <v>12301.28</v>
      </c>
      <c r="L1400" s="1">
        <v>0</v>
      </c>
      <c r="M1400" s="1" t="s">
        <v>69</v>
      </c>
      <c r="N1400" s="10" t="s">
        <v>37</v>
      </c>
      <c r="Q1400"/>
    </row>
    <row r="1401" spans="1:17" x14ac:dyDescent="0.25">
      <c r="A1401" s="9" t="s">
        <v>2357</v>
      </c>
      <c r="B1401" s="2">
        <v>45116</v>
      </c>
      <c r="C1401" s="1" t="s">
        <v>1194</v>
      </c>
      <c r="D1401" s="1" t="s">
        <v>40</v>
      </c>
      <c r="E1401" s="1" t="s">
        <v>41</v>
      </c>
      <c r="F1401" s="1" t="s">
        <v>82</v>
      </c>
      <c r="G1401" s="1" t="s">
        <v>42</v>
      </c>
      <c r="H1401" s="1" t="s">
        <v>61</v>
      </c>
      <c r="I1401" s="1" t="s">
        <v>1011</v>
      </c>
      <c r="J1401" s="1">
        <v>7</v>
      </c>
      <c r="K1401" s="3">
        <v>10611.92</v>
      </c>
      <c r="L1401" s="1">
        <v>10</v>
      </c>
      <c r="M1401" s="1" t="s">
        <v>22</v>
      </c>
      <c r="N1401" s="10" t="s">
        <v>23</v>
      </c>
      <c r="Q1401"/>
    </row>
    <row r="1402" spans="1:17" x14ac:dyDescent="0.25">
      <c r="A1402" s="9" t="s">
        <v>2358</v>
      </c>
      <c r="B1402" s="2">
        <v>45190</v>
      </c>
      <c r="C1402" s="1" t="s">
        <v>2359</v>
      </c>
      <c r="D1402" s="1" t="s">
        <v>67</v>
      </c>
      <c r="E1402" s="1" t="s">
        <v>41</v>
      </c>
      <c r="F1402" s="1" t="s">
        <v>99</v>
      </c>
      <c r="G1402" s="1" t="s">
        <v>83</v>
      </c>
      <c r="H1402" s="1" t="s">
        <v>43</v>
      </c>
      <c r="I1402" s="1" t="s">
        <v>144</v>
      </c>
      <c r="J1402" s="1">
        <v>4</v>
      </c>
      <c r="K1402" s="3">
        <v>8150.73</v>
      </c>
      <c r="L1402" s="1">
        <v>20</v>
      </c>
      <c r="M1402" s="1" t="s">
        <v>22</v>
      </c>
      <c r="N1402" s="10" t="s">
        <v>74</v>
      </c>
      <c r="Q1402"/>
    </row>
    <row r="1403" spans="1:17" x14ac:dyDescent="0.25">
      <c r="A1403" s="9" t="s">
        <v>2360</v>
      </c>
      <c r="B1403" s="2">
        <v>45034</v>
      </c>
      <c r="C1403" s="1" t="s">
        <v>679</v>
      </c>
      <c r="D1403" s="1" t="s">
        <v>147</v>
      </c>
      <c r="E1403" s="1" t="s">
        <v>41</v>
      </c>
      <c r="F1403" s="1" t="s">
        <v>49</v>
      </c>
      <c r="G1403" s="1" t="s">
        <v>53</v>
      </c>
      <c r="H1403" s="1" t="s">
        <v>54</v>
      </c>
      <c r="I1403" s="1" t="s">
        <v>946</v>
      </c>
      <c r="J1403" s="1">
        <v>8</v>
      </c>
      <c r="K1403" s="3">
        <v>10738.64</v>
      </c>
      <c r="L1403" s="1">
        <v>10</v>
      </c>
      <c r="M1403" s="1" t="s">
        <v>56</v>
      </c>
      <c r="N1403" s="10" t="s">
        <v>74</v>
      </c>
      <c r="Q1403"/>
    </row>
    <row r="1404" spans="1:17" x14ac:dyDescent="0.25">
      <c r="A1404" s="9" t="s">
        <v>2361</v>
      </c>
      <c r="B1404" s="2">
        <v>45584</v>
      </c>
      <c r="C1404" s="1" t="s">
        <v>544</v>
      </c>
      <c r="D1404" s="1" t="s">
        <v>26</v>
      </c>
      <c r="E1404" s="1" t="s">
        <v>72</v>
      </c>
      <c r="F1404" s="1" t="s">
        <v>82</v>
      </c>
      <c r="G1404" s="1" t="s">
        <v>53</v>
      </c>
      <c r="H1404" s="1" t="s">
        <v>54</v>
      </c>
      <c r="I1404" s="1" t="s">
        <v>518</v>
      </c>
      <c r="J1404" s="1">
        <v>3</v>
      </c>
      <c r="K1404" s="3">
        <v>1937.73</v>
      </c>
      <c r="L1404" s="1">
        <v>20</v>
      </c>
      <c r="M1404" s="1" t="s">
        <v>36</v>
      </c>
      <c r="N1404" s="10" t="s">
        <v>45</v>
      </c>
      <c r="Q1404"/>
    </row>
    <row r="1405" spans="1:17" x14ac:dyDescent="0.25">
      <c r="A1405" s="9" t="s">
        <v>2362</v>
      </c>
      <c r="B1405" s="2">
        <v>45521</v>
      </c>
      <c r="C1405" s="1" t="s">
        <v>1510</v>
      </c>
      <c r="D1405" s="1" t="s">
        <v>71</v>
      </c>
      <c r="E1405" s="1" t="s">
        <v>27</v>
      </c>
      <c r="F1405" s="1" t="s">
        <v>49</v>
      </c>
      <c r="G1405" s="1" t="s">
        <v>53</v>
      </c>
      <c r="H1405" s="1" t="s">
        <v>54</v>
      </c>
      <c r="I1405" s="1" t="s">
        <v>1066</v>
      </c>
      <c r="J1405" s="1">
        <v>10</v>
      </c>
      <c r="K1405" s="3">
        <v>35464.410000000003</v>
      </c>
      <c r="L1405" s="1">
        <v>10</v>
      </c>
      <c r="M1405" s="1" t="s">
        <v>22</v>
      </c>
      <c r="N1405" s="10" t="s">
        <v>74</v>
      </c>
      <c r="Q1405"/>
    </row>
    <row r="1406" spans="1:17" x14ac:dyDescent="0.25">
      <c r="A1406" s="9" t="s">
        <v>2363</v>
      </c>
      <c r="B1406" s="2">
        <v>45579</v>
      </c>
      <c r="C1406" s="1" t="s">
        <v>262</v>
      </c>
      <c r="D1406" s="1" t="s">
        <v>87</v>
      </c>
      <c r="E1406" s="1" t="s">
        <v>17</v>
      </c>
      <c r="F1406" s="1" t="s">
        <v>99</v>
      </c>
      <c r="G1406" s="1" t="s">
        <v>42</v>
      </c>
      <c r="H1406" s="1" t="s">
        <v>43</v>
      </c>
      <c r="I1406" s="1" t="s">
        <v>491</v>
      </c>
      <c r="J1406" s="1">
        <v>2</v>
      </c>
      <c r="K1406" s="3">
        <v>3653.88</v>
      </c>
      <c r="L1406" s="1">
        <v>15</v>
      </c>
      <c r="M1406" s="1" t="s">
        <v>56</v>
      </c>
      <c r="N1406" s="10" t="s">
        <v>37</v>
      </c>
      <c r="Q1406"/>
    </row>
    <row r="1407" spans="1:17" x14ac:dyDescent="0.25">
      <c r="A1407" s="9" t="s">
        <v>2364</v>
      </c>
      <c r="B1407" s="2">
        <v>45510</v>
      </c>
      <c r="C1407" s="1" t="s">
        <v>860</v>
      </c>
      <c r="D1407" s="1" t="s">
        <v>16</v>
      </c>
      <c r="E1407" s="1" t="s">
        <v>72</v>
      </c>
      <c r="F1407" s="1" t="s">
        <v>60</v>
      </c>
      <c r="G1407" s="1" t="s">
        <v>53</v>
      </c>
      <c r="H1407" s="1" t="s">
        <v>54</v>
      </c>
      <c r="I1407" s="1" t="s">
        <v>92</v>
      </c>
      <c r="J1407" s="1">
        <v>1</v>
      </c>
      <c r="K1407" s="3">
        <v>3991.57</v>
      </c>
      <c r="L1407" s="1">
        <v>15</v>
      </c>
      <c r="M1407" s="1" t="s">
        <v>93</v>
      </c>
      <c r="N1407" s="10" t="s">
        <v>45</v>
      </c>
      <c r="Q1407"/>
    </row>
    <row r="1408" spans="1:17" x14ac:dyDescent="0.25">
      <c r="A1408" s="9" t="s">
        <v>2365</v>
      </c>
      <c r="B1408" s="2">
        <v>45446</v>
      </c>
      <c r="C1408" s="1" t="s">
        <v>1983</v>
      </c>
      <c r="D1408" s="1" t="s">
        <v>67</v>
      </c>
      <c r="E1408" s="1" t="s">
        <v>59</v>
      </c>
      <c r="F1408" s="1" t="s">
        <v>28</v>
      </c>
      <c r="G1408" s="1" t="s">
        <v>19</v>
      </c>
      <c r="H1408" s="1" t="s">
        <v>29</v>
      </c>
      <c r="I1408" s="1" t="s">
        <v>635</v>
      </c>
      <c r="J1408" s="1">
        <v>1</v>
      </c>
      <c r="K1408" s="3">
        <v>2312.84</v>
      </c>
      <c r="L1408" s="1">
        <v>5</v>
      </c>
      <c r="M1408" s="1" t="s">
        <v>69</v>
      </c>
      <c r="N1408" s="10" t="s">
        <v>23</v>
      </c>
      <c r="Q1408"/>
    </row>
    <row r="1409" spans="1:17" x14ac:dyDescent="0.25">
      <c r="A1409" s="9" t="s">
        <v>2366</v>
      </c>
      <c r="B1409" s="2">
        <v>45365</v>
      </c>
      <c r="C1409" s="1" t="s">
        <v>599</v>
      </c>
      <c r="D1409" s="1" t="s">
        <v>147</v>
      </c>
      <c r="E1409" s="1" t="s">
        <v>17</v>
      </c>
      <c r="F1409" s="1" t="s">
        <v>28</v>
      </c>
      <c r="G1409" s="1" t="s">
        <v>19</v>
      </c>
      <c r="H1409" s="1" t="s">
        <v>29</v>
      </c>
      <c r="I1409" s="1" t="s">
        <v>320</v>
      </c>
      <c r="J1409" s="1">
        <v>8</v>
      </c>
      <c r="K1409" s="3">
        <v>3822.14</v>
      </c>
      <c r="L1409" s="1">
        <v>15</v>
      </c>
      <c r="M1409" s="1" t="s">
        <v>36</v>
      </c>
      <c r="N1409" s="10" t="s">
        <v>37</v>
      </c>
      <c r="Q1409"/>
    </row>
    <row r="1410" spans="1:17" x14ac:dyDescent="0.25">
      <c r="A1410" s="9" t="s">
        <v>2367</v>
      </c>
      <c r="B1410" s="2">
        <v>45231</v>
      </c>
      <c r="C1410" s="1" t="s">
        <v>1861</v>
      </c>
      <c r="D1410" s="1" t="s">
        <v>81</v>
      </c>
      <c r="E1410" s="1" t="s">
        <v>59</v>
      </c>
      <c r="F1410" s="1" t="s">
        <v>18</v>
      </c>
      <c r="G1410" s="1" t="s">
        <v>42</v>
      </c>
      <c r="H1410" s="1" t="s">
        <v>43</v>
      </c>
      <c r="I1410" s="1" t="s">
        <v>44</v>
      </c>
      <c r="J1410" s="1">
        <v>1</v>
      </c>
      <c r="K1410" s="3">
        <v>484.34</v>
      </c>
      <c r="L1410" s="1">
        <v>5</v>
      </c>
      <c r="M1410" s="1" t="s">
        <v>93</v>
      </c>
      <c r="N1410" s="10" t="s">
        <v>74</v>
      </c>
      <c r="Q1410"/>
    </row>
    <row r="1411" spans="1:17" x14ac:dyDescent="0.25">
      <c r="A1411" s="9" t="s">
        <v>2368</v>
      </c>
      <c r="B1411" s="2">
        <v>44931</v>
      </c>
      <c r="C1411" s="1" t="s">
        <v>908</v>
      </c>
      <c r="D1411" s="1" t="s">
        <v>87</v>
      </c>
      <c r="E1411" s="1" t="s">
        <v>41</v>
      </c>
      <c r="F1411" s="1" t="s">
        <v>82</v>
      </c>
      <c r="G1411" s="1" t="s">
        <v>83</v>
      </c>
      <c r="H1411" s="1" t="s">
        <v>43</v>
      </c>
      <c r="I1411" s="1" t="s">
        <v>339</v>
      </c>
      <c r="J1411" s="1">
        <v>8</v>
      </c>
      <c r="K1411" s="3">
        <v>5459.7</v>
      </c>
      <c r="L1411" s="1">
        <v>0</v>
      </c>
      <c r="M1411" s="1" t="s">
        <v>36</v>
      </c>
      <c r="N1411" s="10" t="s">
        <v>64</v>
      </c>
      <c r="Q1411"/>
    </row>
    <row r="1412" spans="1:17" x14ac:dyDescent="0.25">
      <c r="A1412" s="9" t="s">
        <v>2369</v>
      </c>
      <c r="B1412" s="2">
        <v>45325</v>
      </c>
      <c r="C1412" s="1" t="s">
        <v>962</v>
      </c>
      <c r="D1412" s="1" t="s">
        <v>33</v>
      </c>
      <c r="E1412" s="1" t="s">
        <v>34</v>
      </c>
      <c r="F1412" s="1" t="s">
        <v>49</v>
      </c>
      <c r="G1412" s="1" t="s">
        <v>53</v>
      </c>
      <c r="H1412" s="1" t="s">
        <v>54</v>
      </c>
      <c r="I1412" s="1" t="s">
        <v>1053</v>
      </c>
      <c r="J1412" s="1">
        <v>4</v>
      </c>
      <c r="K1412" s="3">
        <v>14894.17</v>
      </c>
      <c r="L1412" s="1">
        <v>15</v>
      </c>
      <c r="M1412" s="1" t="s">
        <v>63</v>
      </c>
      <c r="N1412" s="10" t="s">
        <v>64</v>
      </c>
      <c r="Q1412"/>
    </row>
    <row r="1413" spans="1:17" x14ac:dyDescent="0.25">
      <c r="A1413" s="9" t="s">
        <v>2370</v>
      </c>
      <c r="B1413" s="2">
        <v>45081</v>
      </c>
      <c r="C1413" s="1" t="s">
        <v>1385</v>
      </c>
      <c r="D1413" s="1" t="s">
        <v>436</v>
      </c>
      <c r="E1413" s="1" t="s">
        <v>72</v>
      </c>
      <c r="F1413" s="1" t="s">
        <v>49</v>
      </c>
      <c r="G1413" s="1" t="s">
        <v>83</v>
      </c>
      <c r="H1413" s="1" t="s">
        <v>43</v>
      </c>
      <c r="I1413" s="1" t="s">
        <v>84</v>
      </c>
      <c r="J1413" s="1">
        <v>5</v>
      </c>
      <c r="K1413" s="3">
        <v>7555.54</v>
      </c>
      <c r="L1413" s="1">
        <v>5</v>
      </c>
      <c r="M1413" s="1" t="s">
        <v>69</v>
      </c>
      <c r="N1413" s="10" t="s">
        <v>37</v>
      </c>
      <c r="Q1413"/>
    </row>
    <row r="1414" spans="1:17" x14ac:dyDescent="0.25">
      <c r="A1414" s="9" t="s">
        <v>2371</v>
      </c>
      <c r="B1414" s="2">
        <v>44946</v>
      </c>
      <c r="C1414" s="1" t="s">
        <v>623</v>
      </c>
      <c r="D1414" s="1" t="s">
        <v>147</v>
      </c>
      <c r="E1414" s="1" t="s">
        <v>59</v>
      </c>
      <c r="F1414" s="1" t="s">
        <v>60</v>
      </c>
      <c r="G1414" s="1" t="s">
        <v>19</v>
      </c>
      <c r="H1414" s="1" t="s">
        <v>20</v>
      </c>
      <c r="I1414" s="1" t="s">
        <v>226</v>
      </c>
      <c r="J1414" s="1">
        <v>2</v>
      </c>
      <c r="K1414" s="3">
        <v>9179.6200000000008</v>
      </c>
      <c r="L1414" s="1">
        <v>15</v>
      </c>
      <c r="M1414" s="1" t="s">
        <v>69</v>
      </c>
      <c r="N1414" s="10" t="s">
        <v>37</v>
      </c>
      <c r="Q1414"/>
    </row>
    <row r="1415" spans="1:17" x14ac:dyDescent="0.25">
      <c r="A1415" s="9" t="s">
        <v>2372</v>
      </c>
      <c r="B1415" s="2">
        <v>45005</v>
      </c>
      <c r="C1415" s="1" t="s">
        <v>2303</v>
      </c>
      <c r="D1415" s="1" t="s">
        <v>33</v>
      </c>
      <c r="E1415" s="1" t="s">
        <v>59</v>
      </c>
      <c r="F1415" s="1" t="s">
        <v>60</v>
      </c>
      <c r="G1415" s="1" t="s">
        <v>19</v>
      </c>
      <c r="H1415" s="1" t="s">
        <v>29</v>
      </c>
      <c r="I1415" s="1" t="s">
        <v>452</v>
      </c>
      <c r="J1415" s="1">
        <v>3</v>
      </c>
      <c r="K1415" s="3">
        <v>10336.66</v>
      </c>
      <c r="L1415" s="1" t="s">
        <v>110</v>
      </c>
      <c r="M1415" s="1" t="s">
        <v>56</v>
      </c>
      <c r="N1415" s="10" t="s">
        <v>74</v>
      </c>
      <c r="Q1415"/>
    </row>
    <row r="1416" spans="1:17" x14ac:dyDescent="0.25">
      <c r="A1416" s="9" t="s">
        <v>2373</v>
      </c>
      <c r="B1416" s="2">
        <v>45444</v>
      </c>
      <c r="C1416" s="1" t="s">
        <v>1752</v>
      </c>
      <c r="D1416" s="1" t="s">
        <v>147</v>
      </c>
      <c r="E1416" s="1" t="s">
        <v>41</v>
      </c>
      <c r="F1416" s="1" t="s">
        <v>49</v>
      </c>
      <c r="G1416" s="1" t="s">
        <v>42</v>
      </c>
      <c r="H1416" s="1" t="s">
        <v>43</v>
      </c>
      <c r="I1416" s="1" t="s">
        <v>329</v>
      </c>
      <c r="J1416" s="1">
        <v>1</v>
      </c>
      <c r="K1416" s="3">
        <v>885.5</v>
      </c>
      <c r="L1416" s="1">
        <v>10</v>
      </c>
      <c r="M1416" s="1" t="s">
        <v>22</v>
      </c>
      <c r="N1416" s="10" t="s">
        <v>37</v>
      </c>
      <c r="Q1416"/>
    </row>
    <row r="1417" spans="1:17" x14ac:dyDescent="0.25">
      <c r="A1417" s="9" t="s">
        <v>2374</v>
      </c>
      <c r="B1417" s="2">
        <v>45257</v>
      </c>
      <c r="C1417" s="1" t="s">
        <v>2375</v>
      </c>
      <c r="D1417" s="1" t="s">
        <v>81</v>
      </c>
      <c r="E1417" s="1" t="s">
        <v>59</v>
      </c>
      <c r="F1417" s="1" t="s">
        <v>49</v>
      </c>
      <c r="G1417" s="1" t="s">
        <v>53</v>
      </c>
      <c r="H1417" s="1" t="s">
        <v>54</v>
      </c>
      <c r="I1417" s="1" t="s">
        <v>308</v>
      </c>
      <c r="J1417" s="1">
        <v>4</v>
      </c>
      <c r="K1417" s="3">
        <v>19429.29</v>
      </c>
      <c r="L1417" s="1">
        <v>10</v>
      </c>
      <c r="M1417" s="1" t="s">
        <v>22</v>
      </c>
      <c r="N1417" s="10" t="s">
        <v>31</v>
      </c>
      <c r="Q1417"/>
    </row>
    <row r="1418" spans="1:17" x14ac:dyDescent="0.25">
      <c r="A1418" s="9" t="s">
        <v>2376</v>
      </c>
      <c r="B1418" s="2">
        <v>45409</v>
      </c>
      <c r="C1418" s="1" t="s">
        <v>454</v>
      </c>
      <c r="D1418" s="1" t="s">
        <v>399</v>
      </c>
      <c r="E1418" s="1" t="s">
        <v>27</v>
      </c>
      <c r="F1418" s="1" t="s">
        <v>49</v>
      </c>
      <c r="G1418" s="1" t="s">
        <v>19</v>
      </c>
      <c r="H1418" s="1" t="s">
        <v>20</v>
      </c>
      <c r="I1418" s="1" t="s">
        <v>21</v>
      </c>
      <c r="J1418" s="1">
        <v>2</v>
      </c>
      <c r="K1418" s="3">
        <v>4019.85</v>
      </c>
      <c r="L1418" s="1" t="s">
        <v>110</v>
      </c>
      <c r="M1418" s="1" t="s">
        <v>36</v>
      </c>
      <c r="N1418" s="10" t="s">
        <v>31</v>
      </c>
      <c r="Q1418"/>
    </row>
    <row r="1419" spans="1:17" x14ac:dyDescent="0.25">
      <c r="A1419" s="9" t="s">
        <v>2377</v>
      </c>
      <c r="B1419" s="2">
        <v>45574</v>
      </c>
      <c r="C1419" s="1" t="s">
        <v>1480</v>
      </c>
      <c r="D1419" s="1" t="s">
        <v>40</v>
      </c>
      <c r="E1419" s="1" t="s">
        <v>72</v>
      </c>
      <c r="F1419" s="1" t="s">
        <v>49</v>
      </c>
      <c r="G1419" s="1" t="s">
        <v>42</v>
      </c>
      <c r="H1419" s="1" t="s">
        <v>43</v>
      </c>
      <c r="I1419" s="1" t="s">
        <v>44</v>
      </c>
      <c r="J1419" s="1">
        <v>1</v>
      </c>
      <c r="K1419" s="3">
        <v>1385.13</v>
      </c>
      <c r="L1419" s="1">
        <v>15</v>
      </c>
      <c r="M1419" s="1" t="s">
        <v>63</v>
      </c>
      <c r="N1419" s="10" t="s">
        <v>37</v>
      </c>
      <c r="Q1419"/>
    </row>
    <row r="1420" spans="1:17" x14ac:dyDescent="0.25">
      <c r="A1420" s="9" t="s">
        <v>2378</v>
      </c>
      <c r="B1420" s="2">
        <v>44929</v>
      </c>
      <c r="C1420" s="1" t="s">
        <v>2379</v>
      </c>
      <c r="D1420" s="1" t="s">
        <v>52</v>
      </c>
      <c r="E1420" s="1" t="s">
        <v>72</v>
      </c>
      <c r="F1420" s="1" t="s">
        <v>49</v>
      </c>
      <c r="G1420" s="1" t="s">
        <v>19</v>
      </c>
      <c r="H1420" s="1" t="s">
        <v>20</v>
      </c>
      <c r="I1420" s="1" t="s">
        <v>78</v>
      </c>
      <c r="J1420" s="1">
        <v>9</v>
      </c>
      <c r="K1420" s="3">
        <v>39594.54</v>
      </c>
      <c r="L1420" s="1">
        <v>20</v>
      </c>
      <c r="M1420" s="1" t="s">
        <v>69</v>
      </c>
      <c r="N1420" s="10" t="s">
        <v>64</v>
      </c>
      <c r="Q1420"/>
    </row>
    <row r="1421" spans="1:17" x14ac:dyDescent="0.25">
      <c r="A1421" s="9" t="s">
        <v>2380</v>
      </c>
      <c r="B1421" s="2">
        <v>45476</v>
      </c>
      <c r="C1421" s="1" t="s">
        <v>1157</v>
      </c>
      <c r="D1421" s="1" t="s">
        <v>147</v>
      </c>
      <c r="E1421" s="1" t="s">
        <v>72</v>
      </c>
      <c r="F1421" s="1" t="s">
        <v>49</v>
      </c>
      <c r="G1421" s="1" t="s">
        <v>42</v>
      </c>
      <c r="H1421" s="1" t="s">
        <v>61</v>
      </c>
      <c r="I1421" s="1" t="s">
        <v>632</v>
      </c>
      <c r="J1421" s="1">
        <v>5</v>
      </c>
      <c r="K1421" s="3">
        <v>9282.4500000000007</v>
      </c>
      <c r="L1421" s="1" t="s">
        <v>110</v>
      </c>
      <c r="M1421" s="1" t="s">
        <v>36</v>
      </c>
      <c r="N1421" s="10" t="s">
        <v>23</v>
      </c>
      <c r="Q1421"/>
    </row>
    <row r="1422" spans="1:17" x14ac:dyDescent="0.25">
      <c r="A1422" s="9" t="s">
        <v>2381</v>
      </c>
      <c r="B1422" s="2">
        <v>45646</v>
      </c>
      <c r="C1422" s="1" t="s">
        <v>514</v>
      </c>
      <c r="D1422" s="1" t="s">
        <v>40</v>
      </c>
      <c r="E1422" s="1" t="s">
        <v>59</v>
      </c>
      <c r="F1422" s="1" t="s">
        <v>60</v>
      </c>
      <c r="G1422" s="1" t="s">
        <v>53</v>
      </c>
      <c r="H1422" s="1" t="s">
        <v>54</v>
      </c>
      <c r="I1422" s="1" t="s">
        <v>92</v>
      </c>
      <c r="J1422" s="1">
        <v>6</v>
      </c>
      <c r="K1422" s="3">
        <v>7671.14</v>
      </c>
      <c r="L1422" s="1">
        <v>15</v>
      </c>
      <c r="M1422" s="1" t="s">
        <v>63</v>
      </c>
      <c r="N1422" s="10" t="s">
        <v>31</v>
      </c>
      <c r="Q1422"/>
    </row>
    <row r="1423" spans="1:17" x14ac:dyDescent="0.25">
      <c r="A1423" s="9" t="s">
        <v>2382</v>
      </c>
      <c r="B1423" s="2">
        <v>45134</v>
      </c>
      <c r="C1423" s="1" t="s">
        <v>1542</v>
      </c>
      <c r="D1423" s="1" t="s">
        <v>147</v>
      </c>
      <c r="E1423" s="1" t="s">
        <v>27</v>
      </c>
      <c r="F1423" s="1" t="s">
        <v>88</v>
      </c>
      <c r="G1423" s="1" t="s">
        <v>19</v>
      </c>
      <c r="H1423" s="1" t="s">
        <v>20</v>
      </c>
      <c r="I1423" s="1" t="s">
        <v>230</v>
      </c>
      <c r="J1423" s="1">
        <v>6</v>
      </c>
      <c r="K1423" s="3">
        <v>28173.96</v>
      </c>
      <c r="L1423" s="1">
        <v>15</v>
      </c>
      <c r="M1423" s="1" t="s">
        <v>69</v>
      </c>
      <c r="N1423" s="10" t="s">
        <v>45</v>
      </c>
      <c r="Q1423"/>
    </row>
    <row r="1424" spans="1:17" x14ac:dyDescent="0.25">
      <c r="A1424" s="9" t="s">
        <v>2383</v>
      </c>
      <c r="B1424" s="2">
        <v>45638</v>
      </c>
      <c r="C1424" s="1" t="s">
        <v>1709</v>
      </c>
      <c r="D1424" s="1" t="s">
        <v>48</v>
      </c>
      <c r="E1424" s="1" t="s">
        <v>59</v>
      </c>
      <c r="F1424" s="1" t="s">
        <v>82</v>
      </c>
      <c r="G1424" s="1" t="s">
        <v>83</v>
      </c>
      <c r="H1424" s="1" t="s">
        <v>43</v>
      </c>
      <c r="I1424" s="1" t="s">
        <v>182</v>
      </c>
      <c r="J1424" s="1">
        <v>1</v>
      </c>
      <c r="K1424" s="3">
        <v>2928</v>
      </c>
      <c r="L1424" s="1">
        <v>20</v>
      </c>
      <c r="M1424" s="1" t="s">
        <v>36</v>
      </c>
      <c r="N1424" s="10" t="s">
        <v>31</v>
      </c>
      <c r="Q1424"/>
    </row>
    <row r="1425" spans="1:17" x14ac:dyDescent="0.25">
      <c r="A1425" s="9" t="s">
        <v>2384</v>
      </c>
      <c r="B1425" s="2">
        <v>45079</v>
      </c>
      <c r="C1425" s="1" t="s">
        <v>362</v>
      </c>
      <c r="D1425" s="1" t="s">
        <v>169</v>
      </c>
      <c r="E1425" s="1" t="s">
        <v>17</v>
      </c>
      <c r="F1425" s="1" t="s">
        <v>99</v>
      </c>
      <c r="G1425" s="1" t="s">
        <v>19</v>
      </c>
      <c r="H1425" s="1" t="s">
        <v>29</v>
      </c>
      <c r="I1425" s="1" t="s">
        <v>635</v>
      </c>
      <c r="J1425" s="1">
        <v>1</v>
      </c>
      <c r="K1425" s="3">
        <v>1447.79</v>
      </c>
      <c r="L1425" s="1">
        <v>10</v>
      </c>
      <c r="M1425" s="1" t="s">
        <v>36</v>
      </c>
      <c r="N1425" s="10" t="s">
        <v>45</v>
      </c>
      <c r="Q1425"/>
    </row>
    <row r="1426" spans="1:17" x14ac:dyDescent="0.25">
      <c r="A1426" s="9" t="s">
        <v>2385</v>
      </c>
      <c r="B1426" s="2">
        <v>45027</v>
      </c>
      <c r="C1426" s="1" t="s">
        <v>460</v>
      </c>
      <c r="D1426" s="1" t="s">
        <v>40</v>
      </c>
      <c r="E1426" s="1" t="s">
        <v>72</v>
      </c>
      <c r="F1426" s="1" t="s">
        <v>18</v>
      </c>
      <c r="G1426" s="1" t="s">
        <v>53</v>
      </c>
      <c r="H1426" s="1" t="s">
        <v>54</v>
      </c>
      <c r="I1426" s="1" t="s">
        <v>170</v>
      </c>
      <c r="J1426" s="1">
        <v>8</v>
      </c>
      <c r="K1426" s="3">
        <v>24530.31</v>
      </c>
      <c r="L1426" s="1">
        <v>10</v>
      </c>
      <c r="M1426" s="1" t="s">
        <v>56</v>
      </c>
      <c r="N1426" s="10" t="s">
        <v>64</v>
      </c>
      <c r="Q1426"/>
    </row>
    <row r="1427" spans="1:17" x14ac:dyDescent="0.25">
      <c r="A1427" s="9" t="s">
        <v>2386</v>
      </c>
      <c r="B1427" s="2">
        <v>45423</v>
      </c>
      <c r="C1427" s="1" t="s">
        <v>753</v>
      </c>
      <c r="D1427" s="1" t="s">
        <v>33</v>
      </c>
      <c r="E1427" s="1" t="s">
        <v>17</v>
      </c>
      <c r="F1427" s="1" t="s">
        <v>88</v>
      </c>
      <c r="G1427" s="1" t="s">
        <v>19</v>
      </c>
      <c r="H1427" s="1" t="s">
        <v>29</v>
      </c>
      <c r="I1427" s="1" t="s">
        <v>30</v>
      </c>
      <c r="J1427" s="1">
        <v>5</v>
      </c>
      <c r="K1427" s="3">
        <v>9116.7000000000007</v>
      </c>
      <c r="L1427" s="1">
        <v>10</v>
      </c>
      <c r="M1427" s="1" t="s">
        <v>36</v>
      </c>
      <c r="N1427" s="10" t="s">
        <v>23</v>
      </c>
      <c r="Q1427"/>
    </row>
    <row r="1428" spans="1:17" x14ac:dyDescent="0.25">
      <c r="A1428" s="9" t="s">
        <v>2387</v>
      </c>
      <c r="B1428" s="2">
        <v>45419</v>
      </c>
      <c r="C1428" s="1" t="s">
        <v>235</v>
      </c>
      <c r="D1428" s="1" t="s">
        <v>147</v>
      </c>
      <c r="E1428" s="1" t="s">
        <v>72</v>
      </c>
      <c r="F1428" s="1" t="s">
        <v>88</v>
      </c>
      <c r="G1428" s="1" t="s">
        <v>42</v>
      </c>
      <c r="H1428" s="1" t="s">
        <v>61</v>
      </c>
      <c r="I1428" s="1" t="s">
        <v>151</v>
      </c>
      <c r="J1428" s="1">
        <v>9</v>
      </c>
      <c r="K1428" s="3">
        <v>35337.629999999997</v>
      </c>
      <c r="L1428" s="1">
        <v>20</v>
      </c>
      <c r="M1428" s="1" t="s">
        <v>36</v>
      </c>
      <c r="N1428" s="10" t="s">
        <v>45</v>
      </c>
      <c r="Q1428"/>
    </row>
    <row r="1429" spans="1:17" x14ac:dyDescent="0.25">
      <c r="A1429" s="9" t="s">
        <v>2388</v>
      </c>
      <c r="B1429" s="2">
        <v>45115</v>
      </c>
      <c r="C1429" s="1" t="s">
        <v>878</v>
      </c>
      <c r="D1429" s="1" t="s">
        <v>118</v>
      </c>
      <c r="E1429" s="1" t="s">
        <v>27</v>
      </c>
      <c r="F1429" s="1" t="s">
        <v>49</v>
      </c>
      <c r="G1429" s="1" t="s">
        <v>19</v>
      </c>
      <c r="H1429" s="1" t="s">
        <v>20</v>
      </c>
      <c r="I1429" s="1" t="s">
        <v>138</v>
      </c>
      <c r="J1429" s="1">
        <v>9</v>
      </c>
      <c r="K1429" s="3">
        <v>7763.87</v>
      </c>
      <c r="L1429" s="1">
        <v>10</v>
      </c>
      <c r="M1429" s="1" t="s">
        <v>56</v>
      </c>
      <c r="N1429" s="10" t="s">
        <v>74</v>
      </c>
      <c r="Q1429"/>
    </row>
    <row r="1430" spans="1:17" x14ac:dyDescent="0.25">
      <c r="A1430" s="9" t="s">
        <v>2389</v>
      </c>
      <c r="B1430" s="2">
        <v>45524</v>
      </c>
      <c r="C1430" s="1" t="s">
        <v>2390</v>
      </c>
      <c r="D1430" s="1" t="s">
        <v>161</v>
      </c>
      <c r="E1430" s="1" t="s">
        <v>17</v>
      </c>
      <c r="F1430" s="1" t="s">
        <v>28</v>
      </c>
      <c r="G1430" s="1" t="s">
        <v>83</v>
      </c>
      <c r="H1430" s="1" t="s">
        <v>43</v>
      </c>
      <c r="I1430" s="1" t="s">
        <v>323</v>
      </c>
      <c r="J1430" s="1">
        <v>6</v>
      </c>
      <c r="K1430" s="3">
        <v>18631.669999999998</v>
      </c>
      <c r="L1430" s="1">
        <v>20</v>
      </c>
      <c r="M1430" s="1" t="s">
        <v>56</v>
      </c>
      <c r="N1430" s="10" t="s">
        <v>45</v>
      </c>
      <c r="Q1430"/>
    </row>
    <row r="1431" spans="1:17" x14ac:dyDescent="0.25">
      <c r="A1431" s="9" t="s">
        <v>2391</v>
      </c>
      <c r="B1431" s="2">
        <v>45194</v>
      </c>
      <c r="C1431" s="1" t="s">
        <v>2390</v>
      </c>
      <c r="D1431" s="1" t="s">
        <v>26</v>
      </c>
      <c r="E1431" s="1" t="s">
        <v>72</v>
      </c>
      <c r="F1431" s="1" t="s">
        <v>60</v>
      </c>
      <c r="G1431" s="1" t="s">
        <v>83</v>
      </c>
      <c r="H1431" s="1" t="s">
        <v>43</v>
      </c>
      <c r="I1431" s="1" t="s">
        <v>285</v>
      </c>
      <c r="J1431" s="1">
        <v>6</v>
      </c>
      <c r="K1431" s="3">
        <v>18806.43</v>
      </c>
      <c r="L1431" s="1">
        <v>0</v>
      </c>
      <c r="M1431" s="1" t="s">
        <v>63</v>
      </c>
      <c r="N1431" s="10" t="s">
        <v>64</v>
      </c>
      <c r="Q1431"/>
    </row>
    <row r="1432" spans="1:17" x14ac:dyDescent="0.25">
      <c r="A1432" s="9" t="s">
        <v>2392</v>
      </c>
      <c r="B1432" s="2">
        <v>45509</v>
      </c>
      <c r="C1432" s="1" t="s">
        <v>1330</v>
      </c>
      <c r="D1432" s="1" t="s">
        <v>67</v>
      </c>
      <c r="E1432" s="1" t="s">
        <v>41</v>
      </c>
      <c r="F1432" s="1" t="s">
        <v>28</v>
      </c>
      <c r="G1432" s="1" t="s">
        <v>42</v>
      </c>
      <c r="H1432" s="1" t="s">
        <v>61</v>
      </c>
      <c r="I1432" s="1" t="s">
        <v>388</v>
      </c>
      <c r="J1432" s="1">
        <v>10</v>
      </c>
      <c r="K1432" s="3">
        <v>23012.21</v>
      </c>
      <c r="L1432" s="1">
        <v>15</v>
      </c>
      <c r="M1432" s="1" t="s">
        <v>56</v>
      </c>
      <c r="N1432" s="10" t="s">
        <v>37</v>
      </c>
      <c r="Q1432"/>
    </row>
    <row r="1433" spans="1:17" x14ac:dyDescent="0.25">
      <c r="A1433" s="9" t="s">
        <v>2393</v>
      </c>
      <c r="B1433" s="2">
        <v>45196</v>
      </c>
      <c r="C1433" s="1" t="s">
        <v>160</v>
      </c>
      <c r="D1433" s="1" t="s">
        <v>81</v>
      </c>
      <c r="E1433" s="1" t="s">
        <v>34</v>
      </c>
      <c r="F1433" s="1" t="s">
        <v>82</v>
      </c>
      <c r="G1433" s="1" t="s">
        <v>19</v>
      </c>
      <c r="H1433" s="1" t="s">
        <v>20</v>
      </c>
      <c r="I1433" s="1" t="s">
        <v>239</v>
      </c>
      <c r="J1433" s="1">
        <v>6</v>
      </c>
      <c r="K1433" s="3">
        <v>24168.22</v>
      </c>
      <c r="L1433" s="1">
        <v>10</v>
      </c>
      <c r="M1433" s="1" t="s">
        <v>69</v>
      </c>
      <c r="N1433" s="10" t="s">
        <v>45</v>
      </c>
      <c r="Q1433"/>
    </row>
    <row r="1434" spans="1:17" x14ac:dyDescent="0.25">
      <c r="A1434" s="9" t="s">
        <v>2394</v>
      </c>
      <c r="B1434" s="2">
        <v>45566</v>
      </c>
      <c r="C1434" s="1" t="s">
        <v>2232</v>
      </c>
      <c r="D1434" s="1" t="s">
        <v>67</v>
      </c>
      <c r="E1434" s="1" t="s">
        <v>59</v>
      </c>
      <c r="F1434" s="1" t="s">
        <v>28</v>
      </c>
      <c r="G1434" s="1" t="s">
        <v>42</v>
      </c>
      <c r="H1434" s="1" t="s">
        <v>61</v>
      </c>
      <c r="I1434" s="1" t="s">
        <v>185</v>
      </c>
      <c r="J1434" s="1">
        <v>4</v>
      </c>
      <c r="K1434" s="3">
        <v>10617.76</v>
      </c>
      <c r="L1434" s="1">
        <v>5</v>
      </c>
      <c r="M1434" s="1" t="s">
        <v>22</v>
      </c>
      <c r="N1434" s="10" t="s">
        <v>45</v>
      </c>
      <c r="Q1434"/>
    </row>
    <row r="1435" spans="1:17" x14ac:dyDescent="0.25">
      <c r="A1435" s="9" t="s">
        <v>2395</v>
      </c>
      <c r="B1435" s="2">
        <v>45166</v>
      </c>
      <c r="C1435" s="1" t="s">
        <v>720</v>
      </c>
      <c r="D1435" s="1" t="s">
        <v>87</v>
      </c>
      <c r="E1435" s="1" t="s">
        <v>17</v>
      </c>
      <c r="F1435" s="1" t="s">
        <v>82</v>
      </c>
      <c r="G1435" s="1" t="s">
        <v>83</v>
      </c>
      <c r="H1435" s="1" t="s">
        <v>43</v>
      </c>
      <c r="I1435" s="1" t="s">
        <v>182</v>
      </c>
      <c r="J1435" s="1">
        <v>4</v>
      </c>
      <c r="K1435" s="3">
        <v>635.53</v>
      </c>
      <c r="L1435" s="1" t="s">
        <v>110</v>
      </c>
      <c r="M1435" s="1" t="s">
        <v>56</v>
      </c>
      <c r="N1435" s="10" t="s">
        <v>37</v>
      </c>
      <c r="Q1435"/>
    </row>
    <row r="1436" spans="1:17" x14ac:dyDescent="0.25">
      <c r="A1436" s="9" t="s">
        <v>2396</v>
      </c>
      <c r="B1436" s="2">
        <v>45123</v>
      </c>
      <c r="C1436" s="1" t="s">
        <v>2397</v>
      </c>
      <c r="D1436" s="1" t="s">
        <v>147</v>
      </c>
      <c r="E1436" s="1" t="s">
        <v>72</v>
      </c>
      <c r="F1436" s="1" t="s">
        <v>28</v>
      </c>
      <c r="G1436" s="1" t="s">
        <v>19</v>
      </c>
      <c r="H1436" s="1" t="s">
        <v>20</v>
      </c>
      <c r="I1436" s="1" t="s">
        <v>130</v>
      </c>
      <c r="J1436" s="1">
        <v>6</v>
      </c>
      <c r="K1436" s="3">
        <v>21038.54</v>
      </c>
      <c r="L1436" s="1">
        <v>15</v>
      </c>
      <c r="M1436" s="1" t="s">
        <v>69</v>
      </c>
      <c r="N1436" s="10" t="s">
        <v>31</v>
      </c>
      <c r="Q1436"/>
    </row>
    <row r="1437" spans="1:17" x14ac:dyDescent="0.25">
      <c r="A1437" s="9" t="s">
        <v>2398</v>
      </c>
      <c r="B1437" s="2">
        <v>45378</v>
      </c>
      <c r="C1437" s="1" t="s">
        <v>843</v>
      </c>
      <c r="D1437" s="1" t="s">
        <v>52</v>
      </c>
      <c r="E1437" s="1" t="s">
        <v>59</v>
      </c>
      <c r="F1437" s="1" t="s">
        <v>18</v>
      </c>
      <c r="G1437" s="1" t="s">
        <v>19</v>
      </c>
      <c r="H1437" s="1" t="s">
        <v>20</v>
      </c>
      <c r="I1437" s="1" t="s">
        <v>928</v>
      </c>
      <c r="J1437" s="1">
        <v>4</v>
      </c>
      <c r="K1437" s="3">
        <v>19133.689999999999</v>
      </c>
      <c r="L1437" s="1">
        <v>20</v>
      </c>
      <c r="M1437" s="1" t="s">
        <v>56</v>
      </c>
      <c r="N1437" s="10" t="s">
        <v>23</v>
      </c>
      <c r="Q1437"/>
    </row>
    <row r="1438" spans="1:17" x14ac:dyDescent="0.25">
      <c r="A1438" s="9" t="s">
        <v>2399</v>
      </c>
      <c r="B1438" s="2">
        <v>45595</v>
      </c>
      <c r="C1438" s="1" t="s">
        <v>1904</v>
      </c>
      <c r="D1438" s="1" t="s">
        <v>87</v>
      </c>
      <c r="E1438" s="1" t="s">
        <v>27</v>
      </c>
      <c r="F1438" s="1" t="s">
        <v>28</v>
      </c>
      <c r="G1438" s="1" t="s">
        <v>19</v>
      </c>
      <c r="H1438" s="1" t="s">
        <v>20</v>
      </c>
      <c r="I1438" s="1" t="s">
        <v>213</v>
      </c>
      <c r="J1438" s="1">
        <v>10</v>
      </c>
      <c r="K1438" s="3">
        <v>19186.509999999998</v>
      </c>
      <c r="L1438" s="1">
        <v>15</v>
      </c>
      <c r="M1438" s="1" t="s">
        <v>56</v>
      </c>
      <c r="N1438" s="10" t="s">
        <v>74</v>
      </c>
      <c r="Q1438"/>
    </row>
    <row r="1439" spans="1:17" x14ac:dyDescent="0.25">
      <c r="A1439" s="9" t="s">
        <v>2400</v>
      </c>
      <c r="B1439" s="2">
        <v>45108</v>
      </c>
      <c r="C1439" s="1" t="s">
        <v>2401</v>
      </c>
      <c r="D1439" s="1" t="s">
        <v>77</v>
      </c>
      <c r="E1439" s="1" t="s">
        <v>72</v>
      </c>
      <c r="F1439" s="1" t="s">
        <v>99</v>
      </c>
      <c r="G1439" s="1" t="s">
        <v>83</v>
      </c>
      <c r="H1439" s="1" t="s">
        <v>43</v>
      </c>
      <c r="I1439" s="1" t="s">
        <v>365</v>
      </c>
      <c r="J1439" s="1">
        <v>4</v>
      </c>
      <c r="K1439" s="3">
        <v>6997.16</v>
      </c>
      <c r="L1439" s="1">
        <v>5</v>
      </c>
      <c r="M1439" s="1" t="s">
        <v>63</v>
      </c>
      <c r="N1439" s="10" t="s">
        <v>23</v>
      </c>
      <c r="Q1439"/>
    </row>
    <row r="1440" spans="1:17" x14ac:dyDescent="0.25">
      <c r="A1440" s="9" t="s">
        <v>2402</v>
      </c>
      <c r="B1440" s="2">
        <v>45423</v>
      </c>
      <c r="C1440" s="1" t="s">
        <v>298</v>
      </c>
      <c r="D1440" s="1" t="s">
        <v>71</v>
      </c>
      <c r="E1440" s="1" t="s">
        <v>34</v>
      </c>
      <c r="F1440" s="1" t="s">
        <v>28</v>
      </c>
      <c r="G1440" s="1" t="s">
        <v>53</v>
      </c>
      <c r="H1440" s="1" t="s">
        <v>54</v>
      </c>
      <c r="I1440" s="1" t="s">
        <v>1272</v>
      </c>
      <c r="J1440" s="1">
        <v>7</v>
      </c>
      <c r="K1440" s="3">
        <v>17149.68</v>
      </c>
      <c r="L1440" s="1" t="s">
        <v>110</v>
      </c>
      <c r="M1440" s="1" t="s">
        <v>69</v>
      </c>
      <c r="N1440" s="10" t="s">
        <v>23</v>
      </c>
      <c r="Q1440"/>
    </row>
    <row r="1441" spans="1:17" x14ac:dyDescent="0.25">
      <c r="A1441" s="9" t="s">
        <v>2403</v>
      </c>
      <c r="B1441" s="2">
        <v>45266</v>
      </c>
      <c r="C1441" s="1" t="s">
        <v>175</v>
      </c>
      <c r="D1441" s="1" t="s">
        <v>81</v>
      </c>
      <c r="E1441" s="1" t="s">
        <v>59</v>
      </c>
      <c r="F1441" s="1" t="s">
        <v>60</v>
      </c>
      <c r="G1441" s="1" t="s">
        <v>19</v>
      </c>
      <c r="H1441" s="1" t="s">
        <v>29</v>
      </c>
      <c r="I1441" s="1" t="s">
        <v>320</v>
      </c>
      <c r="J1441" s="1">
        <v>5</v>
      </c>
      <c r="K1441" s="3">
        <v>24260.36</v>
      </c>
      <c r="L1441" s="1" t="s">
        <v>110</v>
      </c>
      <c r="M1441" s="1" t="s">
        <v>63</v>
      </c>
      <c r="N1441" s="10" t="s">
        <v>37</v>
      </c>
      <c r="Q1441"/>
    </row>
    <row r="1442" spans="1:17" x14ac:dyDescent="0.25">
      <c r="A1442" s="9" t="s">
        <v>2404</v>
      </c>
      <c r="B1442" s="2">
        <v>45154</v>
      </c>
      <c r="C1442" s="1" t="s">
        <v>2405</v>
      </c>
      <c r="D1442" s="1" t="s">
        <v>378</v>
      </c>
      <c r="E1442" s="1" t="s">
        <v>34</v>
      </c>
      <c r="F1442" s="1" t="s">
        <v>60</v>
      </c>
      <c r="G1442" s="1" t="s">
        <v>42</v>
      </c>
      <c r="H1442" s="1" t="s">
        <v>43</v>
      </c>
      <c r="I1442" s="1" t="s">
        <v>339</v>
      </c>
      <c r="J1442" s="1">
        <v>2</v>
      </c>
      <c r="K1442" s="3">
        <v>4449.33</v>
      </c>
      <c r="L1442" s="1">
        <v>0</v>
      </c>
      <c r="M1442" s="1" t="s">
        <v>69</v>
      </c>
      <c r="N1442" s="10" t="s">
        <v>45</v>
      </c>
      <c r="Q1442"/>
    </row>
    <row r="1443" spans="1:17" x14ac:dyDescent="0.25">
      <c r="A1443" s="9" t="s">
        <v>2406</v>
      </c>
      <c r="B1443" s="2">
        <v>45210</v>
      </c>
      <c r="C1443" s="1" t="s">
        <v>2407</v>
      </c>
      <c r="D1443" s="1" t="s">
        <v>33</v>
      </c>
      <c r="E1443" s="1" t="s">
        <v>34</v>
      </c>
      <c r="F1443" s="1" t="s">
        <v>60</v>
      </c>
      <c r="G1443" s="1" t="s">
        <v>53</v>
      </c>
      <c r="H1443" s="1" t="s">
        <v>54</v>
      </c>
      <c r="I1443" s="1" t="s">
        <v>207</v>
      </c>
      <c r="J1443" s="1">
        <v>7</v>
      </c>
      <c r="K1443" s="3">
        <v>22611.02</v>
      </c>
      <c r="L1443" s="1">
        <v>0</v>
      </c>
      <c r="M1443" s="1" t="s">
        <v>22</v>
      </c>
      <c r="N1443" s="10" t="s">
        <v>45</v>
      </c>
      <c r="Q1443"/>
    </row>
    <row r="1444" spans="1:17" x14ac:dyDescent="0.25">
      <c r="A1444" s="9" t="s">
        <v>2408</v>
      </c>
      <c r="B1444" s="2">
        <v>45346</v>
      </c>
      <c r="C1444" s="1" t="s">
        <v>1027</v>
      </c>
      <c r="D1444" s="1" t="s">
        <v>26</v>
      </c>
      <c r="E1444" s="1" t="s">
        <v>59</v>
      </c>
      <c r="F1444" s="1" t="s">
        <v>49</v>
      </c>
      <c r="G1444" s="1" t="s">
        <v>83</v>
      </c>
      <c r="H1444" s="1" t="s">
        <v>43</v>
      </c>
      <c r="I1444" s="1" t="s">
        <v>258</v>
      </c>
      <c r="J1444" s="1">
        <v>5</v>
      </c>
      <c r="K1444" s="3">
        <v>12518.74</v>
      </c>
      <c r="L1444" s="1">
        <v>5</v>
      </c>
      <c r="M1444" s="1" t="s">
        <v>22</v>
      </c>
      <c r="N1444" s="10" t="s">
        <v>64</v>
      </c>
      <c r="Q1444"/>
    </row>
    <row r="1445" spans="1:17" x14ac:dyDescent="0.25">
      <c r="A1445" s="9" t="s">
        <v>2409</v>
      </c>
      <c r="B1445" s="2">
        <v>44964</v>
      </c>
      <c r="C1445" s="1" t="s">
        <v>795</v>
      </c>
      <c r="D1445" s="1" t="s">
        <v>71</v>
      </c>
      <c r="E1445" s="1" t="s">
        <v>27</v>
      </c>
      <c r="F1445" s="1" t="s">
        <v>28</v>
      </c>
      <c r="G1445" s="1" t="s">
        <v>42</v>
      </c>
      <c r="H1445" s="1" t="s">
        <v>43</v>
      </c>
      <c r="I1445" s="1" t="s">
        <v>323</v>
      </c>
      <c r="J1445" s="1">
        <v>6</v>
      </c>
      <c r="K1445" s="3">
        <v>29826.52</v>
      </c>
      <c r="L1445" s="1" t="s">
        <v>110</v>
      </c>
      <c r="M1445" s="1" t="s">
        <v>56</v>
      </c>
      <c r="N1445" s="10" t="s">
        <v>23</v>
      </c>
      <c r="Q1445"/>
    </row>
    <row r="1446" spans="1:17" x14ac:dyDescent="0.25">
      <c r="A1446" s="9" t="s">
        <v>2410</v>
      </c>
      <c r="B1446" s="2">
        <v>44941</v>
      </c>
      <c r="C1446" s="1" t="s">
        <v>546</v>
      </c>
      <c r="D1446" s="1" t="s">
        <v>81</v>
      </c>
      <c r="E1446" s="1" t="s">
        <v>41</v>
      </c>
      <c r="F1446" s="1" t="s">
        <v>28</v>
      </c>
      <c r="G1446" s="1" t="s">
        <v>53</v>
      </c>
      <c r="H1446" s="1" t="s">
        <v>54</v>
      </c>
      <c r="I1446" s="1" t="s">
        <v>103</v>
      </c>
      <c r="J1446" s="1">
        <v>3</v>
      </c>
      <c r="K1446" s="3">
        <v>14782.58</v>
      </c>
      <c r="L1446" s="1">
        <v>15</v>
      </c>
      <c r="M1446" s="1" t="s">
        <v>22</v>
      </c>
      <c r="N1446" s="10" t="s">
        <v>31</v>
      </c>
      <c r="Q1446"/>
    </row>
    <row r="1447" spans="1:17" x14ac:dyDescent="0.25">
      <c r="A1447" s="9" t="s">
        <v>2411</v>
      </c>
      <c r="B1447" s="2">
        <v>45389</v>
      </c>
      <c r="C1447" s="1" t="s">
        <v>2412</v>
      </c>
      <c r="D1447" s="1" t="s">
        <v>40</v>
      </c>
      <c r="E1447" s="1" t="s">
        <v>34</v>
      </c>
      <c r="F1447" s="1" t="s">
        <v>49</v>
      </c>
      <c r="G1447" s="1" t="s">
        <v>42</v>
      </c>
      <c r="H1447" s="1" t="s">
        <v>43</v>
      </c>
      <c r="I1447" s="1" t="s">
        <v>84</v>
      </c>
      <c r="J1447" s="1">
        <v>4</v>
      </c>
      <c r="K1447" s="3">
        <v>6739.03</v>
      </c>
      <c r="L1447" s="1">
        <v>20</v>
      </c>
      <c r="M1447" s="1" t="s">
        <v>56</v>
      </c>
      <c r="N1447" s="10" t="s">
        <v>45</v>
      </c>
      <c r="Q1447"/>
    </row>
    <row r="1448" spans="1:17" x14ac:dyDescent="0.25">
      <c r="A1448" s="9" t="s">
        <v>2413</v>
      </c>
      <c r="B1448" s="2">
        <v>45578</v>
      </c>
      <c r="C1448" s="1" t="s">
        <v>398</v>
      </c>
      <c r="D1448" s="1" t="s">
        <v>16</v>
      </c>
      <c r="E1448" s="1" t="s">
        <v>34</v>
      </c>
      <c r="F1448" s="1" t="s">
        <v>49</v>
      </c>
      <c r="G1448" s="1" t="s">
        <v>42</v>
      </c>
      <c r="H1448" s="1" t="s">
        <v>43</v>
      </c>
      <c r="I1448" s="1" t="s">
        <v>84</v>
      </c>
      <c r="J1448" s="1">
        <v>4</v>
      </c>
      <c r="K1448" s="3">
        <v>15751.69</v>
      </c>
      <c r="L1448" s="1">
        <v>10</v>
      </c>
      <c r="M1448" s="1" t="s">
        <v>36</v>
      </c>
      <c r="N1448" s="10" t="s">
        <v>23</v>
      </c>
      <c r="Q1448"/>
    </row>
    <row r="1449" spans="1:17" x14ac:dyDescent="0.25">
      <c r="A1449" s="9" t="s">
        <v>2414</v>
      </c>
      <c r="B1449" s="2">
        <v>45152</v>
      </c>
      <c r="C1449" s="1" t="s">
        <v>203</v>
      </c>
      <c r="D1449" s="1" t="s">
        <v>81</v>
      </c>
      <c r="E1449" s="1" t="s">
        <v>59</v>
      </c>
      <c r="F1449" s="1" t="s">
        <v>88</v>
      </c>
      <c r="G1449" s="1" t="s">
        <v>19</v>
      </c>
      <c r="H1449" s="1" t="s">
        <v>20</v>
      </c>
      <c r="I1449" s="1" t="s">
        <v>230</v>
      </c>
      <c r="J1449" s="1">
        <v>10</v>
      </c>
      <c r="K1449" s="3">
        <v>21976.74</v>
      </c>
      <c r="L1449" s="1">
        <v>10</v>
      </c>
      <c r="M1449" s="1" t="s">
        <v>56</v>
      </c>
      <c r="N1449" s="10" t="s">
        <v>37</v>
      </c>
      <c r="Q1449"/>
    </row>
    <row r="1450" spans="1:17" x14ac:dyDescent="0.25">
      <c r="A1450" s="9" t="s">
        <v>2415</v>
      </c>
      <c r="B1450" s="2">
        <v>45441</v>
      </c>
      <c r="C1450" s="1" t="s">
        <v>1112</v>
      </c>
      <c r="D1450" s="1" t="s">
        <v>33</v>
      </c>
      <c r="E1450" s="1" t="s">
        <v>72</v>
      </c>
      <c r="F1450" s="1" t="s">
        <v>18</v>
      </c>
      <c r="G1450" s="1" t="s">
        <v>53</v>
      </c>
      <c r="H1450" s="1" t="s">
        <v>54</v>
      </c>
      <c r="I1450" s="1" t="s">
        <v>558</v>
      </c>
      <c r="J1450" s="1">
        <v>3</v>
      </c>
      <c r="K1450" s="3">
        <v>864.22</v>
      </c>
      <c r="L1450" s="1" t="s">
        <v>110</v>
      </c>
      <c r="M1450" s="1" t="s">
        <v>36</v>
      </c>
      <c r="N1450" s="10" t="s">
        <v>64</v>
      </c>
      <c r="Q1450"/>
    </row>
    <row r="1451" spans="1:17" x14ac:dyDescent="0.25">
      <c r="A1451" s="9" t="s">
        <v>2416</v>
      </c>
      <c r="B1451" s="2">
        <v>45507</v>
      </c>
      <c r="C1451" s="1" t="s">
        <v>51</v>
      </c>
      <c r="D1451" s="1" t="s">
        <v>40</v>
      </c>
      <c r="E1451" s="1" t="s">
        <v>17</v>
      </c>
      <c r="F1451" s="1" t="s">
        <v>99</v>
      </c>
      <c r="G1451" s="1" t="s">
        <v>19</v>
      </c>
      <c r="H1451" s="1" t="s">
        <v>29</v>
      </c>
      <c r="I1451" s="1" t="s">
        <v>556</v>
      </c>
      <c r="J1451" s="1">
        <v>4</v>
      </c>
      <c r="K1451" s="3">
        <v>16093.12</v>
      </c>
      <c r="L1451" s="1">
        <v>0</v>
      </c>
      <c r="M1451" s="1" t="s">
        <v>36</v>
      </c>
      <c r="N1451" s="10" t="s">
        <v>37</v>
      </c>
      <c r="Q1451"/>
    </row>
    <row r="1452" spans="1:17" x14ac:dyDescent="0.25">
      <c r="A1452" s="9" t="s">
        <v>2417</v>
      </c>
      <c r="B1452" s="2">
        <v>45573</v>
      </c>
      <c r="C1452" s="1" t="s">
        <v>910</v>
      </c>
      <c r="D1452" s="1" t="s">
        <v>26</v>
      </c>
      <c r="E1452" s="1" t="s">
        <v>17</v>
      </c>
      <c r="F1452" s="1" t="s">
        <v>28</v>
      </c>
      <c r="G1452" s="1" t="s">
        <v>42</v>
      </c>
      <c r="H1452" s="1" t="s">
        <v>61</v>
      </c>
      <c r="I1452" s="1" t="s">
        <v>587</v>
      </c>
      <c r="J1452" s="1">
        <v>4</v>
      </c>
      <c r="K1452" s="3">
        <v>12614.82</v>
      </c>
      <c r="L1452" s="1">
        <v>20</v>
      </c>
      <c r="M1452" s="1" t="s">
        <v>63</v>
      </c>
      <c r="N1452" s="10" t="s">
        <v>37</v>
      </c>
      <c r="Q1452"/>
    </row>
    <row r="1453" spans="1:17" x14ac:dyDescent="0.25">
      <c r="A1453" s="9" t="s">
        <v>2418</v>
      </c>
      <c r="B1453" s="2">
        <v>45215</v>
      </c>
      <c r="C1453" s="1" t="s">
        <v>965</v>
      </c>
      <c r="D1453" s="1" t="s">
        <v>81</v>
      </c>
      <c r="E1453" s="1" t="s">
        <v>34</v>
      </c>
      <c r="F1453" s="1" t="s">
        <v>88</v>
      </c>
      <c r="G1453" s="1" t="s">
        <v>19</v>
      </c>
      <c r="H1453" s="1" t="s">
        <v>20</v>
      </c>
      <c r="I1453" s="1" t="s">
        <v>176</v>
      </c>
      <c r="J1453" s="1">
        <v>2</v>
      </c>
      <c r="K1453" s="3">
        <v>3072.02</v>
      </c>
      <c r="L1453" s="1">
        <v>0</v>
      </c>
      <c r="M1453" s="1" t="s">
        <v>56</v>
      </c>
      <c r="N1453" s="10" t="s">
        <v>23</v>
      </c>
      <c r="Q1453"/>
    </row>
    <row r="1454" spans="1:17" x14ac:dyDescent="0.25">
      <c r="A1454" s="9" t="s">
        <v>2419</v>
      </c>
      <c r="B1454" s="2">
        <v>45519</v>
      </c>
      <c r="C1454" s="1" t="s">
        <v>793</v>
      </c>
      <c r="D1454" s="1" t="s">
        <v>87</v>
      </c>
      <c r="E1454" s="1" t="s">
        <v>27</v>
      </c>
      <c r="F1454" s="1" t="s">
        <v>82</v>
      </c>
      <c r="G1454" s="1" t="s">
        <v>19</v>
      </c>
      <c r="H1454" s="1" t="s">
        <v>29</v>
      </c>
      <c r="I1454" s="1" t="s">
        <v>1449</v>
      </c>
      <c r="J1454" s="1">
        <v>9</v>
      </c>
      <c r="K1454" s="3">
        <v>11299.62</v>
      </c>
      <c r="L1454" s="1">
        <v>20</v>
      </c>
      <c r="M1454" s="1" t="s">
        <v>93</v>
      </c>
      <c r="N1454" s="10" t="s">
        <v>37</v>
      </c>
      <c r="Q1454"/>
    </row>
    <row r="1455" spans="1:17" x14ac:dyDescent="0.25">
      <c r="A1455" s="9" t="s">
        <v>2420</v>
      </c>
      <c r="B1455" s="2">
        <v>45344</v>
      </c>
      <c r="C1455" s="1" t="s">
        <v>1834</v>
      </c>
      <c r="D1455" s="1" t="s">
        <v>40</v>
      </c>
      <c r="E1455" s="1" t="s">
        <v>59</v>
      </c>
      <c r="F1455" s="1" t="s">
        <v>82</v>
      </c>
      <c r="G1455" s="1" t="s">
        <v>42</v>
      </c>
      <c r="H1455" s="1" t="s">
        <v>61</v>
      </c>
      <c r="I1455" s="1" t="s">
        <v>250</v>
      </c>
      <c r="J1455" s="1">
        <v>7</v>
      </c>
      <c r="K1455" s="3">
        <v>20704.02</v>
      </c>
      <c r="L1455" s="1">
        <v>20</v>
      </c>
      <c r="M1455" s="1" t="s">
        <v>56</v>
      </c>
      <c r="N1455" s="10" t="s">
        <v>31</v>
      </c>
      <c r="Q1455"/>
    </row>
    <row r="1456" spans="1:17" x14ac:dyDescent="0.25">
      <c r="A1456" s="9" t="s">
        <v>2421</v>
      </c>
      <c r="B1456" s="2">
        <v>45571</v>
      </c>
      <c r="C1456" s="1" t="s">
        <v>332</v>
      </c>
      <c r="D1456" s="1" t="s">
        <v>16</v>
      </c>
      <c r="E1456" s="1" t="s">
        <v>17</v>
      </c>
      <c r="F1456" s="1" t="s">
        <v>99</v>
      </c>
      <c r="G1456" s="1" t="s">
        <v>42</v>
      </c>
      <c r="H1456" s="1" t="s">
        <v>43</v>
      </c>
      <c r="I1456" s="1" t="s">
        <v>154</v>
      </c>
      <c r="J1456" s="1">
        <v>3</v>
      </c>
      <c r="K1456" s="3">
        <v>13059.88</v>
      </c>
      <c r="L1456" s="1">
        <v>0</v>
      </c>
      <c r="M1456" s="1" t="s">
        <v>22</v>
      </c>
      <c r="N1456" s="10" t="s">
        <v>31</v>
      </c>
      <c r="Q1456"/>
    </row>
    <row r="1457" spans="1:17" x14ac:dyDescent="0.25">
      <c r="A1457" s="9" t="s">
        <v>2422</v>
      </c>
      <c r="B1457" s="2">
        <v>45184</v>
      </c>
      <c r="C1457" s="1" t="s">
        <v>1110</v>
      </c>
      <c r="D1457" s="1" t="s">
        <v>71</v>
      </c>
      <c r="E1457" s="1" t="s">
        <v>34</v>
      </c>
      <c r="F1457" s="1" t="s">
        <v>99</v>
      </c>
      <c r="G1457" s="1" t="s">
        <v>19</v>
      </c>
      <c r="H1457" s="1" t="s">
        <v>20</v>
      </c>
      <c r="I1457" s="1" t="s">
        <v>230</v>
      </c>
      <c r="J1457" s="1">
        <v>1</v>
      </c>
      <c r="K1457" s="3">
        <v>4331.3999999999996</v>
      </c>
      <c r="L1457" s="1" t="s">
        <v>110</v>
      </c>
      <c r="M1457" s="1" t="s">
        <v>63</v>
      </c>
      <c r="N1457" s="10" t="s">
        <v>45</v>
      </c>
      <c r="Q1457"/>
    </row>
    <row r="1458" spans="1:17" x14ac:dyDescent="0.25">
      <c r="A1458" s="9" t="s">
        <v>2423</v>
      </c>
      <c r="B1458" s="2">
        <v>45256</v>
      </c>
      <c r="C1458" s="1" t="s">
        <v>767</v>
      </c>
      <c r="D1458" s="1" t="s">
        <v>169</v>
      </c>
      <c r="E1458" s="1" t="s">
        <v>27</v>
      </c>
      <c r="F1458" s="1" t="s">
        <v>60</v>
      </c>
      <c r="G1458" s="1" t="s">
        <v>19</v>
      </c>
      <c r="H1458" s="1" t="s">
        <v>20</v>
      </c>
      <c r="I1458" s="1" t="s">
        <v>214</v>
      </c>
      <c r="J1458" s="1">
        <v>6</v>
      </c>
      <c r="K1458" s="3">
        <v>12286.9</v>
      </c>
      <c r="L1458" s="1">
        <v>10</v>
      </c>
      <c r="M1458" s="1" t="s">
        <v>22</v>
      </c>
      <c r="N1458" s="10" t="s">
        <v>64</v>
      </c>
      <c r="Q1458"/>
    </row>
    <row r="1459" spans="1:17" x14ac:dyDescent="0.25">
      <c r="A1459" s="9" t="s">
        <v>2424</v>
      </c>
      <c r="B1459" s="2">
        <v>45422</v>
      </c>
      <c r="C1459" s="1" t="s">
        <v>1663</v>
      </c>
      <c r="D1459" s="1" t="s">
        <v>16</v>
      </c>
      <c r="E1459" s="1" t="s">
        <v>72</v>
      </c>
      <c r="F1459" s="1" t="s">
        <v>18</v>
      </c>
      <c r="G1459" s="1" t="s">
        <v>19</v>
      </c>
      <c r="H1459" s="1" t="s">
        <v>20</v>
      </c>
      <c r="I1459" s="1" t="s">
        <v>788</v>
      </c>
      <c r="J1459" s="1">
        <v>1</v>
      </c>
      <c r="K1459" s="3">
        <v>4453.9799999999996</v>
      </c>
      <c r="L1459" s="1" t="s">
        <v>110</v>
      </c>
      <c r="M1459" s="1" t="s">
        <v>56</v>
      </c>
      <c r="N1459" s="10" t="s">
        <v>74</v>
      </c>
      <c r="Q1459"/>
    </row>
    <row r="1460" spans="1:17" x14ac:dyDescent="0.25">
      <c r="A1460" s="9" t="s">
        <v>2425</v>
      </c>
      <c r="B1460" s="2">
        <v>45040</v>
      </c>
      <c r="C1460" s="1" t="s">
        <v>2426</v>
      </c>
      <c r="D1460" s="1" t="s">
        <v>147</v>
      </c>
      <c r="E1460" s="1" t="s">
        <v>59</v>
      </c>
      <c r="F1460" s="1" t="s">
        <v>60</v>
      </c>
      <c r="G1460" s="1" t="s">
        <v>53</v>
      </c>
      <c r="H1460" s="1" t="s">
        <v>54</v>
      </c>
      <c r="I1460" s="1" t="s">
        <v>1272</v>
      </c>
      <c r="J1460" s="1">
        <v>10</v>
      </c>
      <c r="K1460" s="3">
        <v>15492.62</v>
      </c>
      <c r="L1460" s="1" t="s">
        <v>110</v>
      </c>
      <c r="M1460" s="1" t="s">
        <v>56</v>
      </c>
      <c r="N1460" s="10" t="s">
        <v>74</v>
      </c>
      <c r="Q1460"/>
    </row>
    <row r="1461" spans="1:17" x14ac:dyDescent="0.25">
      <c r="A1461" s="9" t="s">
        <v>2427</v>
      </c>
      <c r="B1461" s="2">
        <v>45372</v>
      </c>
      <c r="C1461" s="1" t="s">
        <v>287</v>
      </c>
      <c r="D1461" s="1" t="s">
        <v>16</v>
      </c>
      <c r="E1461" s="1" t="s">
        <v>17</v>
      </c>
      <c r="F1461" s="1" t="s">
        <v>88</v>
      </c>
      <c r="G1461" s="1" t="s">
        <v>19</v>
      </c>
      <c r="H1461" s="1" t="s">
        <v>20</v>
      </c>
      <c r="I1461" s="1" t="s">
        <v>176</v>
      </c>
      <c r="J1461" s="1">
        <v>1</v>
      </c>
      <c r="K1461" s="3">
        <v>611.07000000000005</v>
      </c>
      <c r="L1461" s="1">
        <v>5</v>
      </c>
      <c r="M1461" s="1" t="s">
        <v>69</v>
      </c>
      <c r="N1461" s="10" t="s">
        <v>45</v>
      </c>
      <c r="Q1461"/>
    </row>
    <row r="1462" spans="1:17" x14ac:dyDescent="0.25">
      <c r="A1462" s="9" t="s">
        <v>2428</v>
      </c>
      <c r="B1462" s="2">
        <v>45363</v>
      </c>
      <c r="C1462" s="1" t="s">
        <v>290</v>
      </c>
      <c r="D1462" s="1" t="s">
        <v>67</v>
      </c>
      <c r="E1462" s="1" t="s">
        <v>72</v>
      </c>
      <c r="F1462" s="1" t="s">
        <v>99</v>
      </c>
      <c r="G1462" s="1" t="s">
        <v>53</v>
      </c>
      <c r="H1462" s="1" t="s">
        <v>54</v>
      </c>
      <c r="I1462" s="1" t="s">
        <v>253</v>
      </c>
      <c r="J1462" s="1">
        <v>4</v>
      </c>
      <c r="K1462" s="3">
        <v>3472.21</v>
      </c>
      <c r="L1462" s="1">
        <v>10</v>
      </c>
      <c r="M1462" s="1" t="s">
        <v>63</v>
      </c>
      <c r="N1462" s="10" t="s">
        <v>23</v>
      </c>
      <c r="Q1462"/>
    </row>
    <row r="1463" spans="1:17" x14ac:dyDescent="0.25">
      <c r="A1463" s="9" t="s">
        <v>2429</v>
      </c>
      <c r="B1463" s="2">
        <v>45645</v>
      </c>
      <c r="C1463" s="1" t="s">
        <v>1430</v>
      </c>
      <c r="D1463" s="1" t="s">
        <v>33</v>
      </c>
      <c r="E1463" s="1" t="s">
        <v>27</v>
      </c>
      <c r="F1463" s="1" t="s">
        <v>18</v>
      </c>
      <c r="G1463" s="1" t="s">
        <v>83</v>
      </c>
      <c r="H1463" s="1" t="s">
        <v>43</v>
      </c>
      <c r="I1463" s="1" t="s">
        <v>50</v>
      </c>
      <c r="J1463" s="1">
        <v>3</v>
      </c>
      <c r="K1463" s="3">
        <v>11993.85</v>
      </c>
      <c r="L1463" s="1">
        <v>5</v>
      </c>
      <c r="M1463" s="1" t="s">
        <v>56</v>
      </c>
      <c r="N1463" s="10" t="s">
        <v>23</v>
      </c>
      <c r="Q1463"/>
    </row>
    <row r="1464" spans="1:17" x14ac:dyDescent="0.25">
      <c r="A1464" s="9" t="s">
        <v>2430</v>
      </c>
      <c r="B1464" s="2">
        <v>44950</v>
      </c>
      <c r="C1464" s="1" t="s">
        <v>1143</v>
      </c>
      <c r="D1464" s="1" t="s">
        <v>71</v>
      </c>
      <c r="E1464" s="1" t="s">
        <v>41</v>
      </c>
      <c r="F1464" s="1" t="s">
        <v>28</v>
      </c>
      <c r="G1464" s="1" t="s">
        <v>19</v>
      </c>
      <c r="H1464" s="1" t="s">
        <v>29</v>
      </c>
      <c r="I1464" s="1" t="s">
        <v>141</v>
      </c>
      <c r="J1464" s="1">
        <v>9</v>
      </c>
      <c r="K1464" s="3">
        <v>17731.02</v>
      </c>
      <c r="L1464" s="1">
        <v>20</v>
      </c>
      <c r="M1464" s="1" t="s">
        <v>69</v>
      </c>
      <c r="N1464" s="10" t="s">
        <v>31</v>
      </c>
      <c r="Q1464"/>
    </row>
    <row r="1465" spans="1:17" x14ac:dyDescent="0.25">
      <c r="A1465" s="9" t="s">
        <v>2431</v>
      </c>
      <c r="B1465" s="2">
        <v>45337</v>
      </c>
      <c r="C1465" s="1" t="s">
        <v>854</v>
      </c>
      <c r="D1465" s="1" t="s">
        <v>26</v>
      </c>
      <c r="E1465" s="1" t="s">
        <v>41</v>
      </c>
      <c r="F1465" s="1" t="s">
        <v>28</v>
      </c>
      <c r="G1465" s="1" t="s">
        <v>83</v>
      </c>
      <c r="H1465" s="1" t="s">
        <v>43</v>
      </c>
      <c r="I1465" s="1" t="s">
        <v>89</v>
      </c>
      <c r="J1465" s="1">
        <v>3</v>
      </c>
      <c r="K1465" s="3">
        <v>1315.63</v>
      </c>
      <c r="L1465" s="1">
        <v>10</v>
      </c>
      <c r="M1465" s="1" t="s">
        <v>36</v>
      </c>
      <c r="N1465" s="10" t="s">
        <v>64</v>
      </c>
      <c r="Q1465"/>
    </row>
    <row r="1466" spans="1:17" x14ac:dyDescent="0.25">
      <c r="A1466" s="9" t="s">
        <v>2432</v>
      </c>
      <c r="B1466" s="2">
        <v>45549</v>
      </c>
      <c r="C1466" s="1" t="s">
        <v>1411</v>
      </c>
      <c r="D1466" s="1" t="s">
        <v>26</v>
      </c>
      <c r="E1466" s="1" t="s">
        <v>41</v>
      </c>
      <c r="F1466" s="1" t="s">
        <v>60</v>
      </c>
      <c r="G1466" s="1" t="s">
        <v>42</v>
      </c>
      <c r="H1466" s="1" t="s">
        <v>61</v>
      </c>
      <c r="I1466" s="1" t="s">
        <v>725</v>
      </c>
      <c r="J1466" s="1">
        <v>1</v>
      </c>
      <c r="K1466" s="3">
        <v>2134.46</v>
      </c>
      <c r="L1466" s="1">
        <v>10</v>
      </c>
      <c r="M1466" s="1" t="s">
        <v>69</v>
      </c>
      <c r="N1466" s="10" t="s">
        <v>45</v>
      </c>
      <c r="Q1466"/>
    </row>
    <row r="1467" spans="1:17" x14ac:dyDescent="0.25">
      <c r="A1467" s="9" t="s">
        <v>2433</v>
      </c>
      <c r="B1467" s="2">
        <v>45230</v>
      </c>
      <c r="C1467" s="1" t="s">
        <v>920</v>
      </c>
      <c r="D1467" s="1" t="s">
        <v>67</v>
      </c>
      <c r="E1467" s="1" t="s">
        <v>27</v>
      </c>
      <c r="F1467" s="1" t="s">
        <v>49</v>
      </c>
      <c r="G1467" s="1" t="s">
        <v>19</v>
      </c>
      <c r="H1467" s="1" t="s">
        <v>29</v>
      </c>
      <c r="I1467" s="1" t="s">
        <v>515</v>
      </c>
      <c r="J1467" s="1">
        <v>9</v>
      </c>
      <c r="K1467" s="3">
        <v>44848.75</v>
      </c>
      <c r="L1467" s="1">
        <v>5</v>
      </c>
      <c r="M1467" s="1" t="s">
        <v>56</v>
      </c>
      <c r="N1467" s="10" t="s">
        <v>31</v>
      </c>
      <c r="Q1467"/>
    </row>
    <row r="1468" spans="1:17" x14ac:dyDescent="0.25">
      <c r="A1468" s="9" t="s">
        <v>2434</v>
      </c>
      <c r="B1468" s="2">
        <v>45368</v>
      </c>
      <c r="C1468" s="1" t="s">
        <v>2216</v>
      </c>
      <c r="D1468" s="1" t="s">
        <v>40</v>
      </c>
      <c r="E1468" s="1" t="s">
        <v>34</v>
      </c>
      <c r="F1468" s="1" t="s">
        <v>82</v>
      </c>
      <c r="G1468" s="1" t="s">
        <v>42</v>
      </c>
      <c r="H1468" s="1" t="s">
        <v>43</v>
      </c>
      <c r="I1468" s="1" t="s">
        <v>323</v>
      </c>
      <c r="J1468" s="1">
        <v>6</v>
      </c>
      <c r="K1468" s="3">
        <v>24438.33</v>
      </c>
      <c r="L1468" s="1">
        <v>15</v>
      </c>
      <c r="M1468" s="1" t="s">
        <v>93</v>
      </c>
      <c r="N1468" s="10" t="s">
        <v>23</v>
      </c>
      <c r="Q1468"/>
    </row>
    <row r="1469" spans="1:17" x14ac:dyDescent="0.25">
      <c r="A1469" s="9" t="s">
        <v>2435</v>
      </c>
      <c r="B1469" s="2">
        <v>45530</v>
      </c>
      <c r="C1469" s="1" t="s">
        <v>1178</v>
      </c>
      <c r="D1469" s="1" t="s">
        <v>147</v>
      </c>
      <c r="E1469" s="1" t="s">
        <v>72</v>
      </c>
      <c r="F1469" s="1" t="s">
        <v>28</v>
      </c>
      <c r="G1469" s="1" t="s">
        <v>42</v>
      </c>
      <c r="H1469" s="1" t="s">
        <v>61</v>
      </c>
      <c r="I1469" s="1" t="s">
        <v>388</v>
      </c>
      <c r="J1469" s="1">
        <v>10</v>
      </c>
      <c r="K1469" s="3">
        <v>11698.79</v>
      </c>
      <c r="L1469" s="1">
        <v>15</v>
      </c>
      <c r="M1469" s="1" t="s">
        <v>22</v>
      </c>
      <c r="N1469" s="10" t="s">
        <v>64</v>
      </c>
      <c r="Q1469"/>
    </row>
    <row r="1470" spans="1:17" x14ac:dyDescent="0.25">
      <c r="A1470" s="9" t="s">
        <v>2436</v>
      </c>
      <c r="B1470" s="2">
        <v>45141</v>
      </c>
      <c r="C1470" s="1" t="s">
        <v>815</v>
      </c>
      <c r="D1470" s="1" t="s">
        <v>33</v>
      </c>
      <c r="E1470" s="1" t="s">
        <v>41</v>
      </c>
      <c r="F1470" s="1" t="s">
        <v>18</v>
      </c>
      <c r="G1470" s="1" t="s">
        <v>53</v>
      </c>
      <c r="H1470" s="1" t="s">
        <v>54</v>
      </c>
      <c r="I1470" s="1" t="s">
        <v>121</v>
      </c>
      <c r="J1470" s="1">
        <v>8</v>
      </c>
      <c r="K1470" s="3">
        <v>8731.9</v>
      </c>
      <c r="L1470" s="1">
        <v>0</v>
      </c>
      <c r="M1470" s="1" t="s">
        <v>22</v>
      </c>
      <c r="N1470" s="10" t="s">
        <v>23</v>
      </c>
      <c r="Q1470"/>
    </row>
    <row r="1471" spans="1:17" x14ac:dyDescent="0.25">
      <c r="A1471" s="9" t="s">
        <v>2437</v>
      </c>
      <c r="B1471" s="2">
        <v>44976</v>
      </c>
      <c r="C1471" s="1" t="s">
        <v>2407</v>
      </c>
      <c r="D1471" s="1" t="s">
        <v>87</v>
      </c>
      <c r="E1471" s="1" t="s">
        <v>34</v>
      </c>
      <c r="F1471" s="1" t="s">
        <v>60</v>
      </c>
      <c r="G1471" s="1" t="s">
        <v>42</v>
      </c>
      <c r="H1471" s="1" t="s">
        <v>43</v>
      </c>
      <c r="I1471" s="1" t="s">
        <v>467</v>
      </c>
      <c r="J1471" s="1">
        <v>10</v>
      </c>
      <c r="K1471" s="3">
        <v>6792.82</v>
      </c>
      <c r="L1471" s="1">
        <v>15</v>
      </c>
      <c r="M1471" s="1" t="s">
        <v>56</v>
      </c>
      <c r="N1471" s="10" t="s">
        <v>23</v>
      </c>
      <c r="Q1471"/>
    </row>
    <row r="1472" spans="1:17" x14ac:dyDescent="0.25">
      <c r="A1472" s="9" t="s">
        <v>2438</v>
      </c>
      <c r="B1472" s="2">
        <v>45441</v>
      </c>
      <c r="C1472" s="1" t="s">
        <v>255</v>
      </c>
      <c r="D1472" s="1" t="s">
        <v>33</v>
      </c>
      <c r="E1472" s="1" t="s">
        <v>72</v>
      </c>
      <c r="F1472" s="1" t="s">
        <v>60</v>
      </c>
      <c r="G1472" s="1" t="s">
        <v>19</v>
      </c>
      <c r="H1472" s="1" t="s">
        <v>29</v>
      </c>
      <c r="I1472" s="1" t="s">
        <v>113</v>
      </c>
      <c r="J1472" s="1">
        <v>1</v>
      </c>
      <c r="K1472" s="3">
        <v>4238.12</v>
      </c>
      <c r="L1472" s="1" t="s">
        <v>110</v>
      </c>
      <c r="M1472" s="1" t="s">
        <v>63</v>
      </c>
      <c r="N1472" s="10" t="s">
        <v>23</v>
      </c>
      <c r="Q1472"/>
    </row>
    <row r="1473" spans="1:17" x14ac:dyDescent="0.25">
      <c r="A1473" s="9" t="s">
        <v>2439</v>
      </c>
      <c r="B1473" s="2">
        <v>45644</v>
      </c>
      <c r="C1473" s="1" t="s">
        <v>410</v>
      </c>
      <c r="D1473" s="1" t="s">
        <v>71</v>
      </c>
      <c r="E1473" s="1" t="s">
        <v>59</v>
      </c>
      <c r="F1473" s="1" t="s">
        <v>18</v>
      </c>
      <c r="G1473" s="1" t="s">
        <v>19</v>
      </c>
      <c r="H1473" s="1" t="s">
        <v>29</v>
      </c>
      <c r="I1473" s="1" t="s">
        <v>267</v>
      </c>
      <c r="J1473" s="1">
        <v>2</v>
      </c>
      <c r="K1473" s="3">
        <v>4988.93</v>
      </c>
      <c r="L1473" s="1">
        <v>5</v>
      </c>
      <c r="M1473" s="1" t="s">
        <v>36</v>
      </c>
      <c r="N1473" s="10" t="s">
        <v>37</v>
      </c>
      <c r="Q1473"/>
    </row>
    <row r="1474" spans="1:17" x14ac:dyDescent="0.25">
      <c r="A1474" s="9" t="s">
        <v>2440</v>
      </c>
      <c r="B1474" s="2">
        <v>45318</v>
      </c>
      <c r="C1474" s="1" t="s">
        <v>900</v>
      </c>
      <c r="D1474" s="1" t="s">
        <v>48</v>
      </c>
      <c r="E1474" s="1" t="s">
        <v>17</v>
      </c>
      <c r="F1474" s="1" t="s">
        <v>88</v>
      </c>
      <c r="G1474" s="1" t="s">
        <v>42</v>
      </c>
      <c r="H1474" s="1" t="s">
        <v>61</v>
      </c>
      <c r="I1474" s="1" t="s">
        <v>250</v>
      </c>
      <c r="J1474" s="1">
        <v>3</v>
      </c>
      <c r="K1474" s="3">
        <v>2305.7800000000002</v>
      </c>
      <c r="L1474" s="1">
        <v>5</v>
      </c>
      <c r="M1474" s="1" t="s">
        <v>63</v>
      </c>
      <c r="N1474" s="10" t="s">
        <v>23</v>
      </c>
      <c r="Q1474"/>
    </row>
    <row r="1475" spans="1:17" x14ac:dyDescent="0.25">
      <c r="A1475" s="9" t="s">
        <v>2441</v>
      </c>
      <c r="B1475" s="2">
        <v>45276</v>
      </c>
      <c r="C1475" s="1" t="s">
        <v>181</v>
      </c>
      <c r="D1475" s="1" t="s">
        <v>147</v>
      </c>
      <c r="E1475" s="1" t="s">
        <v>59</v>
      </c>
      <c r="F1475" s="1" t="s">
        <v>49</v>
      </c>
      <c r="G1475" s="1" t="s">
        <v>19</v>
      </c>
      <c r="H1475" s="1" t="s">
        <v>20</v>
      </c>
      <c r="I1475" s="1" t="s">
        <v>230</v>
      </c>
      <c r="J1475" s="1">
        <v>6</v>
      </c>
      <c r="K1475" s="3">
        <v>14020.21</v>
      </c>
      <c r="L1475" s="1">
        <v>20</v>
      </c>
      <c r="M1475" s="1" t="s">
        <v>93</v>
      </c>
      <c r="N1475" s="10" t="s">
        <v>23</v>
      </c>
      <c r="Q1475"/>
    </row>
    <row r="1476" spans="1:17" x14ac:dyDescent="0.25">
      <c r="A1476" s="9" t="s">
        <v>2442</v>
      </c>
      <c r="B1476" s="2">
        <v>45482</v>
      </c>
      <c r="C1476" s="1" t="s">
        <v>2053</v>
      </c>
      <c r="D1476" s="1" t="s">
        <v>67</v>
      </c>
      <c r="E1476" s="1" t="s">
        <v>34</v>
      </c>
      <c r="F1476" s="1" t="s">
        <v>18</v>
      </c>
      <c r="G1476" s="1" t="s">
        <v>53</v>
      </c>
      <c r="H1476" s="1" t="s">
        <v>54</v>
      </c>
      <c r="I1476" s="1" t="s">
        <v>55</v>
      </c>
      <c r="J1476" s="1">
        <v>10</v>
      </c>
      <c r="K1476" s="3">
        <v>25582.85</v>
      </c>
      <c r="L1476" s="1">
        <v>10</v>
      </c>
      <c r="M1476" s="1" t="s">
        <v>93</v>
      </c>
      <c r="N1476" s="10" t="s">
        <v>23</v>
      </c>
      <c r="Q1476"/>
    </row>
    <row r="1477" spans="1:17" x14ac:dyDescent="0.25">
      <c r="A1477" s="9" t="s">
        <v>2443</v>
      </c>
      <c r="B1477" s="2">
        <v>45347</v>
      </c>
      <c r="C1477" s="1" t="s">
        <v>2168</v>
      </c>
      <c r="D1477" s="1" t="s">
        <v>52</v>
      </c>
      <c r="E1477" s="1" t="s">
        <v>17</v>
      </c>
      <c r="F1477" s="1" t="s">
        <v>49</v>
      </c>
      <c r="G1477" s="1" t="s">
        <v>19</v>
      </c>
      <c r="H1477" s="1" t="s">
        <v>29</v>
      </c>
      <c r="I1477" s="1" t="s">
        <v>885</v>
      </c>
      <c r="J1477" s="1">
        <v>8</v>
      </c>
      <c r="K1477" s="3">
        <v>33108.93</v>
      </c>
      <c r="L1477" s="1">
        <v>10</v>
      </c>
      <c r="M1477" s="1" t="s">
        <v>56</v>
      </c>
      <c r="N1477" s="10" t="s">
        <v>74</v>
      </c>
      <c r="Q1477"/>
    </row>
    <row r="1478" spans="1:17" x14ac:dyDescent="0.25">
      <c r="A1478" s="9" t="s">
        <v>2444</v>
      </c>
      <c r="B1478" s="2">
        <v>45107</v>
      </c>
      <c r="C1478" s="1" t="s">
        <v>654</v>
      </c>
      <c r="D1478" s="1" t="s">
        <v>33</v>
      </c>
      <c r="E1478" s="1" t="s">
        <v>27</v>
      </c>
      <c r="F1478" s="1" t="s">
        <v>28</v>
      </c>
      <c r="G1478" s="1" t="s">
        <v>19</v>
      </c>
      <c r="H1478" s="1" t="s">
        <v>29</v>
      </c>
      <c r="I1478" s="1" t="s">
        <v>267</v>
      </c>
      <c r="J1478" s="1">
        <v>2</v>
      </c>
      <c r="K1478" s="3">
        <v>2463.73</v>
      </c>
      <c r="L1478" s="1">
        <v>20</v>
      </c>
      <c r="M1478" s="1" t="s">
        <v>56</v>
      </c>
      <c r="N1478" s="10" t="s">
        <v>31</v>
      </c>
      <c r="Q1478"/>
    </row>
    <row r="1479" spans="1:17" x14ac:dyDescent="0.25">
      <c r="A1479" s="9" t="s">
        <v>2445</v>
      </c>
      <c r="B1479" s="2">
        <v>45152</v>
      </c>
      <c r="C1479" s="1" t="s">
        <v>1396</v>
      </c>
      <c r="D1479" s="1" t="s">
        <v>67</v>
      </c>
      <c r="E1479" s="1" t="s">
        <v>27</v>
      </c>
      <c r="F1479" s="1" t="s">
        <v>82</v>
      </c>
      <c r="G1479" s="1" t="s">
        <v>53</v>
      </c>
      <c r="H1479" s="1" t="s">
        <v>54</v>
      </c>
      <c r="I1479" s="1" t="s">
        <v>554</v>
      </c>
      <c r="J1479" s="1">
        <v>2</v>
      </c>
      <c r="K1479" s="3">
        <v>8279.84</v>
      </c>
      <c r="L1479" s="1">
        <v>5</v>
      </c>
      <c r="M1479" s="1" t="s">
        <v>22</v>
      </c>
      <c r="N1479" s="10" t="s">
        <v>37</v>
      </c>
      <c r="Q1479"/>
    </row>
    <row r="1480" spans="1:17" x14ac:dyDescent="0.25">
      <c r="A1480" s="9" t="s">
        <v>2446</v>
      </c>
      <c r="B1480" s="2">
        <v>45404</v>
      </c>
      <c r="C1480" s="1" t="s">
        <v>216</v>
      </c>
      <c r="D1480" s="1" t="s">
        <v>26</v>
      </c>
      <c r="E1480" s="1" t="s">
        <v>72</v>
      </c>
      <c r="F1480" s="1" t="s">
        <v>88</v>
      </c>
      <c r="G1480" s="1" t="s">
        <v>19</v>
      </c>
      <c r="H1480" s="1" t="s">
        <v>20</v>
      </c>
      <c r="I1480" s="1" t="s">
        <v>138</v>
      </c>
      <c r="J1480" s="1">
        <v>2</v>
      </c>
      <c r="K1480" s="3">
        <v>9918.64</v>
      </c>
      <c r="L1480" s="1">
        <v>10</v>
      </c>
      <c r="M1480" s="1" t="s">
        <v>36</v>
      </c>
      <c r="N1480" s="10" t="s">
        <v>45</v>
      </c>
      <c r="Q1480"/>
    </row>
    <row r="1481" spans="1:17" x14ac:dyDescent="0.25">
      <c r="A1481" s="9" t="s">
        <v>2447</v>
      </c>
      <c r="B1481" s="2">
        <v>45232</v>
      </c>
      <c r="C1481" s="1" t="s">
        <v>338</v>
      </c>
      <c r="D1481" s="1" t="s">
        <v>71</v>
      </c>
      <c r="E1481" s="1" t="s">
        <v>27</v>
      </c>
      <c r="F1481" s="1" t="s">
        <v>82</v>
      </c>
      <c r="G1481" s="1" t="s">
        <v>19</v>
      </c>
      <c r="H1481" s="1" t="s">
        <v>29</v>
      </c>
      <c r="I1481" s="1" t="s">
        <v>135</v>
      </c>
      <c r="J1481" s="1">
        <v>5</v>
      </c>
      <c r="K1481" s="3">
        <v>23977.52</v>
      </c>
      <c r="L1481" s="1">
        <v>5</v>
      </c>
      <c r="M1481" s="1" t="s">
        <v>69</v>
      </c>
      <c r="N1481" s="10" t="s">
        <v>74</v>
      </c>
      <c r="Q1481"/>
    </row>
    <row r="1482" spans="1:17" x14ac:dyDescent="0.25">
      <c r="A1482" s="9" t="s">
        <v>2448</v>
      </c>
      <c r="B1482" s="2">
        <v>45262</v>
      </c>
      <c r="C1482" s="1" t="s">
        <v>2449</v>
      </c>
      <c r="D1482" s="1" t="s">
        <v>87</v>
      </c>
      <c r="E1482" s="1" t="s">
        <v>17</v>
      </c>
      <c r="F1482" s="1" t="s">
        <v>49</v>
      </c>
      <c r="G1482" s="1" t="s">
        <v>83</v>
      </c>
      <c r="H1482" s="1" t="s">
        <v>43</v>
      </c>
      <c r="I1482" s="1" t="s">
        <v>244</v>
      </c>
      <c r="J1482" s="1">
        <v>4</v>
      </c>
      <c r="K1482" s="3">
        <v>892.27</v>
      </c>
      <c r="L1482" s="1">
        <v>0</v>
      </c>
      <c r="M1482" s="1" t="s">
        <v>93</v>
      </c>
      <c r="N1482" s="10" t="s">
        <v>31</v>
      </c>
      <c r="Q1482"/>
    </row>
    <row r="1483" spans="1:17" x14ac:dyDescent="0.25">
      <c r="A1483" s="9" t="s">
        <v>2450</v>
      </c>
      <c r="B1483" s="2">
        <v>45566</v>
      </c>
      <c r="C1483" s="1" t="s">
        <v>1031</v>
      </c>
      <c r="D1483" s="1" t="s">
        <v>71</v>
      </c>
      <c r="E1483" s="1" t="s">
        <v>17</v>
      </c>
      <c r="F1483" s="1" t="s">
        <v>88</v>
      </c>
      <c r="G1483" s="1" t="s">
        <v>42</v>
      </c>
      <c r="H1483" s="1" t="s">
        <v>61</v>
      </c>
      <c r="I1483" s="1" t="s">
        <v>294</v>
      </c>
      <c r="J1483" s="1">
        <v>7</v>
      </c>
      <c r="K1483" s="3">
        <v>3062.18</v>
      </c>
      <c r="L1483" s="1">
        <v>15</v>
      </c>
      <c r="M1483" s="1" t="s">
        <v>56</v>
      </c>
      <c r="N1483" s="10" t="s">
        <v>31</v>
      </c>
      <c r="Q1483"/>
    </row>
    <row r="1484" spans="1:17" x14ac:dyDescent="0.25">
      <c r="A1484" s="9" t="s">
        <v>2451</v>
      </c>
      <c r="B1484" s="2">
        <v>44946</v>
      </c>
      <c r="C1484" s="1" t="s">
        <v>1810</v>
      </c>
      <c r="D1484" s="1" t="s">
        <v>147</v>
      </c>
      <c r="E1484" s="1" t="s">
        <v>34</v>
      </c>
      <c r="F1484" s="1" t="s">
        <v>82</v>
      </c>
      <c r="G1484" s="1" t="s">
        <v>19</v>
      </c>
      <c r="H1484" s="1" t="s">
        <v>29</v>
      </c>
      <c r="I1484" s="1" t="s">
        <v>374</v>
      </c>
      <c r="J1484" s="1">
        <v>8</v>
      </c>
      <c r="K1484" s="3">
        <v>15161.48</v>
      </c>
      <c r="L1484" s="1">
        <v>5</v>
      </c>
      <c r="M1484" s="1" t="s">
        <v>22</v>
      </c>
      <c r="N1484" s="10" t="s">
        <v>37</v>
      </c>
      <c r="Q1484"/>
    </row>
    <row r="1485" spans="1:17" x14ac:dyDescent="0.25">
      <c r="A1485" s="9" t="s">
        <v>2452</v>
      </c>
      <c r="B1485" s="2">
        <v>45325</v>
      </c>
      <c r="C1485" s="1" t="s">
        <v>405</v>
      </c>
      <c r="D1485" s="1" t="s">
        <v>147</v>
      </c>
      <c r="E1485" s="1" t="s">
        <v>41</v>
      </c>
      <c r="F1485" s="1" t="s">
        <v>18</v>
      </c>
      <c r="G1485" s="1" t="s">
        <v>19</v>
      </c>
      <c r="H1485" s="1" t="s">
        <v>29</v>
      </c>
      <c r="I1485" s="1" t="s">
        <v>646</v>
      </c>
      <c r="J1485" s="1">
        <v>4</v>
      </c>
      <c r="K1485" s="3">
        <v>13454.35</v>
      </c>
      <c r="L1485" s="1">
        <v>20</v>
      </c>
      <c r="M1485" s="1" t="s">
        <v>69</v>
      </c>
      <c r="N1485" s="10" t="s">
        <v>45</v>
      </c>
      <c r="Q1485"/>
    </row>
    <row r="1486" spans="1:17" x14ac:dyDescent="0.25">
      <c r="A1486" s="9" t="s">
        <v>2453</v>
      </c>
      <c r="B1486" s="2">
        <v>45266</v>
      </c>
      <c r="C1486" s="1" t="s">
        <v>2454</v>
      </c>
      <c r="D1486" s="1" t="s">
        <v>71</v>
      </c>
      <c r="E1486" s="1" t="s">
        <v>41</v>
      </c>
      <c r="F1486" s="1" t="s">
        <v>82</v>
      </c>
      <c r="G1486" s="1" t="s">
        <v>42</v>
      </c>
      <c r="H1486" s="1" t="s">
        <v>43</v>
      </c>
      <c r="I1486" s="1" t="s">
        <v>258</v>
      </c>
      <c r="J1486" s="1">
        <v>4</v>
      </c>
      <c r="K1486" s="3">
        <v>18697.3</v>
      </c>
      <c r="L1486" s="1">
        <v>15</v>
      </c>
      <c r="M1486" s="1" t="s">
        <v>56</v>
      </c>
      <c r="N1486" s="10" t="s">
        <v>23</v>
      </c>
      <c r="Q1486"/>
    </row>
    <row r="1487" spans="1:17" x14ac:dyDescent="0.25">
      <c r="A1487" s="9" t="s">
        <v>2455</v>
      </c>
      <c r="B1487" s="2">
        <v>45604</v>
      </c>
      <c r="C1487" s="1" t="s">
        <v>2456</v>
      </c>
      <c r="D1487" s="1" t="s">
        <v>40</v>
      </c>
      <c r="E1487" s="1" t="s">
        <v>27</v>
      </c>
      <c r="F1487" s="1" t="s">
        <v>60</v>
      </c>
      <c r="G1487" s="1" t="s">
        <v>42</v>
      </c>
      <c r="H1487" s="1" t="s">
        <v>61</v>
      </c>
      <c r="I1487" s="1" t="s">
        <v>204</v>
      </c>
      <c r="J1487" s="1">
        <v>9</v>
      </c>
      <c r="K1487" s="3">
        <v>27442.85</v>
      </c>
      <c r="L1487" s="1">
        <v>15</v>
      </c>
      <c r="M1487" s="1" t="s">
        <v>93</v>
      </c>
      <c r="N1487" s="10" t="s">
        <v>37</v>
      </c>
      <c r="Q1487"/>
    </row>
    <row r="1488" spans="1:17" x14ac:dyDescent="0.25">
      <c r="A1488" s="9" t="s">
        <v>2457</v>
      </c>
      <c r="B1488" s="2">
        <v>45334</v>
      </c>
      <c r="C1488" s="1" t="s">
        <v>2458</v>
      </c>
      <c r="D1488" s="1" t="s">
        <v>87</v>
      </c>
      <c r="E1488" s="1" t="s">
        <v>17</v>
      </c>
      <c r="F1488" s="1" t="s">
        <v>60</v>
      </c>
      <c r="G1488" s="1" t="s">
        <v>19</v>
      </c>
      <c r="H1488" s="1" t="s">
        <v>20</v>
      </c>
      <c r="I1488" s="1" t="s">
        <v>583</v>
      </c>
      <c r="J1488" s="1">
        <v>6</v>
      </c>
      <c r="K1488" s="3">
        <v>6492.73</v>
      </c>
      <c r="L1488" s="1">
        <v>10</v>
      </c>
      <c r="M1488" s="1" t="s">
        <v>93</v>
      </c>
      <c r="N1488" s="10" t="s">
        <v>37</v>
      </c>
      <c r="Q1488"/>
    </row>
    <row r="1489" spans="1:17" x14ac:dyDescent="0.25">
      <c r="A1489" s="9" t="s">
        <v>2459</v>
      </c>
      <c r="B1489" s="2">
        <v>45276</v>
      </c>
      <c r="C1489" s="1" t="s">
        <v>478</v>
      </c>
      <c r="D1489" s="1" t="s">
        <v>67</v>
      </c>
      <c r="E1489" s="1" t="s">
        <v>34</v>
      </c>
      <c r="F1489" s="1" t="s">
        <v>82</v>
      </c>
      <c r="G1489" s="1" t="s">
        <v>42</v>
      </c>
      <c r="H1489" s="1" t="s">
        <v>43</v>
      </c>
      <c r="I1489" s="1" t="s">
        <v>144</v>
      </c>
      <c r="J1489" s="1">
        <v>10</v>
      </c>
      <c r="K1489" s="3">
        <v>22932.080000000002</v>
      </c>
      <c r="L1489" s="1" t="s">
        <v>110</v>
      </c>
      <c r="M1489" s="1" t="s">
        <v>36</v>
      </c>
      <c r="N1489" s="10" t="s">
        <v>74</v>
      </c>
      <c r="Q1489"/>
    </row>
    <row r="1490" spans="1:17" x14ac:dyDescent="0.25">
      <c r="A1490" s="9" t="s">
        <v>2460</v>
      </c>
      <c r="B1490" s="2">
        <v>45226</v>
      </c>
      <c r="C1490" s="1" t="s">
        <v>1645</v>
      </c>
      <c r="D1490" s="1" t="s">
        <v>71</v>
      </c>
      <c r="E1490" s="1" t="s">
        <v>41</v>
      </c>
      <c r="F1490" s="1" t="s">
        <v>18</v>
      </c>
      <c r="G1490" s="1" t="s">
        <v>53</v>
      </c>
      <c r="H1490" s="1" t="s">
        <v>54</v>
      </c>
      <c r="I1490" s="1" t="s">
        <v>55</v>
      </c>
      <c r="J1490" s="1">
        <v>9</v>
      </c>
      <c r="K1490" s="3">
        <v>36954.67</v>
      </c>
      <c r="L1490" s="1">
        <v>20</v>
      </c>
      <c r="M1490" s="1" t="s">
        <v>93</v>
      </c>
      <c r="N1490" s="10" t="s">
        <v>37</v>
      </c>
      <c r="Q1490"/>
    </row>
    <row r="1491" spans="1:17" x14ac:dyDescent="0.25">
      <c r="A1491" s="9" t="s">
        <v>2461</v>
      </c>
      <c r="B1491" s="2">
        <v>45126</v>
      </c>
      <c r="C1491" s="1" t="s">
        <v>1376</v>
      </c>
      <c r="D1491" s="1" t="s">
        <v>147</v>
      </c>
      <c r="E1491" s="1" t="s">
        <v>34</v>
      </c>
      <c r="F1491" s="1" t="s">
        <v>28</v>
      </c>
      <c r="G1491" s="1" t="s">
        <v>42</v>
      </c>
      <c r="H1491" s="1" t="s">
        <v>43</v>
      </c>
      <c r="I1491" s="1" t="s">
        <v>488</v>
      </c>
      <c r="J1491" s="1">
        <v>5</v>
      </c>
      <c r="K1491" s="3">
        <v>10800.31</v>
      </c>
      <c r="L1491" s="1">
        <v>20</v>
      </c>
      <c r="M1491" s="1" t="s">
        <v>56</v>
      </c>
      <c r="N1491" s="10" t="s">
        <v>74</v>
      </c>
      <c r="Q1491"/>
    </row>
    <row r="1492" spans="1:17" x14ac:dyDescent="0.25">
      <c r="A1492" s="9" t="s">
        <v>2462</v>
      </c>
      <c r="B1492" s="2">
        <v>45027</v>
      </c>
      <c r="C1492" s="1" t="s">
        <v>2463</v>
      </c>
      <c r="D1492" s="1" t="s">
        <v>40</v>
      </c>
      <c r="E1492" s="1" t="s">
        <v>59</v>
      </c>
      <c r="F1492" s="1" t="s">
        <v>60</v>
      </c>
      <c r="G1492" s="1" t="s">
        <v>53</v>
      </c>
      <c r="H1492" s="1" t="s">
        <v>54</v>
      </c>
      <c r="I1492" s="1" t="s">
        <v>253</v>
      </c>
      <c r="J1492" s="1">
        <v>3</v>
      </c>
      <c r="K1492" s="3">
        <v>11130.44</v>
      </c>
      <c r="L1492" s="1" t="s">
        <v>110</v>
      </c>
      <c r="M1492" s="1" t="s">
        <v>36</v>
      </c>
      <c r="N1492" s="10" t="s">
        <v>31</v>
      </c>
      <c r="Q1492"/>
    </row>
    <row r="1493" spans="1:17" x14ac:dyDescent="0.25">
      <c r="A1493" s="9" t="s">
        <v>2464</v>
      </c>
      <c r="B1493" s="2">
        <v>45495</v>
      </c>
      <c r="C1493" s="1" t="s">
        <v>332</v>
      </c>
      <c r="D1493" s="1" t="s">
        <v>52</v>
      </c>
      <c r="E1493" s="1" t="s">
        <v>72</v>
      </c>
      <c r="F1493" s="1" t="s">
        <v>18</v>
      </c>
      <c r="G1493" s="1" t="s">
        <v>19</v>
      </c>
      <c r="H1493" s="1" t="s">
        <v>29</v>
      </c>
      <c r="I1493" s="1" t="s">
        <v>445</v>
      </c>
      <c r="J1493" s="1">
        <v>5</v>
      </c>
      <c r="K1493" s="3">
        <v>22624.84</v>
      </c>
      <c r="L1493" s="1">
        <v>15</v>
      </c>
      <c r="M1493" s="1" t="s">
        <v>63</v>
      </c>
      <c r="N1493" s="10" t="s">
        <v>37</v>
      </c>
      <c r="Q1493"/>
    </row>
    <row r="1494" spans="1:17" x14ac:dyDescent="0.25">
      <c r="A1494" s="9" t="s">
        <v>2466</v>
      </c>
      <c r="B1494" s="2">
        <v>45252</v>
      </c>
      <c r="C1494" s="1" t="s">
        <v>431</v>
      </c>
      <c r="D1494" s="1" t="s">
        <v>147</v>
      </c>
      <c r="E1494" s="1" t="s">
        <v>72</v>
      </c>
      <c r="F1494" s="1" t="s">
        <v>82</v>
      </c>
      <c r="G1494" s="1" t="s">
        <v>19</v>
      </c>
      <c r="H1494" s="1" t="s">
        <v>20</v>
      </c>
      <c r="I1494" s="1" t="s">
        <v>78</v>
      </c>
      <c r="J1494" s="1">
        <v>6</v>
      </c>
      <c r="K1494" s="3">
        <v>17064.75</v>
      </c>
      <c r="L1494" s="1">
        <v>20</v>
      </c>
      <c r="M1494" s="1" t="s">
        <v>56</v>
      </c>
      <c r="N1494" s="10" t="s">
        <v>64</v>
      </c>
      <c r="Q1494"/>
    </row>
    <row r="1495" spans="1:17" x14ac:dyDescent="0.25">
      <c r="A1495" s="9" t="s">
        <v>2467</v>
      </c>
      <c r="B1495" s="2">
        <v>45639</v>
      </c>
      <c r="C1495" s="1" t="s">
        <v>677</v>
      </c>
      <c r="D1495" s="1" t="s">
        <v>67</v>
      </c>
      <c r="E1495" s="1" t="s">
        <v>59</v>
      </c>
      <c r="F1495" s="1" t="s">
        <v>18</v>
      </c>
      <c r="G1495" s="1" t="s">
        <v>19</v>
      </c>
      <c r="H1495" s="1" t="s">
        <v>20</v>
      </c>
      <c r="I1495" s="1" t="s">
        <v>127</v>
      </c>
      <c r="J1495" s="1">
        <v>9</v>
      </c>
      <c r="K1495" s="3">
        <v>44551.89</v>
      </c>
      <c r="L1495" s="1" t="s">
        <v>110</v>
      </c>
      <c r="M1495" s="1" t="s">
        <v>69</v>
      </c>
      <c r="N1495" s="10" t="s">
        <v>45</v>
      </c>
      <c r="Q1495"/>
    </row>
    <row r="1496" spans="1:17" x14ac:dyDescent="0.25">
      <c r="A1496" s="9" t="s">
        <v>2468</v>
      </c>
      <c r="B1496" s="2">
        <v>45105</v>
      </c>
      <c r="C1496" s="1" t="s">
        <v>1151</v>
      </c>
      <c r="D1496" s="1" t="s">
        <v>81</v>
      </c>
      <c r="E1496" s="1" t="s">
        <v>34</v>
      </c>
      <c r="F1496" s="1" t="s">
        <v>18</v>
      </c>
      <c r="G1496" s="1" t="s">
        <v>42</v>
      </c>
      <c r="H1496" s="1" t="s">
        <v>61</v>
      </c>
      <c r="I1496" s="1" t="s">
        <v>863</v>
      </c>
      <c r="J1496" s="1">
        <v>2</v>
      </c>
      <c r="K1496" s="3">
        <v>2055.0100000000002</v>
      </c>
      <c r="L1496" s="1">
        <v>15</v>
      </c>
      <c r="M1496" s="1" t="s">
        <v>69</v>
      </c>
      <c r="N1496" s="10" t="s">
        <v>45</v>
      </c>
      <c r="Q1496"/>
    </row>
    <row r="1497" spans="1:17" x14ac:dyDescent="0.25">
      <c r="A1497" s="9" t="s">
        <v>2469</v>
      </c>
      <c r="B1497" s="2">
        <v>45183</v>
      </c>
      <c r="C1497" s="1" t="s">
        <v>298</v>
      </c>
      <c r="D1497" s="1" t="s">
        <v>378</v>
      </c>
      <c r="E1497" s="1" t="s">
        <v>41</v>
      </c>
      <c r="F1497" s="1" t="s">
        <v>60</v>
      </c>
      <c r="G1497" s="1" t="s">
        <v>42</v>
      </c>
      <c r="H1497" s="1" t="s">
        <v>43</v>
      </c>
      <c r="I1497" s="1" t="s">
        <v>323</v>
      </c>
      <c r="J1497" s="1">
        <v>3</v>
      </c>
      <c r="K1497" s="3">
        <v>4067.44</v>
      </c>
      <c r="L1497" s="1" t="s">
        <v>110</v>
      </c>
      <c r="M1497" s="1" t="s">
        <v>56</v>
      </c>
      <c r="N1497" s="10" t="s">
        <v>37</v>
      </c>
      <c r="Q1497"/>
    </row>
    <row r="1498" spans="1:17" x14ac:dyDescent="0.25">
      <c r="A1498" s="9" t="s">
        <v>2470</v>
      </c>
      <c r="B1498" s="2">
        <v>45310</v>
      </c>
      <c r="C1498" s="1" t="s">
        <v>729</v>
      </c>
      <c r="D1498" s="1" t="s">
        <v>16</v>
      </c>
      <c r="E1498" s="1" t="s">
        <v>17</v>
      </c>
      <c r="F1498" s="1" t="s">
        <v>88</v>
      </c>
      <c r="G1498" s="1" t="s">
        <v>19</v>
      </c>
      <c r="H1498" s="1" t="s">
        <v>20</v>
      </c>
      <c r="I1498" s="1" t="s">
        <v>563</v>
      </c>
      <c r="J1498" s="1">
        <v>6</v>
      </c>
      <c r="K1498" s="3">
        <v>14453.88</v>
      </c>
      <c r="L1498" s="1">
        <v>0</v>
      </c>
      <c r="M1498" s="1" t="s">
        <v>56</v>
      </c>
      <c r="N1498" s="10" t="s">
        <v>23</v>
      </c>
      <c r="Q1498"/>
    </row>
    <row r="1499" spans="1:17" x14ac:dyDescent="0.25">
      <c r="A1499" s="9" t="s">
        <v>2471</v>
      </c>
      <c r="B1499" s="2">
        <v>45593</v>
      </c>
      <c r="C1499" s="1" t="s">
        <v>1058</v>
      </c>
      <c r="D1499" s="1" t="s">
        <v>26</v>
      </c>
      <c r="E1499" s="1" t="s">
        <v>41</v>
      </c>
      <c r="F1499" s="1" t="s">
        <v>88</v>
      </c>
      <c r="G1499" s="1" t="s">
        <v>83</v>
      </c>
      <c r="H1499" s="1" t="s">
        <v>43</v>
      </c>
      <c r="I1499" s="1" t="s">
        <v>144</v>
      </c>
      <c r="J1499" s="1">
        <v>1</v>
      </c>
      <c r="K1499" s="3">
        <v>2211.2600000000002</v>
      </c>
      <c r="L1499" s="1">
        <v>10</v>
      </c>
      <c r="M1499" s="1" t="s">
        <v>93</v>
      </c>
      <c r="N1499" s="10" t="s">
        <v>74</v>
      </c>
      <c r="Q1499"/>
    </row>
    <row r="1500" spans="1:17" x14ac:dyDescent="0.25">
      <c r="A1500" s="9" t="s">
        <v>2472</v>
      </c>
      <c r="B1500" s="2">
        <v>45329</v>
      </c>
      <c r="C1500" s="1" t="s">
        <v>2473</v>
      </c>
      <c r="D1500" s="1" t="s">
        <v>16</v>
      </c>
      <c r="E1500" s="1" t="s">
        <v>27</v>
      </c>
      <c r="F1500" s="1" t="s">
        <v>49</v>
      </c>
      <c r="G1500" s="1" t="s">
        <v>19</v>
      </c>
      <c r="H1500" s="1" t="s">
        <v>20</v>
      </c>
      <c r="I1500" s="1" t="s">
        <v>230</v>
      </c>
      <c r="J1500" s="1">
        <v>10</v>
      </c>
      <c r="K1500" s="3">
        <v>33968.699999999997</v>
      </c>
      <c r="L1500" s="1">
        <v>5</v>
      </c>
      <c r="M1500" s="1" t="s">
        <v>22</v>
      </c>
      <c r="N1500" s="10" t="s">
        <v>45</v>
      </c>
      <c r="Q1500"/>
    </row>
    <row r="1501" spans="1:17" x14ac:dyDescent="0.25">
      <c r="A1501" s="9" t="s">
        <v>2474</v>
      </c>
      <c r="B1501" s="2">
        <v>45501</v>
      </c>
      <c r="C1501" s="1" t="s">
        <v>1064</v>
      </c>
      <c r="D1501" s="1" t="s">
        <v>67</v>
      </c>
      <c r="E1501" s="1" t="s">
        <v>27</v>
      </c>
      <c r="F1501" s="1" t="s">
        <v>18</v>
      </c>
      <c r="G1501" s="1" t="s">
        <v>83</v>
      </c>
      <c r="H1501" s="1" t="s">
        <v>43</v>
      </c>
      <c r="I1501" s="1" t="s">
        <v>157</v>
      </c>
      <c r="J1501" s="1">
        <v>2</v>
      </c>
      <c r="K1501" s="3">
        <v>2634.35</v>
      </c>
      <c r="L1501" s="1" t="s">
        <v>110</v>
      </c>
      <c r="M1501" s="1" t="s">
        <v>93</v>
      </c>
      <c r="N1501" s="10" t="s">
        <v>64</v>
      </c>
      <c r="Q1501"/>
    </row>
    <row r="1502" spans="1:17" x14ac:dyDescent="0.25">
      <c r="A1502" s="9" t="s">
        <v>2475</v>
      </c>
      <c r="B1502" s="2">
        <v>45391</v>
      </c>
      <c r="C1502" s="1" t="s">
        <v>108</v>
      </c>
      <c r="D1502" s="1" t="s">
        <v>16</v>
      </c>
      <c r="E1502" s="1" t="s">
        <v>41</v>
      </c>
      <c r="F1502" s="1" t="s">
        <v>49</v>
      </c>
      <c r="G1502" s="1" t="s">
        <v>19</v>
      </c>
      <c r="H1502" s="1" t="s">
        <v>29</v>
      </c>
      <c r="I1502" s="1" t="s">
        <v>135</v>
      </c>
      <c r="J1502" s="1">
        <v>8</v>
      </c>
      <c r="K1502" s="3">
        <v>38244.79</v>
      </c>
      <c r="L1502" s="1">
        <v>20</v>
      </c>
      <c r="M1502" s="1" t="s">
        <v>22</v>
      </c>
      <c r="N1502" s="10" t="s">
        <v>64</v>
      </c>
      <c r="Q1502"/>
    </row>
    <row r="1503" spans="1:17" x14ac:dyDescent="0.25">
      <c r="A1503" s="9" t="s">
        <v>2476</v>
      </c>
      <c r="B1503" s="2">
        <v>45530</v>
      </c>
      <c r="C1503" s="1" t="s">
        <v>694</v>
      </c>
      <c r="D1503" s="1" t="s">
        <v>436</v>
      </c>
      <c r="E1503" s="1" t="s">
        <v>17</v>
      </c>
      <c r="F1503" s="1" t="s">
        <v>18</v>
      </c>
      <c r="G1503" s="1" t="s">
        <v>19</v>
      </c>
      <c r="H1503" s="1" t="s">
        <v>29</v>
      </c>
      <c r="I1503" s="1" t="s">
        <v>693</v>
      </c>
      <c r="J1503" s="1">
        <v>2</v>
      </c>
      <c r="K1503" s="3">
        <v>5537.82</v>
      </c>
      <c r="L1503" s="1">
        <v>20</v>
      </c>
      <c r="M1503" s="1" t="s">
        <v>22</v>
      </c>
      <c r="N1503" s="10" t="s">
        <v>74</v>
      </c>
      <c r="Q1503"/>
    </row>
    <row r="1504" spans="1:17" x14ac:dyDescent="0.25">
      <c r="A1504" s="9" t="s">
        <v>2477</v>
      </c>
      <c r="B1504" s="2">
        <v>45086</v>
      </c>
      <c r="C1504" s="1" t="s">
        <v>1488</v>
      </c>
      <c r="D1504" s="1" t="s">
        <v>436</v>
      </c>
      <c r="E1504" s="1" t="s">
        <v>27</v>
      </c>
      <c r="F1504" s="1" t="s">
        <v>99</v>
      </c>
      <c r="G1504" s="1" t="s">
        <v>19</v>
      </c>
      <c r="H1504" s="1" t="s">
        <v>29</v>
      </c>
      <c r="I1504" s="1" t="s">
        <v>452</v>
      </c>
      <c r="J1504" s="1">
        <v>10</v>
      </c>
      <c r="K1504" s="3">
        <v>39499.57</v>
      </c>
      <c r="L1504" s="1">
        <v>0</v>
      </c>
      <c r="M1504" s="1" t="s">
        <v>56</v>
      </c>
      <c r="N1504" s="10" t="s">
        <v>31</v>
      </c>
      <c r="Q1504"/>
    </row>
    <row r="1505" spans="1:17" x14ac:dyDescent="0.25">
      <c r="A1505" s="9" t="s">
        <v>2478</v>
      </c>
      <c r="B1505" s="2">
        <v>45426</v>
      </c>
      <c r="C1505" s="1" t="s">
        <v>1117</v>
      </c>
      <c r="D1505" s="1" t="s">
        <v>67</v>
      </c>
      <c r="E1505" s="1" t="s">
        <v>34</v>
      </c>
      <c r="F1505" s="1" t="s">
        <v>60</v>
      </c>
      <c r="G1505" s="1" t="s">
        <v>83</v>
      </c>
      <c r="H1505" s="1" t="s">
        <v>43</v>
      </c>
      <c r="I1505" s="1" t="s">
        <v>339</v>
      </c>
      <c r="J1505" s="1">
        <v>7</v>
      </c>
      <c r="K1505" s="3">
        <v>2242.35</v>
      </c>
      <c r="L1505" s="1">
        <v>20</v>
      </c>
      <c r="M1505" s="1" t="s">
        <v>63</v>
      </c>
      <c r="N1505" s="10" t="s">
        <v>45</v>
      </c>
      <c r="Q1505"/>
    </row>
    <row r="1506" spans="1:17" x14ac:dyDescent="0.25">
      <c r="A1506" s="9" t="s">
        <v>2479</v>
      </c>
      <c r="B1506" s="2">
        <v>45389</v>
      </c>
      <c r="C1506" s="1" t="s">
        <v>2480</v>
      </c>
      <c r="D1506" s="1" t="s">
        <v>147</v>
      </c>
      <c r="E1506" s="1" t="s">
        <v>41</v>
      </c>
      <c r="F1506" s="1" t="s">
        <v>28</v>
      </c>
      <c r="G1506" s="1" t="s">
        <v>42</v>
      </c>
      <c r="H1506" s="1" t="s">
        <v>61</v>
      </c>
      <c r="I1506" s="1" t="s">
        <v>440</v>
      </c>
      <c r="J1506" s="1">
        <v>5</v>
      </c>
      <c r="K1506" s="3">
        <v>16956.7</v>
      </c>
      <c r="L1506" s="1" t="s">
        <v>110</v>
      </c>
      <c r="M1506" s="1" t="s">
        <v>63</v>
      </c>
      <c r="N1506" s="10" t="s">
        <v>37</v>
      </c>
      <c r="Q1506"/>
    </row>
    <row r="1507" spans="1:17" x14ac:dyDescent="0.25">
      <c r="A1507" s="9" t="s">
        <v>2481</v>
      </c>
      <c r="B1507" s="2">
        <v>45391</v>
      </c>
      <c r="C1507" s="1" t="s">
        <v>2168</v>
      </c>
      <c r="D1507" s="1" t="s">
        <v>33</v>
      </c>
      <c r="E1507" s="1" t="s">
        <v>41</v>
      </c>
      <c r="F1507" s="1" t="s">
        <v>28</v>
      </c>
      <c r="G1507" s="1" t="s">
        <v>42</v>
      </c>
      <c r="H1507" s="1" t="s">
        <v>43</v>
      </c>
      <c r="I1507" s="1" t="s">
        <v>380</v>
      </c>
      <c r="J1507" s="1">
        <v>2</v>
      </c>
      <c r="K1507" s="3">
        <v>4484.17</v>
      </c>
      <c r="L1507" s="1">
        <v>5</v>
      </c>
      <c r="M1507" s="1" t="s">
        <v>69</v>
      </c>
      <c r="N1507" s="10" t="s">
        <v>23</v>
      </c>
      <c r="Q1507"/>
    </row>
    <row r="1508" spans="1:17" x14ac:dyDescent="0.25">
      <c r="A1508" s="9" t="s">
        <v>2482</v>
      </c>
      <c r="B1508" s="2">
        <v>45136</v>
      </c>
      <c r="C1508" s="1" t="s">
        <v>586</v>
      </c>
      <c r="D1508" s="1" t="s">
        <v>16</v>
      </c>
      <c r="E1508" s="1" t="s">
        <v>17</v>
      </c>
      <c r="F1508" s="1" t="s">
        <v>82</v>
      </c>
      <c r="G1508" s="1" t="s">
        <v>83</v>
      </c>
      <c r="H1508" s="1" t="s">
        <v>43</v>
      </c>
      <c r="I1508" s="1" t="s">
        <v>154</v>
      </c>
      <c r="J1508" s="1">
        <v>1</v>
      </c>
      <c r="K1508" s="3">
        <v>2358.38</v>
      </c>
      <c r="L1508" s="1">
        <v>0</v>
      </c>
      <c r="M1508" s="1" t="s">
        <v>69</v>
      </c>
      <c r="N1508" s="10" t="s">
        <v>45</v>
      </c>
      <c r="Q1508"/>
    </row>
    <row r="1509" spans="1:17" x14ac:dyDescent="0.25">
      <c r="A1509" s="9" t="s">
        <v>2483</v>
      </c>
      <c r="B1509" s="2">
        <v>44970</v>
      </c>
      <c r="C1509" s="1" t="s">
        <v>1069</v>
      </c>
      <c r="D1509" s="1" t="s">
        <v>40</v>
      </c>
      <c r="E1509" s="1" t="s">
        <v>34</v>
      </c>
      <c r="F1509" s="1" t="s">
        <v>99</v>
      </c>
      <c r="G1509" s="1" t="s">
        <v>19</v>
      </c>
      <c r="H1509" s="1" t="s">
        <v>29</v>
      </c>
      <c r="I1509" s="1" t="s">
        <v>135</v>
      </c>
      <c r="J1509" s="1">
        <v>9</v>
      </c>
      <c r="K1509" s="3">
        <v>5174.01</v>
      </c>
      <c r="L1509" s="1">
        <v>5</v>
      </c>
      <c r="M1509" s="1" t="s">
        <v>56</v>
      </c>
      <c r="N1509" s="10" t="s">
        <v>23</v>
      </c>
      <c r="Q1509"/>
    </row>
    <row r="1510" spans="1:17" x14ac:dyDescent="0.25">
      <c r="A1510" s="9" t="s">
        <v>2484</v>
      </c>
      <c r="B1510" s="2">
        <v>45524</v>
      </c>
      <c r="C1510" s="1" t="s">
        <v>1620</v>
      </c>
      <c r="D1510" s="1" t="s">
        <v>81</v>
      </c>
      <c r="E1510" s="1" t="s">
        <v>59</v>
      </c>
      <c r="F1510" s="1" t="s">
        <v>88</v>
      </c>
      <c r="G1510" s="1" t="s">
        <v>83</v>
      </c>
      <c r="H1510" s="1" t="s">
        <v>43</v>
      </c>
      <c r="I1510" s="1" t="s">
        <v>100</v>
      </c>
      <c r="J1510" s="1">
        <v>3</v>
      </c>
      <c r="K1510" s="3">
        <v>9214.56</v>
      </c>
      <c r="L1510" s="1">
        <v>0</v>
      </c>
      <c r="M1510" s="1" t="s">
        <v>22</v>
      </c>
      <c r="N1510" s="10" t="s">
        <v>37</v>
      </c>
      <c r="Q1510"/>
    </row>
    <row r="1511" spans="1:17" x14ac:dyDescent="0.25">
      <c r="A1511" s="9" t="s">
        <v>2485</v>
      </c>
      <c r="B1511" s="2">
        <v>45043</v>
      </c>
      <c r="C1511" s="1" t="s">
        <v>2486</v>
      </c>
      <c r="D1511" s="1" t="s">
        <v>67</v>
      </c>
      <c r="E1511" s="1" t="s">
        <v>17</v>
      </c>
      <c r="F1511" s="1" t="s">
        <v>82</v>
      </c>
      <c r="G1511" s="1" t="s">
        <v>19</v>
      </c>
      <c r="H1511" s="1" t="s">
        <v>29</v>
      </c>
      <c r="I1511" s="1" t="s">
        <v>148</v>
      </c>
      <c r="J1511" s="1">
        <v>8</v>
      </c>
      <c r="K1511" s="3">
        <v>17659.63</v>
      </c>
      <c r="L1511" s="1">
        <v>15</v>
      </c>
      <c r="M1511" s="1" t="s">
        <v>69</v>
      </c>
      <c r="N1511" s="10" t="s">
        <v>23</v>
      </c>
      <c r="Q1511"/>
    </row>
    <row r="1512" spans="1:17" x14ac:dyDescent="0.25">
      <c r="A1512" s="9" t="s">
        <v>2487</v>
      </c>
      <c r="B1512" s="2">
        <v>44997</v>
      </c>
      <c r="C1512" s="1" t="s">
        <v>2488</v>
      </c>
      <c r="D1512" s="1" t="s">
        <v>67</v>
      </c>
      <c r="E1512" s="1" t="s">
        <v>27</v>
      </c>
      <c r="F1512" s="1" t="s">
        <v>60</v>
      </c>
      <c r="G1512" s="1" t="s">
        <v>42</v>
      </c>
      <c r="H1512" s="1" t="s">
        <v>61</v>
      </c>
      <c r="I1512" s="1" t="s">
        <v>151</v>
      </c>
      <c r="J1512" s="1">
        <v>6</v>
      </c>
      <c r="K1512" s="3">
        <v>25626.1</v>
      </c>
      <c r="L1512" s="1">
        <v>15</v>
      </c>
      <c r="M1512" s="1" t="s">
        <v>69</v>
      </c>
      <c r="N1512" s="10" t="s">
        <v>31</v>
      </c>
      <c r="Q1512"/>
    </row>
    <row r="1513" spans="1:17" x14ac:dyDescent="0.25">
      <c r="A1513" s="9" t="s">
        <v>2489</v>
      </c>
      <c r="B1513" s="2">
        <v>45312</v>
      </c>
      <c r="C1513" s="1" t="s">
        <v>284</v>
      </c>
      <c r="D1513" s="1" t="s">
        <v>52</v>
      </c>
      <c r="E1513" s="1" t="s">
        <v>72</v>
      </c>
      <c r="F1513" s="1" t="s">
        <v>88</v>
      </c>
      <c r="G1513" s="1" t="s">
        <v>19</v>
      </c>
      <c r="H1513" s="1" t="s">
        <v>29</v>
      </c>
      <c r="I1513" s="1" t="s">
        <v>424</v>
      </c>
      <c r="J1513" s="1">
        <v>3</v>
      </c>
      <c r="K1513" s="3">
        <v>8680.24</v>
      </c>
      <c r="L1513" s="1">
        <v>10</v>
      </c>
      <c r="M1513" s="1" t="s">
        <v>69</v>
      </c>
      <c r="N1513" s="10" t="s">
        <v>64</v>
      </c>
      <c r="Q1513"/>
    </row>
    <row r="1514" spans="1:17" x14ac:dyDescent="0.25">
      <c r="A1514" s="9" t="s">
        <v>2490</v>
      </c>
      <c r="B1514" s="2">
        <v>45593</v>
      </c>
      <c r="C1514" s="1" t="s">
        <v>501</v>
      </c>
      <c r="D1514" s="1" t="s">
        <v>40</v>
      </c>
      <c r="E1514" s="1" t="s">
        <v>59</v>
      </c>
      <c r="F1514" s="1" t="s">
        <v>99</v>
      </c>
      <c r="G1514" s="1" t="s">
        <v>42</v>
      </c>
      <c r="H1514" s="1" t="s">
        <v>61</v>
      </c>
      <c r="I1514" s="1" t="s">
        <v>185</v>
      </c>
      <c r="J1514" s="1">
        <v>8</v>
      </c>
      <c r="K1514" s="3">
        <v>17156.310000000001</v>
      </c>
      <c r="L1514" s="1">
        <v>10</v>
      </c>
      <c r="M1514" s="1" t="s">
        <v>36</v>
      </c>
      <c r="N1514" s="10" t="s">
        <v>37</v>
      </c>
      <c r="Q1514"/>
    </row>
    <row r="1515" spans="1:17" x14ac:dyDescent="0.25">
      <c r="A1515" s="9" t="s">
        <v>2491</v>
      </c>
      <c r="B1515" s="2">
        <v>45285</v>
      </c>
      <c r="C1515" s="1" t="s">
        <v>2492</v>
      </c>
      <c r="D1515" s="1" t="s">
        <v>67</v>
      </c>
      <c r="E1515" s="1" t="s">
        <v>72</v>
      </c>
      <c r="F1515" s="1" t="s">
        <v>60</v>
      </c>
      <c r="G1515" s="1" t="s">
        <v>83</v>
      </c>
      <c r="H1515" s="1" t="s">
        <v>43</v>
      </c>
      <c r="I1515" s="1" t="s">
        <v>336</v>
      </c>
      <c r="J1515" s="1">
        <v>6</v>
      </c>
      <c r="K1515" s="3">
        <v>26848.55</v>
      </c>
      <c r="L1515" s="1">
        <v>20</v>
      </c>
      <c r="M1515" s="1" t="s">
        <v>63</v>
      </c>
      <c r="N1515" s="10" t="s">
        <v>74</v>
      </c>
      <c r="Q1515"/>
    </row>
    <row r="1516" spans="1:17" x14ac:dyDescent="0.25">
      <c r="A1516" s="9" t="s">
        <v>2493</v>
      </c>
      <c r="B1516" s="2">
        <v>45022</v>
      </c>
      <c r="C1516" s="1" t="s">
        <v>1881</v>
      </c>
      <c r="D1516" s="1" t="s">
        <v>147</v>
      </c>
      <c r="E1516" s="1" t="s">
        <v>72</v>
      </c>
      <c r="F1516" s="1" t="s">
        <v>60</v>
      </c>
      <c r="G1516" s="1" t="s">
        <v>83</v>
      </c>
      <c r="H1516" s="1" t="s">
        <v>43</v>
      </c>
      <c r="I1516" s="1" t="s">
        <v>100</v>
      </c>
      <c r="J1516" s="1">
        <v>4</v>
      </c>
      <c r="K1516" s="3">
        <v>5155.83</v>
      </c>
      <c r="L1516" s="1">
        <v>0</v>
      </c>
      <c r="M1516" s="1" t="s">
        <v>36</v>
      </c>
      <c r="N1516" s="10" t="s">
        <v>31</v>
      </c>
      <c r="Q1516"/>
    </row>
    <row r="1517" spans="1:17" x14ac:dyDescent="0.25">
      <c r="A1517" s="9" t="s">
        <v>2494</v>
      </c>
      <c r="B1517" s="2">
        <v>45168</v>
      </c>
      <c r="C1517" s="1" t="s">
        <v>947</v>
      </c>
      <c r="D1517" s="1" t="s">
        <v>71</v>
      </c>
      <c r="E1517" s="1" t="s">
        <v>72</v>
      </c>
      <c r="F1517" s="1" t="s">
        <v>99</v>
      </c>
      <c r="G1517" s="1" t="s">
        <v>83</v>
      </c>
      <c r="H1517" s="1" t="s">
        <v>43</v>
      </c>
      <c r="I1517" s="1" t="s">
        <v>258</v>
      </c>
      <c r="J1517" s="1">
        <v>4</v>
      </c>
      <c r="K1517" s="3">
        <v>8731.61</v>
      </c>
      <c r="L1517" s="1">
        <v>0</v>
      </c>
      <c r="M1517" s="1" t="s">
        <v>93</v>
      </c>
      <c r="N1517" s="10" t="s">
        <v>23</v>
      </c>
      <c r="Q1517"/>
    </row>
    <row r="1518" spans="1:17" x14ac:dyDescent="0.25">
      <c r="A1518" s="9" t="s">
        <v>2495</v>
      </c>
      <c r="B1518" s="2">
        <v>45108</v>
      </c>
      <c r="C1518" s="1" t="s">
        <v>2496</v>
      </c>
      <c r="D1518" s="1" t="s">
        <v>40</v>
      </c>
      <c r="E1518" s="1" t="s">
        <v>17</v>
      </c>
      <c r="F1518" s="1" t="s">
        <v>18</v>
      </c>
      <c r="G1518" s="1" t="s">
        <v>19</v>
      </c>
      <c r="H1518" s="1" t="s">
        <v>20</v>
      </c>
      <c r="I1518" s="1" t="s">
        <v>421</v>
      </c>
      <c r="J1518" s="1">
        <v>9</v>
      </c>
      <c r="K1518" s="3">
        <v>41582.31</v>
      </c>
      <c r="L1518" s="1">
        <v>5</v>
      </c>
      <c r="M1518" s="1" t="s">
        <v>93</v>
      </c>
      <c r="N1518" s="10" t="s">
        <v>74</v>
      </c>
      <c r="Q1518"/>
    </row>
    <row r="1519" spans="1:17" x14ac:dyDescent="0.25">
      <c r="A1519" s="9" t="s">
        <v>2497</v>
      </c>
      <c r="B1519" s="2">
        <v>45087</v>
      </c>
      <c r="C1519" s="1" t="s">
        <v>765</v>
      </c>
      <c r="D1519" s="1" t="s">
        <v>87</v>
      </c>
      <c r="E1519" s="1" t="s">
        <v>59</v>
      </c>
      <c r="F1519" s="1" t="s">
        <v>18</v>
      </c>
      <c r="G1519" s="1" t="s">
        <v>19</v>
      </c>
      <c r="H1519" s="1" t="s">
        <v>29</v>
      </c>
      <c r="I1519" s="1" t="s">
        <v>220</v>
      </c>
      <c r="J1519" s="1">
        <v>6</v>
      </c>
      <c r="K1519" s="3">
        <v>16814.79</v>
      </c>
      <c r="L1519" s="1">
        <v>15</v>
      </c>
      <c r="M1519" s="1" t="s">
        <v>93</v>
      </c>
      <c r="N1519" s="10" t="s">
        <v>74</v>
      </c>
      <c r="Q1519"/>
    </row>
    <row r="1520" spans="1:17" x14ac:dyDescent="0.25">
      <c r="A1520" s="9" t="s">
        <v>2498</v>
      </c>
      <c r="B1520" s="2">
        <v>45343</v>
      </c>
      <c r="C1520" s="1" t="s">
        <v>517</v>
      </c>
      <c r="D1520" s="1" t="s">
        <v>33</v>
      </c>
      <c r="E1520" s="1" t="s">
        <v>34</v>
      </c>
      <c r="F1520" s="1" t="s">
        <v>28</v>
      </c>
      <c r="G1520" s="1" t="s">
        <v>53</v>
      </c>
      <c r="H1520" s="1" t="s">
        <v>54</v>
      </c>
      <c r="I1520" s="1" t="s">
        <v>413</v>
      </c>
      <c r="J1520" s="1">
        <v>6</v>
      </c>
      <c r="K1520" s="3">
        <v>17475.46</v>
      </c>
      <c r="L1520" s="1">
        <v>5</v>
      </c>
      <c r="M1520" s="1" t="s">
        <v>63</v>
      </c>
      <c r="N1520" s="10" t="s">
        <v>23</v>
      </c>
      <c r="Q1520"/>
    </row>
    <row r="1521" spans="1:17" x14ac:dyDescent="0.25">
      <c r="A1521" s="9" t="s">
        <v>2499</v>
      </c>
      <c r="B1521" s="2">
        <v>45543</v>
      </c>
      <c r="C1521" s="1" t="s">
        <v>2454</v>
      </c>
      <c r="D1521" s="1" t="s">
        <v>147</v>
      </c>
      <c r="E1521" s="1" t="s">
        <v>17</v>
      </c>
      <c r="F1521" s="1" t="s">
        <v>99</v>
      </c>
      <c r="G1521" s="1" t="s">
        <v>53</v>
      </c>
      <c r="H1521" s="1" t="s">
        <v>54</v>
      </c>
      <c r="I1521" s="1" t="s">
        <v>132</v>
      </c>
      <c r="J1521" s="1">
        <v>10</v>
      </c>
      <c r="K1521" s="3">
        <v>38154.550000000003</v>
      </c>
      <c r="L1521" s="1">
        <v>20</v>
      </c>
      <c r="M1521" s="1" t="s">
        <v>36</v>
      </c>
      <c r="N1521" s="10" t="s">
        <v>37</v>
      </c>
      <c r="Q1521"/>
    </row>
    <row r="1522" spans="1:17" x14ac:dyDescent="0.25">
      <c r="A1522" s="9" t="s">
        <v>2500</v>
      </c>
      <c r="B1522" s="2">
        <v>45638</v>
      </c>
      <c r="C1522" s="1" t="s">
        <v>767</v>
      </c>
      <c r="D1522" s="1" t="s">
        <v>147</v>
      </c>
      <c r="E1522" s="1" t="s">
        <v>59</v>
      </c>
      <c r="F1522" s="1" t="s">
        <v>28</v>
      </c>
      <c r="G1522" s="1" t="s">
        <v>83</v>
      </c>
      <c r="H1522" s="1" t="s">
        <v>43</v>
      </c>
      <c r="I1522" s="1" t="s">
        <v>566</v>
      </c>
      <c r="J1522" s="1">
        <v>7</v>
      </c>
      <c r="K1522" s="3">
        <v>12063.6</v>
      </c>
      <c r="L1522" s="1">
        <v>5</v>
      </c>
      <c r="M1522" s="1" t="s">
        <v>22</v>
      </c>
      <c r="N1522" s="10" t="s">
        <v>74</v>
      </c>
      <c r="Q1522"/>
    </row>
    <row r="1523" spans="1:17" x14ac:dyDescent="0.25">
      <c r="A1523" s="9" t="s">
        <v>2501</v>
      </c>
      <c r="B1523" s="2">
        <v>45164</v>
      </c>
      <c r="C1523" s="1" t="s">
        <v>2502</v>
      </c>
      <c r="D1523" s="1" t="s">
        <v>40</v>
      </c>
      <c r="E1523" s="1" t="s">
        <v>34</v>
      </c>
      <c r="F1523" s="1" t="s">
        <v>60</v>
      </c>
      <c r="G1523" s="1" t="s">
        <v>83</v>
      </c>
      <c r="H1523" s="1" t="s">
        <v>43</v>
      </c>
      <c r="I1523" s="1" t="s">
        <v>89</v>
      </c>
      <c r="J1523" s="1">
        <v>10</v>
      </c>
      <c r="K1523" s="3">
        <v>8560.68</v>
      </c>
      <c r="L1523" s="1">
        <v>15</v>
      </c>
      <c r="M1523" s="1" t="s">
        <v>36</v>
      </c>
      <c r="N1523" s="10" t="s">
        <v>37</v>
      </c>
      <c r="Q1523"/>
    </row>
    <row r="1524" spans="1:17" x14ac:dyDescent="0.25">
      <c r="A1524" s="9" t="s">
        <v>2503</v>
      </c>
      <c r="B1524" s="2">
        <v>45466</v>
      </c>
      <c r="C1524" s="1" t="s">
        <v>1434</v>
      </c>
      <c r="D1524" s="1" t="s">
        <v>71</v>
      </c>
      <c r="E1524" s="1" t="s">
        <v>59</v>
      </c>
      <c r="F1524" s="1" t="s">
        <v>60</v>
      </c>
      <c r="G1524" s="1" t="s">
        <v>42</v>
      </c>
      <c r="H1524" s="1" t="s">
        <v>43</v>
      </c>
      <c r="I1524" s="1" t="s">
        <v>157</v>
      </c>
      <c r="J1524" s="1">
        <v>3</v>
      </c>
      <c r="K1524" s="3">
        <v>13590.04</v>
      </c>
      <c r="L1524" s="1">
        <v>0</v>
      </c>
      <c r="M1524" s="1" t="s">
        <v>22</v>
      </c>
      <c r="N1524" s="10" t="s">
        <v>37</v>
      </c>
      <c r="Q1524"/>
    </row>
    <row r="1525" spans="1:17" x14ac:dyDescent="0.25">
      <c r="A1525" s="9" t="s">
        <v>2504</v>
      </c>
      <c r="B1525" s="2">
        <v>45425</v>
      </c>
      <c r="C1525" s="1" t="s">
        <v>338</v>
      </c>
      <c r="D1525" s="1" t="s">
        <v>436</v>
      </c>
      <c r="E1525" s="1" t="s">
        <v>72</v>
      </c>
      <c r="F1525" s="1" t="s">
        <v>18</v>
      </c>
      <c r="G1525" s="1" t="s">
        <v>42</v>
      </c>
      <c r="H1525" s="1" t="s">
        <v>43</v>
      </c>
      <c r="I1525" s="1" t="s">
        <v>182</v>
      </c>
      <c r="J1525" s="1">
        <v>5</v>
      </c>
      <c r="K1525" s="3">
        <v>6670.27</v>
      </c>
      <c r="L1525" s="1">
        <v>10</v>
      </c>
      <c r="M1525" s="1" t="s">
        <v>63</v>
      </c>
      <c r="N1525" s="10" t="s">
        <v>31</v>
      </c>
      <c r="Q1525"/>
    </row>
    <row r="1526" spans="1:17" x14ac:dyDescent="0.25">
      <c r="A1526" s="9" t="s">
        <v>2505</v>
      </c>
      <c r="B1526" s="2">
        <v>44979</v>
      </c>
      <c r="C1526" s="1" t="s">
        <v>2347</v>
      </c>
      <c r="D1526" s="1" t="s">
        <v>33</v>
      </c>
      <c r="E1526" s="1" t="s">
        <v>72</v>
      </c>
      <c r="F1526" s="1" t="s">
        <v>28</v>
      </c>
      <c r="G1526" s="1" t="s">
        <v>42</v>
      </c>
      <c r="H1526" s="1" t="s">
        <v>61</v>
      </c>
      <c r="I1526" s="1" t="s">
        <v>234</v>
      </c>
      <c r="J1526" s="1">
        <v>3</v>
      </c>
      <c r="K1526" s="3">
        <v>9704.93</v>
      </c>
      <c r="L1526" s="1">
        <v>20</v>
      </c>
      <c r="M1526" s="1" t="s">
        <v>36</v>
      </c>
      <c r="N1526" s="10" t="s">
        <v>45</v>
      </c>
      <c r="Q1526"/>
    </row>
    <row r="1527" spans="1:17" x14ac:dyDescent="0.25">
      <c r="A1527" s="9" t="s">
        <v>2506</v>
      </c>
      <c r="B1527" s="2">
        <v>45602</v>
      </c>
      <c r="C1527" s="1" t="s">
        <v>965</v>
      </c>
      <c r="D1527" s="1" t="s">
        <v>147</v>
      </c>
      <c r="E1527" s="1" t="s">
        <v>72</v>
      </c>
      <c r="F1527" s="1" t="s">
        <v>82</v>
      </c>
      <c r="G1527" s="1" t="s">
        <v>42</v>
      </c>
      <c r="H1527" s="1" t="s">
        <v>61</v>
      </c>
      <c r="I1527" s="1" t="s">
        <v>402</v>
      </c>
      <c r="J1527" s="1">
        <v>6</v>
      </c>
      <c r="K1527" s="3">
        <v>18557.36</v>
      </c>
      <c r="L1527" s="1">
        <v>0</v>
      </c>
      <c r="M1527" s="1" t="s">
        <v>56</v>
      </c>
      <c r="N1527" s="10" t="s">
        <v>23</v>
      </c>
      <c r="Q1527"/>
    </row>
    <row r="1528" spans="1:17" x14ac:dyDescent="0.25">
      <c r="A1528" s="9" t="s">
        <v>2507</v>
      </c>
      <c r="B1528" s="2">
        <v>45641</v>
      </c>
      <c r="C1528" s="1" t="s">
        <v>352</v>
      </c>
      <c r="D1528" s="1" t="s">
        <v>147</v>
      </c>
      <c r="E1528" s="1" t="s">
        <v>72</v>
      </c>
      <c r="F1528" s="1" t="s">
        <v>99</v>
      </c>
      <c r="G1528" s="1" t="s">
        <v>19</v>
      </c>
      <c r="H1528" s="1" t="s">
        <v>20</v>
      </c>
      <c r="I1528" s="1" t="s">
        <v>583</v>
      </c>
      <c r="J1528" s="1">
        <v>7</v>
      </c>
      <c r="K1528" s="3">
        <v>16713.54</v>
      </c>
      <c r="L1528" s="1" t="s">
        <v>110</v>
      </c>
      <c r="M1528" s="1" t="s">
        <v>22</v>
      </c>
      <c r="N1528" s="10" t="s">
        <v>37</v>
      </c>
      <c r="Q1528"/>
    </row>
    <row r="1529" spans="1:17" x14ac:dyDescent="0.25">
      <c r="A1529" s="9" t="s">
        <v>2508</v>
      </c>
      <c r="B1529" s="2">
        <v>45597</v>
      </c>
      <c r="C1529" s="1" t="s">
        <v>1158</v>
      </c>
      <c r="D1529" s="1" t="s">
        <v>16</v>
      </c>
      <c r="E1529" s="1" t="s">
        <v>41</v>
      </c>
      <c r="F1529" s="1" t="s">
        <v>99</v>
      </c>
      <c r="G1529" s="1" t="s">
        <v>53</v>
      </c>
      <c r="H1529" s="1" t="s">
        <v>54</v>
      </c>
      <c r="I1529" s="1" t="s">
        <v>1053</v>
      </c>
      <c r="J1529" s="1">
        <v>9</v>
      </c>
      <c r="K1529" s="3">
        <v>24895.31</v>
      </c>
      <c r="L1529" s="1" t="s">
        <v>110</v>
      </c>
      <c r="M1529" s="1" t="s">
        <v>22</v>
      </c>
      <c r="N1529" s="10" t="s">
        <v>64</v>
      </c>
      <c r="Q1529"/>
    </row>
    <row r="1530" spans="1:17" x14ac:dyDescent="0.25">
      <c r="A1530" s="9" t="s">
        <v>2509</v>
      </c>
      <c r="B1530" s="2">
        <v>45159</v>
      </c>
      <c r="C1530" s="1" t="s">
        <v>2124</v>
      </c>
      <c r="D1530" s="1" t="s">
        <v>52</v>
      </c>
      <c r="E1530" s="1" t="s">
        <v>34</v>
      </c>
      <c r="F1530" s="1" t="s">
        <v>88</v>
      </c>
      <c r="G1530" s="1" t="s">
        <v>53</v>
      </c>
      <c r="H1530" s="1" t="s">
        <v>54</v>
      </c>
      <c r="I1530" s="1" t="s">
        <v>1066</v>
      </c>
      <c r="J1530" s="1">
        <v>1</v>
      </c>
      <c r="K1530" s="3">
        <v>2257.9299999999998</v>
      </c>
      <c r="L1530" s="1">
        <v>15</v>
      </c>
      <c r="M1530" s="1" t="s">
        <v>63</v>
      </c>
      <c r="N1530" s="10" t="s">
        <v>45</v>
      </c>
      <c r="Q1530"/>
    </row>
    <row r="1531" spans="1:17" x14ac:dyDescent="0.25">
      <c r="A1531" s="9" t="s">
        <v>2510</v>
      </c>
      <c r="B1531" s="2">
        <v>44935</v>
      </c>
      <c r="C1531" s="1" t="s">
        <v>1398</v>
      </c>
      <c r="D1531" s="1" t="s">
        <v>67</v>
      </c>
      <c r="E1531" s="1" t="s">
        <v>59</v>
      </c>
      <c r="F1531" s="1" t="s">
        <v>60</v>
      </c>
      <c r="G1531" s="1" t="s">
        <v>42</v>
      </c>
      <c r="H1531" s="1" t="s">
        <v>43</v>
      </c>
      <c r="I1531" s="1" t="s">
        <v>154</v>
      </c>
      <c r="J1531" s="1">
        <v>7</v>
      </c>
      <c r="K1531" s="3">
        <v>17810.09</v>
      </c>
      <c r="L1531" s="1">
        <v>0</v>
      </c>
      <c r="M1531" s="1" t="s">
        <v>69</v>
      </c>
      <c r="N1531" s="10" t="s">
        <v>45</v>
      </c>
      <c r="Q1531"/>
    </row>
    <row r="1532" spans="1:17" x14ac:dyDescent="0.25">
      <c r="A1532" s="9" t="s">
        <v>2511</v>
      </c>
      <c r="B1532" s="2">
        <v>45453</v>
      </c>
      <c r="C1532" s="1" t="s">
        <v>751</v>
      </c>
      <c r="D1532" s="1" t="s">
        <v>87</v>
      </c>
      <c r="E1532" s="1" t="s">
        <v>17</v>
      </c>
      <c r="F1532" s="1" t="s">
        <v>99</v>
      </c>
      <c r="G1532" s="1" t="s">
        <v>42</v>
      </c>
      <c r="H1532" s="1" t="s">
        <v>43</v>
      </c>
      <c r="I1532" s="1" t="s">
        <v>652</v>
      </c>
      <c r="J1532" s="1">
        <v>4</v>
      </c>
      <c r="K1532" s="3">
        <v>7530.07</v>
      </c>
      <c r="L1532" s="1">
        <v>15</v>
      </c>
      <c r="M1532" s="1" t="s">
        <v>93</v>
      </c>
      <c r="N1532" s="10" t="s">
        <v>37</v>
      </c>
      <c r="Q1532"/>
    </row>
    <row r="1533" spans="1:17" x14ac:dyDescent="0.25">
      <c r="A1533" s="9" t="s">
        <v>2512</v>
      </c>
      <c r="B1533" s="2">
        <v>44952</v>
      </c>
      <c r="C1533" s="1" t="s">
        <v>2513</v>
      </c>
      <c r="D1533" s="1" t="s">
        <v>16</v>
      </c>
      <c r="E1533" s="1" t="s">
        <v>34</v>
      </c>
      <c r="F1533" s="1" t="s">
        <v>60</v>
      </c>
      <c r="G1533" s="1" t="s">
        <v>53</v>
      </c>
      <c r="H1533" s="1" t="s">
        <v>54</v>
      </c>
      <c r="I1533" s="1" t="s">
        <v>121</v>
      </c>
      <c r="J1533" s="1">
        <v>9</v>
      </c>
      <c r="K1533" s="3">
        <v>4942.97</v>
      </c>
      <c r="L1533" s="1">
        <v>15</v>
      </c>
      <c r="M1533" s="1" t="s">
        <v>36</v>
      </c>
      <c r="N1533" s="10" t="s">
        <v>23</v>
      </c>
      <c r="Q1533"/>
    </row>
    <row r="1534" spans="1:17" x14ac:dyDescent="0.25">
      <c r="A1534" s="9" t="s">
        <v>2514</v>
      </c>
      <c r="B1534" s="2">
        <v>45138</v>
      </c>
      <c r="C1534" s="1" t="s">
        <v>159</v>
      </c>
      <c r="D1534" s="1" t="s">
        <v>52</v>
      </c>
      <c r="E1534" s="1" t="s">
        <v>34</v>
      </c>
      <c r="F1534" s="1" t="s">
        <v>88</v>
      </c>
      <c r="G1534" s="1" t="s">
        <v>19</v>
      </c>
      <c r="H1534" s="1" t="s">
        <v>20</v>
      </c>
      <c r="I1534" s="1" t="s">
        <v>138</v>
      </c>
      <c r="J1534" s="1">
        <v>5</v>
      </c>
      <c r="K1534" s="3">
        <v>16079.96</v>
      </c>
      <c r="L1534" s="1">
        <v>5</v>
      </c>
      <c r="M1534" s="1" t="s">
        <v>22</v>
      </c>
      <c r="N1534" s="10" t="s">
        <v>31</v>
      </c>
      <c r="Q1534"/>
    </row>
    <row r="1535" spans="1:17" x14ac:dyDescent="0.25">
      <c r="A1535" s="9" t="s">
        <v>2515</v>
      </c>
      <c r="B1535" s="2">
        <v>45493</v>
      </c>
      <c r="C1535" s="1" t="s">
        <v>304</v>
      </c>
      <c r="D1535" s="1" t="s">
        <v>52</v>
      </c>
      <c r="E1535" s="1" t="s">
        <v>17</v>
      </c>
      <c r="F1535" s="1" t="s">
        <v>88</v>
      </c>
      <c r="G1535" s="1" t="s">
        <v>19</v>
      </c>
      <c r="H1535" s="1" t="s">
        <v>20</v>
      </c>
      <c r="I1535" s="1" t="s">
        <v>801</v>
      </c>
      <c r="J1535" s="1">
        <v>1</v>
      </c>
      <c r="K1535" s="3">
        <v>3895.02</v>
      </c>
      <c r="L1535" s="1" t="s">
        <v>110</v>
      </c>
      <c r="M1535" s="1" t="s">
        <v>93</v>
      </c>
      <c r="N1535" s="10" t="s">
        <v>23</v>
      </c>
      <c r="Q1535"/>
    </row>
    <row r="1536" spans="1:17" x14ac:dyDescent="0.25">
      <c r="A1536" s="9" t="s">
        <v>2516</v>
      </c>
      <c r="B1536" s="2">
        <v>45195</v>
      </c>
      <c r="C1536" s="1" t="s">
        <v>1163</v>
      </c>
      <c r="D1536" s="1" t="s">
        <v>52</v>
      </c>
      <c r="E1536" s="1" t="s">
        <v>17</v>
      </c>
      <c r="F1536" s="1" t="s">
        <v>28</v>
      </c>
      <c r="G1536" s="1" t="s">
        <v>42</v>
      </c>
      <c r="H1536" s="1" t="s">
        <v>43</v>
      </c>
      <c r="I1536" s="1" t="s">
        <v>339</v>
      </c>
      <c r="J1536" s="1">
        <v>8</v>
      </c>
      <c r="K1536" s="3">
        <v>34683.769999999997</v>
      </c>
      <c r="L1536" s="1">
        <v>20</v>
      </c>
      <c r="M1536" s="1" t="s">
        <v>22</v>
      </c>
      <c r="N1536" s="10" t="s">
        <v>37</v>
      </c>
      <c r="Q1536"/>
    </row>
    <row r="1537" spans="1:17" x14ac:dyDescent="0.25">
      <c r="A1537" s="9" t="s">
        <v>2517</v>
      </c>
      <c r="B1537" s="2">
        <v>44948</v>
      </c>
      <c r="C1537" s="1" t="s">
        <v>91</v>
      </c>
      <c r="D1537" s="1" t="s">
        <v>378</v>
      </c>
      <c r="E1537" s="1" t="s">
        <v>72</v>
      </c>
      <c r="F1537" s="1" t="s">
        <v>60</v>
      </c>
      <c r="G1537" s="1" t="s">
        <v>83</v>
      </c>
      <c r="H1537" s="1" t="s">
        <v>43</v>
      </c>
      <c r="I1537" s="1" t="s">
        <v>44</v>
      </c>
      <c r="J1537" s="1">
        <v>2</v>
      </c>
      <c r="K1537" s="3">
        <v>2307.66</v>
      </c>
      <c r="L1537" s="1">
        <v>15</v>
      </c>
      <c r="M1537" s="1" t="s">
        <v>69</v>
      </c>
      <c r="N1537" s="10" t="s">
        <v>37</v>
      </c>
      <c r="Q1537"/>
    </row>
    <row r="1538" spans="1:17" x14ac:dyDescent="0.25">
      <c r="A1538" s="9" t="s">
        <v>2518</v>
      </c>
      <c r="B1538" s="2">
        <v>45530</v>
      </c>
      <c r="C1538" s="1" t="s">
        <v>823</v>
      </c>
      <c r="D1538" s="1" t="s">
        <v>52</v>
      </c>
      <c r="E1538" s="1" t="s">
        <v>34</v>
      </c>
      <c r="F1538" s="1" t="s">
        <v>18</v>
      </c>
      <c r="G1538" s="1" t="s">
        <v>42</v>
      </c>
      <c r="H1538" s="1" t="s">
        <v>61</v>
      </c>
      <c r="I1538" s="1" t="s">
        <v>357</v>
      </c>
      <c r="J1538" s="1">
        <v>9</v>
      </c>
      <c r="K1538" s="3">
        <v>4715.1099999999997</v>
      </c>
      <c r="L1538" s="1">
        <v>15</v>
      </c>
      <c r="M1538" s="1" t="s">
        <v>69</v>
      </c>
      <c r="N1538" s="10" t="s">
        <v>31</v>
      </c>
      <c r="Q1538"/>
    </row>
    <row r="1539" spans="1:17" x14ac:dyDescent="0.25">
      <c r="A1539" s="9" t="s">
        <v>2519</v>
      </c>
      <c r="B1539" s="2">
        <v>45407</v>
      </c>
      <c r="C1539" s="1" t="s">
        <v>1697</v>
      </c>
      <c r="D1539" s="1" t="s">
        <v>40</v>
      </c>
      <c r="E1539" s="1" t="s">
        <v>41</v>
      </c>
      <c r="F1539" s="1" t="s">
        <v>99</v>
      </c>
      <c r="G1539" s="1" t="s">
        <v>19</v>
      </c>
      <c r="H1539" s="1" t="s">
        <v>20</v>
      </c>
      <c r="I1539" s="1" t="s">
        <v>261</v>
      </c>
      <c r="J1539" s="1">
        <v>6</v>
      </c>
      <c r="K1539" s="3">
        <v>10201.36</v>
      </c>
      <c r="L1539" s="1">
        <v>0</v>
      </c>
      <c r="M1539" s="1" t="s">
        <v>56</v>
      </c>
      <c r="N1539" s="10" t="s">
        <v>37</v>
      </c>
      <c r="Q1539"/>
    </row>
    <row r="1540" spans="1:17" x14ac:dyDescent="0.25">
      <c r="A1540" s="9" t="s">
        <v>2520</v>
      </c>
      <c r="B1540" s="2">
        <v>45646</v>
      </c>
      <c r="C1540" s="1" t="s">
        <v>1396</v>
      </c>
      <c r="D1540" s="1" t="s">
        <v>33</v>
      </c>
      <c r="E1540" s="1" t="s">
        <v>34</v>
      </c>
      <c r="F1540" s="1" t="s">
        <v>88</v>
      </c>
      <c r="G1540" s="1" t="s">
        <v>42</v>
      </c>
      <c r="H1540" s="1" t="s">
        <v>61</v>
      </c>
      <c r="I1540" s="1" t="s">
        <v>833</v>
      </c>
      <c r="J1540" s="1">
        <v>1</v>
      </c>
      <c r="K1540" s="3">
        <v>1536.86</v>
      </c>
      <c r="L1540" s="1" t="s">
        <v>110</v>
      </c>
      <c r="M1540" s="1" t="s">
        <v>36</v>
      </c>
      <c r="N1540" s="10" t="s">
        <v>64</v>
      </c>
      <c r="Q1540"/>
    </row>
    <row r="1541" spans="1:17" x14ac:dyDescent="0.25">
      <c r="A1541" s="9" t="s">
        <v>2521</v>
      </c>
      <c r="B1541" s="2">
        <v>45631</v>
      </c>
      <c r="C1541" s="1" t="s">
        <v>1709</v>
      </c>
      <c r="D1541" s="1" t="s">
        <v>40</v>
      </c>
      <c r="E1541" s="1" t="s">
        <v>41</v>
      </c>
      <c r="F1541" s="1" t="s">
        <v>60</v>
      </c>
      <c r="G1541" s="1" t="s">
        <v>42</v>
      </c>
      <c r="H1541" s="1" t="s">
        <v>61</v>
      </c>
      <c r="I1541" s="1" t="s">
        <v>1020</v>
      </c>
      <c r="J1541" s="1">
        <v>8</v>
      </c>
      <c r="K1541" s="3">
        <v>10411.69</v>
      </c>
      <c r="L1541" s="1" t="s">
        <v>110</v>
      </c>
      <c r="M1541" s="1" t="s">
        <v>63</v>
      </c>
      <c r="N1541" s="10" t="s">
        <v>31</v>
      </c>
      <c r="Q1541"/>
    </row>
    <row r="1542" spans="1:17" x14ac:dyDescent="0.25">
      <c r="A1542" s="9" t="s">
        <v>2522</v>
      </c>
      <c r="B1542" s="2">
        <v>44968</v>
      </c>
      <c r="C1542" s="1" t="s">
        <v>701</v>
      </c>
      <c r="D1542" s="1" t="s">
        <v>81</v>
      </c>
      <c r="E1542" s="1" t="s">
        <v>34</v>
      </c>
      <c r="F1542" s="1" t="s">
        <v>18</v>
      </c>
      <c r="G1542" s="1" t="s">
        <v>42</v>
      </c>
      <c r="H1542" s="1" t="s">
        <v>43</v>
      </c>
      <c r="I1542" s="1" t="s">
        <v>652</v>
      </c>
      <c r="J1542" s="1">
        <v>6</v>
      </c>
      <c r="K1542" s="3">
        <v>16828.93</v>
      </c>
      <c r="L1542" s="1">
        <v>0</v>
      </c>
      <c r="M1542" s="1" t="s">
        <v>93</v>
      </c>
      <c r="N1542" s="10" t="s">
        <v>37</v>
      </c>
      <c r="Q1542"/>
    </row>
    <row r="1543" spans="1:17" x14ac:dyDescent="0.25">
      <c r="A1543" s="9" t="s">
        <v>2523</v>
      </c>
      <c r="B1543" s="2">
        <v>45448</v>
      </c>
      <c r="C1543" s="1" t="s">
        <v>2524</v>
      </c>
      <c r="D1543" s="1" t="s">
        <v>81</v>
      </c>
      <c r="E1543" s="1" t="s">
        <v>72</v>
      </c>
      <c r="F1543" s="1" t="s">
        <v>82</v>
      </c>
      <c r="G1543" s="1" t="s">
        <v>83</v>
      </c>
      <c r="H1543" s="1" t="s">
        <v>43</v>
      </c>
      <c r="I1543" s="1" t="s">
        <v>84</v>
      </c>
      <c r="J1543" s="1">
        <v>9</v>
      </c>
      <c r="K1543" s="3">
        <v>16457.7</v>
      </c>
      <c r="L1543" s="1">
        <v>10</v>
      </c>
      <c r="M1543" s="1" t="s">
        <v>63</v>
      </c>
      <c r="N1543" s="10" t="s">
        <v>23</v>
      </c>
      <c r="Q1543"/>
    </row>
    <row r="1544" spans="1:17" x14ac:dyDescent="0.25">
      <c r="A1544" s="9" t="s">
        <v>2525</v>
      </c>
      <c r="B1544" s="2">
        <v>45225</v>
      </c>
      <c r="C1544" s="1" t="s">
        <v>1498</v>
      </c>
      <c r="D1544" s="1" t="s">
        <v>40</v>
      </c>
      <c r="E1544" s="1" t="s">
        <v>17</v>
      </c>
      <c r="F1544" s="1" t="s">
        <v>88</v>
      </c>
      <c r="G1544" s="1" t="s">
        <v>19</v>
      </c>
      <c r="H1544" s="1" t="s">
        <v>20</v>
      </c>
      <c r="I1544" s="1" t="s">
        <v>187</v>
      </c>
      <c r="J1544" s="1">
        <v>9</v>
      </c>
      <c r="K1544" s="3">
        <v>14257.12</v>
      </c>
      <c r="L1544" s="1" t="s">
        <v>110</v>
      </c>
      <c r="M1544" s="1" t="s">
        <v>56</v>
      </c>
      <c r="N1544" s="10" t="s">
        <v>37</v>
      </c>
      <c r="Q1544"/>
    </row>
    <row r="1545" spans="1:17" x14ac:dyDescent="0.25">
      <c r="A1545" s="9" t="s">
        <v>2526</v>
      </c>
      <c r="B1545" s="2">
        <v>45329</v>
      </c>
      <c r="C1545" s="1" t="s">
        <v>553</v>
      </c>
      <c r="D1545" s="1" t="s">
        <v>192</v>
      </c>
      <c r="E1545" s="1" t="s">
        <v>17</v>
      </c>
      <c r="F1545" s="1" t="s">
        <v>88</v>
      </c>
      <c r="G1545" s="1" t="s">
        <v>19</v>
      </c>
      <c r="H1545" s="1" t="s">
        <v>29</v>
      </c>
      <c r="I1545" s="1" t="s">
        <v>693</v>
      </c>
      <c r="J1545" s="1">
        <v>3</v>
      </c>
      <c r="K1545" s="3">
        <v>2297.2399999999998</v>
      </c>
      <c r="L1545" s="1">
        <v>15</v>
      </c>
      <c r="M1545" s="1" t="s">
        <v>56</v>
      </c>
      <c r="N1545" s="10" t="s">
        <v>45</v>
      </c>
      <c r="Q1545"/>
    </row>
    <row r="1546" spans="1:17" x14ac:dyDescent="0.25">
      <c r="A1546" s="9" t="s">
        <v>2527</v>
      </c>
      <c r="B1546" s="2">
        <v>45482</v>
      </c>
      <c r="C1546" s="1" t="s">
        <v>1353</v>
      </c>
      <c r="D1546" s="1" t="s">
        <v>52</v>
      </c>
      <c r="E1546" s="1" t="s">
        <v>59</v>
      </c>
      <c r="F1546" s="1" t="s">
        <v>82</v>
      </c>
      <c r="G1546" s="1" t="s">
        <v>83</v>
      </c>
      <c r="H1546" s="1" t="s">
        <v>43</v>
      </c>
      <c r="I1546" s="1" t="s">
        <v>244</v>
      </c>
      <c r="J1546" s="1">
        <v>9</v>
      </c>
      <c r="K1546" s="3">
        <v>16682.03</v>
      </c>
      <c r="L1546" s="1">
        <v>0</v>
      </c>
      <c r="M1546" s="1" t="s">
        <v>69</v>
      </c>
      <c r="N1546" s="10" t="s">
        <v>45</v>
      </c>
      <c r="Q1546"/>
    </row>
    <row r="1547" spans="1:17" x14ac:dyDescent="0.25">
      <c r="A1547" s="9" t="s">
        <v>2528</v>
      </c>
      <c r="B1547" s="2">
        <v>44986</v>
      </c>
      <c r="C1547" s="1" t="s">
        <v>2529</v>
      </c>
      <c r="D1547" s="1" t="s">
        <v>71</v>
      </c>
      <c r="E1547" s="1" t="s">
        <v>41</v>
      </c>
      <c r="F1547" s="1" t="s">
        <v>18</v>
      </c>
      <c r="G1547" s="1" t="s">
        <v>83</v>
      </c>
      <c r="H1547" s="1" t="s">
        <v>43</v>
      </c>
      <c r="I1547" s="1" t="s">
        <v>339</v>
      </c>
      <c r="J1547" s="1">
        <v>8</v>
      </c>
      <c r="K1547" s="3">
        <v>31490.79</v>
      </c>
      <c r="L1547" s="1">
        <v>0</v>
      </c>
      <c r="M1547" s="1" t="s">
        <v>56</v>
      </c>
      <c r="N1547" s="10" t="s">
        <v>64</v>
      </c>
      <c r="Q1547"/>
    </row>
    <row r="1548" spans="1:17" x14ac:dyDescent="0.25">
      <c r="A1548" s="9" t="s">
        <v>2530</v>
      </c>
      <c r="B1548" s="2">
        <v>45164</v>
      </c>
      <c r="C1548" s="1" t="s">
        <v>741</v>
      </c>
      <c r="D1548" s="1" t="s">
        <v>67</v>
      </c>
      <c r="E1548" s="1" t="s">
        <v>72</v>
      </c>
      <c r="F1548" s="1" t="s">
        <v>18</v>
      </c>
      <c r="G1548" s="1" t="s">
        <v>42</v>
      </c>
      <c r="H1548" s="1" t="s">
        <v>61</v>
      </c>
      <c r="I1548" s="1" t="s">
        <v>247</v>
      </c>
      <c r="J1548" s="1">
        <v>7</v>
      </c>
      <c r="K1548" s="3">
        <v>16028.44</v>
      </c>
      <c r="L1548" s="1">
        <v>10</v>
      </c>
      <c r="M1548" s="1" t="s">
        <v>22</v>
      </c>
      <c r="N1548" s="10" t="s">
        <v>37</v>
      </c>
      <c r="Q1548"/>
    </row>
    <row r="1549" spans="1:17" x14ac:dyDescent="0.25">
      <c r="A1549" s="9" t="s">
        <v>2531</v>
      </c>
      <c r="B1549" s="2">
        <v>45161</v>
      </c>
      <c r="C1549" s="1" t="s">
        <v>1469</v>
      </c>
      <c r="D1549" s="1" t="s">
        <v>33</v>
      </c>
      <c r="E1549" s="1" t="s">
        <v>17</v>
      </c>
      <c r="F1549" s="1" t="s">
        <v>49</v>
      </c>
      <c r="G1549" s="1" t="s">
        <v>19</v>
      </c>
      <c r="H1549" s="1" t="s">
        <v>29</v>
      </c>
      <c r="I1549" s="1" t="s">
        <v>113</v>
      </c>
      <c r="J1549" s="1">
        <v>8</v>
      </c>
      <c r="K1549" s="3">
        <v>24458.52</v>
      </c>
      <c r="L1549" s="1">
        <v>15</v>
      </c>
      <c r="M1549" s="1" t="s">
        <v>56</v>
      </c>
      <c r="N1549" s="10" t="s">
        <v>37</v>
      </c>
      <c r="Q1549"/>
    </row>
    <row r="1550" spans="1:17" x14ac:dyDescent="0.25">
      <c r="A1550" s="9" t="s">
        <v>2532</v>
      </c>
      <c r="B1550" s="2">
        <v>45117</v>
      </c>
      <c r="C1550" s="1" t="s">
        <v>1420</v>
      </c>
      <c r="D1550" s="1" t="s">
        <v>16</v>
      </c>
      <c r="E1550" s="1" t="s">
        <v>59</v>
      </c>
      <c r="F1550" s="1" t="s">
        <v>99</v>
      </c>
      <c r="G1550" s="1" t="s">
        <v>19</v>
      </c>
      <c r="H1550" s="1" t="s">
        <v>29</v>
      </c>
      <c r="I1550" s="1" t="s">
        <v>646</v>
      </c>
      <c r="J1550" s="1">
        <v>7</v>
      </c>
      <c r="K1550" s="3">
        <v>15807</v>
      </c>
      <c r="L1550" s="1">
        <v>20</v>
      </c>
      <c r="M1550" s="1" t="s">
        <v>22</v>
      </c>
      <c r="N1550" s="10" t="s">
        <v>45</v>
      </c>
      <c r="Q1550"/>
    </row>
    <row r="1551" spans="1:17" x14ac:dyDescent="0.25">
      <c r="A1551" s="9" t="s">
        <v>2533</v>
      </c>
      <c r="B1551" s="2">
        <v>45642</v>
      </c>
      <c r="C1551" s="1" t="s">
        <v>1788</v>
      </c>
      <c r="D1551" s="1" t="s">
        <v>81</v>
      </c>
      <c r="E1551" s="1" t="s">
        <v>41</v>
      </c>
      <c r="F1551" s="1" t="s">
        <v>99</v>
      </c>
      <c r="G1551" s="1" t="s">
        <v>19</v>
      </c>
      <c r="H1551" s="1" t="s">
        <v>20</v>
      </c>
      <c r="I1551" s="1" t="s">
        <v>130</v>
      </c>
      <c r="J1551" s="1">
        <v>2</v>
      </c>
      <c r="K1551" s="3">
        <v>7457.37</v>
      </c>
      <c r="L1551" s="1">
        <v>5</v>
      </c>
      <c r="M1551" s="1" t="s">
        <v>22</v>
      </c>
      <c r="N1551" s="10" t="s">
        <v>23</v>
      </c>
      <c r="Q1551"/>
    </row>
    <row r="1552" spans="1:17" x14ac:dyDescent="0.25">
      <c r="A1552" s="9" t="s">
        <v>2534</v>
      </c>
      <c r="B1552" s="2">
        <v>45566</v>
      </c>
      <c r="C1552" s="1" t="s">
        <v>1009</v>
      </c>
      <c r="D1552" s="1" t="s">
        <v>16</v>
      </c>
      <c r="E1552" s="1" t="s">
        <v>72</v>
      </c>
      <c r="F1552" s="1" t="s">
        <v>49</v>
      </c>
      <c r="G1552" s="1" t="s">
        <v>42</v>
      </c>
      <c r="H1552" s="1" t="s">
        <v>43</v>
      </c>
      <c r="I1552" s="1" t="s">
        <v>348</v>
      </c>
      <c r="J1552" s="1">
        <v>5</v>
      </c>
      <c r="K1552" s="3">
        <v>22748.26</v>
      </c>
      <c r="L1552" s="1">
        <v>0</v>
      </c>
      <c r="M1552" s="1" t="s">
        <v>36</v>
      </c>
      <c r="N1552" s="10" t="s">
        <v>74</v>
      </c>
      <c r="Q1552"/>
    </row>
    <row r="1553" spans="1:17" x14ac:dyDescent="0.25">
      <c r="A1553" s="9" t="s">
        <v>2535</v>
      </c>
      <c r="B1553" s="2">
        <v>45308</v>
      </c>
      <c r="C1553" s="1" t="s">
        <v>1954</v>
      </c>
      <c r="D1553" s="1" t="s">
        <v>147</v>
      </c>
      <c r="E1553" s="1" t="s">
        <v>41</v>
      </c>
      <c r="F1553" s="1" t="s">
        <v>28</v>
      </c>
      <c r="G1553" s="1" t="s">
        <v>83</v>
      </c>
      <c r="H1553" s="1" t="s">
        <v>43</v>
      </c>
      <c r="I1553" s="1" t="s">
        <v>89</v>
      </c>
      <c r="J1553" s="1">
        <v>3</v>
      </c>
      <c r="K1553" s="3">
        <v>7380.34</v>
      </c>
      <c r="L1553" s="1">
        <v>15</v>
      </c>
      <c r="M1553" s="1" t="s">
        <v>56</v>
      </c>
      <c r="N1553" s="10" t="s">
        <v>31</v>
      </c>
      <c r="Q1553"/>
    </row>
    <row r="1554" spans="1:17" x14ac:dyDescent="0.25">
      <c r="A1554" s="9" t="s">
        <v>2536</v>
      </c>
      <c r="B1554" s="2">
        <v>45227</v>
      </c>
      <c r="C1554" s="1" t="s">
        <v>858</v>
      </c>
      <c r="D1554" s="1" t="s">
        <v>52</v>
      </c>
      <c r="E1554" s="1" t="s">
        <v>27</v>
      </c>
      <c r="F1554" s="1" t="s">
        <v>60</v>
      </c>
      <c r="G1554" s="1" t="s">
        <v>42</v>
      </c>
      <c r="H1554" s="1" t="s">
        <v>61</v>
      </c>
      <c r="I1554" s="1" t="s">
        <v>250</v>
      </c>
      <c r="J1554" s="1">
        <v>9</v>
      </c>
      <c r="K1554" s="3">
        <v>17214.64</v>
      </c>
      <c r="L1554" s="1">
        <v>10</v>
      </c>
      <c r="M1554" s="1" t="s">
        <v>36</v>
      </c>
      <c r="N1554" s="10" t="s">
        <v>74</v>
      </c>
      <c r="Q1554"/>
    </row>
    <row r="1555" spans="1:17" x14ac:dyDescent="0.25">
      <c r="A1555" s="9" t="s">
        <v>2537</v>
      </c>
      <c r="B1555" s="2">
        <v>45043</v>
      </c>
      <c r="C1555" s="1" t="s">
        <v>2218</v>
      </c>
      <c r="D1555" s="1" t="s">
        <v>81</v>
      </c>
      <c r="E1555" s="1" t="s">
        <v>59</v>
      </c>
      <c r="F1555" s="1" t="s">
        <v>99</v>
      </c>
      <c r="G1555" s="1" t="s">
        <v>53</v>
      </c>
      <c r="H1555" s="1" t="s">
        <v>54</v>
      </c>
      <c r="I1555" s="1" t="s">
        <v>1272</v>
      </c>
      <c r="J1555" s="1">
        <v>1</v>
      </c>
      <c r="K1555" s="3">
        <v>1975.45</v>
      </c>
      <c r="L1555" s="1">
        <v>0</v>
      </c>
      <c r="M1555" s="1" t="s">
        <v>69</v>
      </c>
      <c r="N1555" s="10" t="s">
        <v>23</v>
      </c>
      <c r="Q1555"/>
    </row>
    <row r="1556" spans="1:17" x14ac:dyDescent="0.25">
      <c r="A1556" s="9" t="s">
        <v>2538</v>
      </c>
      <c r="B1556" s="2">
        <v>45154</v>
      </c>
      <c r="C1556" s="1" t="s">
        <v>2334</v>
      </c>
      <c r="D1556" s="1" t="s">
        <v>71</v>
      </c>
      <c r="E1556" s="1" t="s">
        <v>59</v>
      </c>
      <c r="F1556" s="1" t="s">
        <v>18</v>
      </c>
      <c r="G1556" s="1" t="s">
        <v>42</v>
      </c>
      <c r="H1556" s="1" t="s">
        <v>61</v>
      </c>
      <c r="I1556" s="1" t="s">
        <v>587</v>
      </c>
      <c r="J1556" s="1">
        <v>4</v>
      </c>
      <c r="K1556" s="3">
        <v>13503.9</v>
      </c>
      <c r="L1556" s="1" t="s">
        <v>110</v>
      </c>
      <c r="M1556" s="1" t="s">
        <v>22</v>
      </c>
      <c r="N1556" s="10" t="s">
        <v>37</v>
      </c>
      <c r="Q1556"/>
    </row>
    <row r="1557" spans="1:17" x14ac:dyDescent="0.25">
      <c r="A1557" s="9" t="s">
        <v>2539</v>
      </c>
      <c r="B1557" s="2">
        <v>44970</v>
      </c>
      <c r="C1557" s="1" t="s">
        <v>591</v>
      </c>
      <c r="D1557" s="1" t="s">
        <v>67</v>
      </c>
      <c r="E1557" s="1" t="s">
        <v>27</v>
      </c>
      <c r="F1557" s="1" t="s">
        <v>82</v>
      </c>
      <c r="G1557" s="1" t="s">
        <v>83</v>
      </c>
      <c r="H1557" s="1" t="s">
        <v>43</v>
      </c>
      <c r="I1557" s="1" t="s">
        <v>89</v>
      </c>
      <c r="J1557" s="1">
        <v>8</v>
      </c>
      <c r="K1557" s="3">
        <v>14218.07</v>
      </c>
      <c r="L1557" s="1">
        <v>20</v>
      </c>
      <c r="M1557" s="1" t="s">
        <v>22</v>
      </c>
      <c r="N1557" s="10" t="s">
        <v>31</v>
      </c>
      <c r="Q1557"/>
    </row>
    <row r="1558" spans="1:17" x14ac:dyDescent="0.25">
      <c r="A1558" s="9" t="s">
        <v>2540</v>
      </c>
      <c r="B1558" s="2">
        <v>45492</v>
      </c>
      <c r="C1558" s="1" t="s">
        <v>1039</v>
      </c>
      <c r="D1558" s="1" t="s">
        <v>16</v>
      </c>
      <c r="E1558" s="1" t="s">
        <v>59</v>
      </c>
      <c r="F1558" s="1" t="s">
        <v>18</v>
      </c>
      <c r="G1558" s="1" t="s">
        <v>19</v>
      </c>
      <c r="H1558" s="1" t="s">
        <v>20</v>
      </c>
      <c r="I1558" s="1" t="s">
        <v>138</v>
      </c>
      <c r="J1558" s="1">
        <v>10</v>
      </c>
      <c r="K1558" s="3">
        <v>23194.59</v>
      </c>
      <c r="L1558" s="1">
        <v>20</v>
      </c>
      <c r="M1558" s="1" t="s">
        <v>56</v>
      </c>
      <c r="N1558" s="10" t="s">
        <v>23</v>
      </c>
      <c r="Q1558"/>
    </row>
    <row r="1559" spans="1:17" x14ac:dyDescent="0.25">
      <c r="A1559" s="9" t="s">
        <v>2541</v>
      </c>
      <c r="B1559" s="2">
        <v>45371</v>
      </c>
      <c r="C1559" s="1" t="s">
        <v>1821</v>
      </c>
      <c r="D1559" s="1" t="s">
        <v>52</v>
      </c>
      <c r="E1559" s="1" t="s">
        <v>17</v>
      </c>
      <c r="F1559" s="1" t="s">
        <v>28</v>
      </c>
      <c r="G1559" s="1" t="s">
        <v>83</v>
      </c>
      <c r="H1559" s="1" t="s">
        <v>43</v>
      </c>
      <c r="I1559" s="1" t="s">
        <v>157</v>
      </c>
      <c r="J1559" s="1">
        <v>9</v>
      </c>
      <c r="K1559" s="3">
        <v>36337.21</v>
      </c>
      <c r="L1559" s="1" t="s">
        <v>110</v>
      </c>
      <c r="M1559" s="1" t="s">
        <v>22</v>
      </c>
      <c r="N1559" s="10" t="s">
        <v>64</v>
      </c>
      <c r="Q1559"/>
    </row>
    <row r="1560" spans="1:17" x14ac:dyDescent="0.25">
      <c r="A1560" s="9" t="s">
        <v>2542</v>
      </c>
      <c r="B1560" s="2">
        <v>45194</v>
      </c>
      <c r="C1560" s="1" t="s">
        <v>688</v>
      </c>
      <c r="D1560" s="1" t="s">
        <v>16</v>
      </c>
      <c r="E1560" s="1" t="s">
        <v>59</v>
      </c>
      <c r="F1560" s="1" t="s">
        <v>88</v>
      </c>
      <c r="G1560" s="1" t="s">
        <v>19</v>
      </c>
      <c r="H1560" s="1" t="s">
        <v>20</v>
      </c>
      <c r="I1560" s="1" t="s">
        <v>239</v>
      </c>
      <c r="J1560" s="1">
        <v>8</v>
      </c>
      <c r="K1560" s="3">
        <v>33167.279999999999</v>
      </c>
      <c r="L1560" s="1">
        <v>20</v>
      </c>
      <c r="M1560" s="1" t="s">
        <v>93</v>
      </c>
      <c r="N1560" s="10" t="s">
        <v>64</v>
      </c>
      <c r="Q1560"/>
    </row>
    <row r="1561" spans="1:17" x14ac:dyDescent="0.25">
      <c r="A1561" s="9" t="s">
        <v>2543</v>
      </c>
      <c r="B1561" s="2">
        <v>45211</v>
      </c>
      <c r="C1561" s="1" t="s">
        <v>843</v>
      </c>
      <c r="D1561" s="1" t="s">
        <v>81</v>
      </c>
      <c r="E1561" s="1" t="s">
        <v>72</v>
      </c>
      <c r="F1561" s="1" t="s">
        <v>28</v>
      </c>
      <c r="G1561" s="1" t="s">
        <v>19</v>
      </c>
      <c r="H1561" s="1" t="s">
        <v>20</v>
      </c>
      <c r="I1561" s="1" t="s">
        <v>326</v>
      </c>
      <c r="J1561" s="1">
        <v>3</v>
      </c>
      <c r="K1561" s="3">
        <v>12154.64</v>
      </c>
      <c r="L1561" s="1">
        <v>20</v>
      </c>
      <c r="M1561" s="1" t="s">
        <v>63</v>
      </c>
      <c r="N1561" s="10" t="s">
        <v>64</v>
      </c>
      <c r="Q1561"/>
    </row>
    <row r="1562" spans="1:17" x14ac:dyDescent="0.25">
      <c r="A1562" s="9" t="s">
        <v>2544</v>
      </c>
      <c r="B1562" s="2">
        <v>45546</v>
      </c>
      <c r="C1562" s="1" t="s">
        <v>645</v>
      </c>
      <c r="D1562" s="1" t="s">
        <v>33</v>
      </c>
      <c r="E1562" s="1" t="s">
        <v>34</v>
      </c>
      <c r="F1562" s="1" t="s">
        <v>60</v>
      </c>
      <c r="G1562" s="1" t="s">
        <v>53</v>
      </c>
      <c r="H1562" s="1" t="s">
        <v>54</v>
      </c>
      <c r="I1562" s="1" t="s">
        <v>121</v>
      </c>
      <c r="J1562" s="1">
        <v>8</v>
      </c>
      <c r="K1562" s="3">
        <v>37942.01</v>
      </c>
      <c r="L1562" s="1">
        <v>20</v>
      </c>
      <c r="M1562" s="1" t="s">
        <v>36</v>
      </c>
      <c r="N1562" s="10" t="s">
        <v>31</v>
      </c>
      <c r="Q1562"/>
    </row>
    <row r="1563" spans="1:17" x14ac:dyDescent="0.25">
      <c r="A1563" s="9" t="s">
        <v>2545</v>
      </c>
      <c r="B1563" s="2">
        <v>45201</v>
      </c>
      <c r="C1563" s="1" t="s">
        <v>2546</v>
      </c>
      <c r="D1563" s="1" t="s">
        <v>40</v>
      </c>
      <c r="E1563" s="1" t="s">
        <v>27</v>
      </c>
      <c r="F1563" s="1" t="s">
        <v>88</v>
      </c>
      <c r="G1563" s="1" t="s">
        <v>19</v>
      </c>
      <c r="H1563" s="1" t="s">
        <v>20</v>
      </c>
      <c r="I1563" s="1" t="s">
        <v>801</v>
      </c>
      <c r="J1563" s="1">
        <v>9</v>
      </c>
      <c r="K1563" s="3">
        <v>31314.79</v>
      </c>
      <c r="L1563" s="1">
        <v>15</v>
      </c>
      <c r="M1563" s="1" t="s">
        <v>36</v>
      </c>
      <c r="N1563" s="10" t="s">
        <v>31</v>
      </c>
      <c r="Q1563"/>
    </row>
    <row r="1564" spans="1:17" x14ac:dyDescent="0.25">
      <c r="A1564" s="9" t="s">
        <v>2547</v>
      </c>
      <c r="B1564" s="2">
        <v>45282</v>
      </c>
      <c r="C1564" s="1" t="s">
        <v>612</v>
      </c>
      <c r="D1564" s="1" t="s">
        <v>67</v>
      </c>
      <c r="E1564" s="1" t="s">
        <v>27</v>
      </c>
      <c r="F1564" s="1" t="s">
        <v>82</v>
      </c>
      <c r="G1564" s="1" t="s">
        <v>19</v>
      </c>
      <c r="H1564" s="1" t="s">
        <v>29</v>
      </c>
      <c r="I1564" s="1" t="s">
        <v>135</v>
      </c>
      <c r="J1564" s="1">
        <v>5</v>
      </c>
      <c r="K1564" s="3">
        <v>11940.69</v>
      </c>
      <c r="L1564" s="1">
        <v>20</v>
      </c>
      <c r="M1564" s="1" t="s">
        <v>56</v>
      </c>
      <c r="N1564" s="10" t="s">
        <v>45</v>
      </c>
      <c r="Q1564"/>
    </row>
    <row r="1565" spans="1:17" x14ac:dyDescent="0.25">
      <c r="A1565" s="9" t="s">
        <v>2548</v>
      </c>
      <c r="B1565" s="2">
        <v>45233</v>
      </c>
      <c r="C1565" s="1" t="s">
        <v>1605</v>
      </c>
      <c r="D1565" s="1" t="s">
        <v>118</v>
      </c>
      <c r="E1565" s="1" t="s">
        <v>41</v>
      </c>
      <c r="F1565" s="1" t="s">
        <v>99</v>
      </c>
      <c r="G1565" s="1" t="s">
        <v>42</v>
      </c>
      <c r="H1565" s="1" t="s">
        <v>43</v>
      </c>
      <c r="I1565" s="1" t="s">
        <v>494</v>
      </c>
      <c r="J1565" s="1">
        <v>7</v>
      </c>
      <c r="K1565" s="3">
        <v>13904.23</v>
      </c>
      <c r="L1565" s="1">
        <v>15</v>
      </c>
      <c r="M1565" s="1" t="s">
        <v>22</v>
      </c>
      <c r="N1565" s="10" t="s">
        <v>74</v>
      </c>
      <c r="Q1565"/>
    </row>
    <row r="1566" spans="1:17" x14ac:dyDescent="0.25">
      <c r="A1566" s="9" t="s">
        <v>2549</v>
      </c>
      <c r="B1566" s="2">
        <v>45413</v>
      </c>
      <c r="C1566" s="1" t="s">
        <v>912</v>
      </c>
      <c r="D1566" s="1" t="s">
        <v>26</v>
      </c>
      <c r="E1566" s="1" t="s">
        <v>27</v>
      </c>
      <c r="F1566" s="1" t="s">
        <v>82</v>
      </c>
      <c r="G1566" s="1" t="s">
        <v>42</v>
      </c>
      <c r="H1566" s="1" t="s">
        <v>61</v>
      </c>
      <c r="I1566" s="1" t="s">
        <v>1020</v>
      </c>
      <c r="J1566" s="1">
        <v>5</v>
      </c>
      <c r="K1566" s="3">
        <v>19323.7</v>
      </c>
      <c r="L1566" s="1">
        <v>20</v>
      </c>
      <c r="M1566" s="1" t="s">
        <v>69</v>
      </c>
      <c r="N1566" s="10" t="s">
        <v>37</v>
      </c>
      <c r="Q1566"/>
    </row>
    <row r="1567" spans="1:17" x14ac:dyDescent="0.25">
      <c r="A1567" s="9" t="s">
        <v>2550</v>
      </c>
      <c r="B1567" s="2">
        <v>45373</v>
      </c>
      <c r="C1567" s="1" t="s">
        <v>1715</v>
      </c>
      <c r="D1567" s="1" t="s">
        <v>26</v>
      </c>
      <c r="E1567" s="1" t="s">
        <v>59</v>
      </c>
      <c r="F1567" s="1" t="s">
        <v>82</v>
      </c>
      <c r="G1567" s="1" t="s">
        <v>42</v>
      </c>
      <c r="H1567" s="1" t="s">
        <v>43</v>
      </c>
      <c r="I1567" s="1" t="s">
        <v>380</v>
      </c>
      <c r="J1567" s="1">
        <v>4</v>
      </c>
      <c r="K1567" s="3">
        <v>11314.59</v>
      </c>
      <c r="L1567" s="1" t="s">
        <v>110</v>
      </c>
      <c r="M1567" s="1" t="s">
        <v>63</v>
      </c>
      <c r="N1567" s="10" t="s">
        <v>45</v>
      </c>
      <c r="Q1567"/>
    </row>
    <row r="1568" spans="1:17" x14ac:dyDescent="0.25">
      <c r="A1568" s="9" t="s">
        <v>2551</v>
      </c>
      <c r="B1568" s="2">
        <v>45357</v>
      </c>
      <c r="C1568" s="1" t="s">
        <v>2390</v>
      </c>
      <c r="D1568" s="1" t="s">
        <v>67</v>
      </c>
      <c r="E1568" s="1" t="s">
        <v>72</v>
      </c>
      <c r="F1568" s="1" t="s">
        <v>99</v>
      </c>
      <c r="G1568" s="1" t="s">
        <v>83</v>
      </c>
      <c r="H1568" s="1" t="s">
        <v>43</v>
      </c>
      <c r="I1568" s="1" t="s">
        <v>288</v>
      </c>
      <c r="J1568" s="1">
        <v>4</v>
      </c>
      <c r="K1568" s="3">
        <v>3065.16</v>
      </c>
      <c r="L1568" s="1">
        <v>5</v>
      </c>
      <c r="M1568" s="1" t="s">
        <v>56</v>
      </c>
      <c r="N1568" s="10" t="s">
        <v>74</v>
      </c>
      <c r="Q1568"/>
    </row>
    <row r="1569" spans="1:17" x14ac:dyDescent="0.25">
      <c r="A1569" s="9" t="s">
        <v>2552</v>
      </c>
      <c r="B1569" s="2">
        <v>45117</v>
      </c>
      <c r="C1569" s="1" t="s">
        <v>51</v>
      </c>
      <c r="D1569" s="1" t="s">
        <v>147</v>
      </c>
      <c r="E1569" s="1" t="s">
        <v>17</v>
      </c>
      <c r="F1569" s="1" t="s">
        <v>28</v>
      </c>
      <c r="G1569" s="1" t="s">
        <v>83</v>
      </c>
      <c r="H1569" s="1" t="s">
        <v>43</v>
      </c>
      <c r="I1569" s="1" t="s">
        <v>491</v>
      </c>
      <c r="J1569" s="1">
        <v>8</v>
      </c>
      <c r="K1569" s="3">
        <v>32569.38</v>
      </c>
      <c r="L1569" s="1" t="s">
        <v>110</v>
      </c>
      <c r="M1569" s="1" t="s">
        <v>36</v>
      </c>
      <c r="N1569" s="10" t="s">
        <v>74</v>
      </c>
      <c r="Q1569"/>
    </row>
    <row r="1570" spans="1:17" x14ac:dyDescent="0.25">
      <c r="A1570" s="9" t="s">
        <v>2554</v>
      </c>
      <c r="B1570" s="2">
        <v>45259</v>
      </c>
      <c r="C1570" s="1" t="s">
        <v>2555</v>
      </c>
      <c r="D1570" s="1" t="s">
        <v>87</v>
      </c>
      <c r="E1570" s="1" t="s">
        <v>59</v>
      </c>
      <c r="F1570" s="1" t="s">
        <v>60</v>
      </c>
      <c r="G1570" s="1" t="s">
        <v>42</v>
      </c>
      <c r="H1570" s="1" t="s">
        <v>61</v>
      </c>
      <c r="I1570" s="1" t="s">
        <v>529</v>
      </c>
      <c r="J1570" s="1">
        <v>4</v>
      </c>
      <c r="K1570" s="3">
        <v>14662.19</v>
      </c>
      <c r="L1570" s="1">
        <v>10</v>
      </c>
      <c r="M1570" s="1" t="s">
        <v>56</v>
      </c>
      <c r="N1570" s="10" t="s">
        <v>37</v>
      </c>
      <c r="Q1570"/>
    </row>
    <row r="1571" spans="1:17" x14ac:dyDescent="0.25">
      <c r="A1571" s="9" t="s">
        <v>2556</v>
      </c>
      <c r="B1571" s="2">
        <v>45309</v>
      </c>
      <c r="C1571" s="1" t="s">
        <v>2557</v>
      </c>
      <c r="D1571" s="1" t="s">
        <v>87</v>
      </c>
      <c r="E1571" s="1" t="s">
        <v>34</v>
      </c>
      <c r="F1571" s="1" t="s">
        <v>28</v>
      </c>
      <c r="G1571" s="1" t="s">
        <v>19</v>
      </c>
      <c r="H1571" s="1" t="s">
        <v>29</v>
      </c>
      <c r="I1571" s="1" t="s">
        <v>96</v>
      </c>
      <c r="J1571" s="1">
        <v>2</v>
      </c>
      <c r="K1571" s="3">
        <v>1075.02</v>
      </c>
      <c r="L1571" s="1">
        <v>5</v>
      </c>
      <c r="M1571" s="1" t="s">
        <v>56</v>
      </c>
      <c r="N1571" s="10" t="s">
        <v>37</v>
      </c>
      <c r="Q1571"/>
    </row>
    <row r="1572" spans="1:17" x14ac:dyDescent="0.25">
      <c r="A1572" s="9" t="s">
        <v>2558</v>
      </c>
      <c r="B1572" s="2">
        <v>45232</v>
      </c>
      <c r="C1572" s="1" t="s">
        <v>1477</v>
      </c>
      <c r="D1572" s="1" t="s">
        <v>52</v>
      </c>
      <c r="E1572" s="1" t="s">
        <v>17</v>
      </c>
      <c r="F1572" s="1" t="s">
        <v>49</v>
      </c>
      <c r="G1572" s="1" t="s">
        <v>83</v>
      </c>
      <c r="H1572" s="1" t="s">
        <v>43</v>
      </c>
      <c r="I1572" s="1" t="s">
        <v>144</v>
      </c>
      <c r="J1572" s="1">
        <v>7</v>
      </c>
      <c r="K1572" s="3">
        <v>7812.3</v>
      </c>
      <c r="L1572" s="1">
        <v>10</v>
      </c>
      <c r="M1572" s="1" t="s">
        <v>56</v>
      </c>
      <c r="N1572" s="10" t="s">
        <v>45</v>
      </c>
      <c r="Q1572"/>
    </row>
    <row r="1573" spans="1:17" x14ac:dyDescent="0.25">
      <c r="A1573" s="9" t="s">
        <v>2559</v>
      </c>
      <c r="B1573" s="2">
        <v>45219</v>
      </c>
      <c r="C1573" s="1" t="s">
        <v>876</v>
      </c>
      <c r="D1573" s="1" t="s">
        <v>26</v>
      </c>
      <c r="E1573" s="1" t="s">
        <v>17</v>
      </c>
      <c r="F1573" s="1" t="s">
        <v>82</v>
      </c>
      <c r="G1573" s="1" t="s">
        <v>83</v>
      </c>
      <c r="H1573" s="1" t="s">
        <v>43</v>
      </c>
      <c r="I1573" s="1" t="s">
        <v>494</v>
      </c>
      <c r="J1573" s="1">
        <v>-8</v>
      </c>
      <c r="K1573" s="3">
        <v>22166.76</v>
      </c>
      <c r="L1573" s="1">
        <v>15</v>
      </c>
      <c r="M1573" s="1" t="s">
        <v>36</v>
      </c>
      <c r="N1573" s="10" t="s">
        <v>23</v>
      </c>
      <c r="Q1573"/>
    </row>
    <row r="1574" spans="1:17" x14ac:dyDescent="0.25">
      <c r="A1574" s="9" t="s">
        <v>2560</v>
      </c>
      <c r="B1574" s="2">
        <v>45656</v>
      </c>
      <c r="C1574" s="1" t="s">
        <v>599</v>
      </c>
      <c r="D1574" s="1" t="s">
        <v>33</v>
      </c>
      <c r="E1574" s="1" t="s">
        <v>41</v>
      </c>
      <c r="F1574" s="1" t="s">
        <v>49</v>
      </c>
      <c r="G1574" s="1" t="s">
        <v>53</v>
      </c>
      <c r="H1574" s="1" t="s">
        <v>54</v>
      </c>
      <c r="I1574" s="1" t="s">
        <v>1053</v>
      </c>
      <c r="J1574" s="1">
        <v>8</v>
      </c>
      <c r="K1574" s="3">
        <v>13778.38</v>
      </c>
      <c r="L1574" s="1">
        <v>20</v>
      </c>
      <c r="M1574" s="1" t="s">
        <v>69</v>
      </c>
      <c r="N1574" s="10" t="s">
        <v>23</v>
      </c>
      <c r="Q1574"/>
    </row>
    <row r="1575" spans="1:17" x14ac:dyDescent="0.25">
      <c r="A1575" s="9" t="s">
        <v>2561</v>
      </c>
      <c r="B1575" s="2">
        <v>45649</v>
      </c>
      <c r="C1575" s="1" t="s">
        <v>1474</v>
      </c>
      <c r="D1575" s="1" t="s">
        <v>52</v>
      </c>
      <c r="E1575" s="1" t="s">
        <v>41</v>
      </c>
      <c r="F1575" s="1" t="s">
        <v>99</v>
      </c>
      <c r="G1575" s="1" t="s">
        <v>83</v>
      </c>
      <c r="H1575" s="1" t="s">
        <v>43</v>
      </c>
      <c r="I1575" s="1" t="s">
        <v>84</v>
      </c>
      <c r="J1575" s="1">
        <v>8</v>
      </c>
      <c r="K1575" s="3">
        <v>35764.44</v>
      </c>
      <c r="L1575" s="1">
        <v>0</v>
      </c>
      <c r="M1575" s="1" t="s">
        <v>69</v>
      </c>
      <c r="N1575" s="10" t="s">
        <v>37</v>
      </c>
      <c r="Q1575"/>
    </row>
    <row r="1576" spans="1:17" x14ac:dyDescent="0.25">
      <c r="A1576" s="9" t="s">
        <v>2562</v>
      </c>
      <c r="B1576" s="2">
        <v>45256</v>
      </c>
      <c r="C1576" s="1" t="s">
        <v>2563</v>
      </c>
      <c r="D1576" s="1" t="s">
        <v>26</v>
      </c>
      <c r="E1576" s="1" t="s">
        <v>17</v>
      </c>
      <c r="F1576" s="1" t="s">
        <v>18</v>
      </c>
      <c r="G1576" s="1" t="s">
        <v>19</v>
      </c>
      <c r="H1576" s="1" t="s">
        <v>29</v>
      </c>
      <c r="I1576" s="1" t="s">
        <v>141</v>
      </c>
      <c r="J1576" s="1">
        <v>9</v>
      </c>
      <c r="K1576" s="3">
        <v>17427.87</v>
      </c>
      <c r="L1576" s="1" t="s">
        <v>110</v>
      </c>
      <c r="M1576" s="1" t="s">
        <v>93</v>
      </c>
      <c r="N1576" s="10" t="s">
        <v>31</v>
      </c>
      <c r="Q1576"/>
    </row>
    <row r="1577" spans="1:17" x14ac:dyDescent="0.25">
      <c r="A1577" s="9" t="s">
        <v>2564</v>
      </c>
      <c r="B1577" s="2">
        <v>45125</v>
      </c>
      <c r="C1577" s="1" t="s">
        <v>607</v>
      </c>
      <c r="D1577" s="1" t="s">
        <v>52</v>
      </c>
      <c r="E1577" s="1" t="s">
        <v>17</v>
      </c>
      <c r="F1577" s="1" t="s">
        <v>60</v>
      </c>
      <c r="G1577" s="1" t="s">
        <v>42</v>
      </c>
      <c r="H1577" s="1" t="s">
        <v>61</v>
      </c>
      <c r="I1577" s="1" t="s">
        <v>1096</v>
      </c>
      <c r="J1577" s="1">
        <v>3</v>
      </c>
      <c r="K1577" s="3">
        <v>14188.8</v>
      </c>
      <c r="L1577" s="1">
        <v>0</v>
      </c>
      <c r="M1577" s="1" t="s">
        <v>22</v>
      </c>
      <c r="N1577" s="10" t="s">
        <v>31</v>
      </c>
      <c r="Q1577"/>
    </row>
    <row r="1578" spans="1:17" x14ac:dyDescent="0.25">
      <c r="A1578" s="9" t="s">
        <v>2566</v>
      </c>
      <c r="B1578" s="2">
        <v>45209</v>
      </c>
      <c r="C1578" s="1" t="s">
        <v>1015</v>
      </c>
      <c r="D1578" s="1" t="s">
        <v>87</v>
      </c>
      <c r="E1578" s="1" t="s">
        <v>17</v>
      </c>
      <c r="F1578" s="1" t="s">
        <v>60</v>
      </c>
      <c r="G1578" s="1" t="s">
        <v>42</v>
      </c>
      <c r="H1578" s="1" t="s">
        <v>61</v>
      </c>
      <c r="I1578" s="1" t="s">
        <v>667</v>
      </c>
      <c r="J1578" s="1">
        <v>5</v>
      </c>
      <c r="K1578" s="3">
        <v>10969.43</v>
      </c>
      <c r="L1578" s="1">
        <v>20</v>
      </c>
      <c r="M1578" s="1" t="s">
        <v>63</v>
      </c>
      <c r="N1578" s="10" t="s">
        <v>45</v>
      </c>
      <c r="Q1578"/>
    </row>
    <row r="1579" spans="1:17" x14ac:dyDescent="0.25">
      <c r="A1579" s="9" t="s">
        <v>2567</v>
      </c>
      <c r="B1579" s="2">
        <v>45119</v>
      </c>
      <c r="C1579" s="1" t="s">
        <v>2205</v>
      </c>
      <c r="D1579" s="1" t="s">
        <v>81</v>
      </c>
      <c r="E1579" s="1" t="s">
        <v>17</v>
      </c>
      <c r="F1579" s="1" t="s">
        <v>28</v>
      </c>
      <c r="G1579" s="1" t="s">
        <v>53</v>
      </c>
      <c r="H1579" s="1" t="s">
        <v>54</v>
      </c>
      <c r="I1579" s="1" t="s">
        <v>479</v>
      </c>
      <c r="J1579" s="1">
        <v>3</v>
      </c>
      <c r="K1579" s="3">
        <v>13752.5</v>
      </c>
      <c r="L1579" s="1">
        <v>5</v>
      </c>
      <c r="M1579" s="1" t="s">
        <v>93</v>
      </c>
      <c r="N1579" s="10" t="s">
        <v>31</v>
      </c>
      <c r="Q1579"/>
    </row>
    <row r="1580" spans="1:17" x14ac:dyDescent="0.25">
      <c r="A1580" s="9" t="s">
        <v>2568</v>
      </c>
      <c r="B1580" s="2">
        <v>45418</v>
      </c>
      <c r="C1580" s="1" t="s">
        <v>1004</v>
      </c>
      <c r="D1580" s="1" t="s">
        <v>192</v>
      </c>
      <c r="E1580" s="1" t="s">
        <v>34</v>
      </c>
      <c r="F1580" s="1" t="s">
        <v>18</v>
      </c>
      <c r="G1580" s="1" t="s">
        <v>42</v>
      </c>
      <c r="H1580" s="1" t="s">
        <v>61</v>
      </c>
      <c r="I1580" s="1" t="s">
        <v>250</v>
      </c>
      <c r="J1580" s="1">
        <v>5</v>
      </c>
      <c r="K1580" s="3">
        <v>18260.39</v>
      </c>
      <c r="L1580" s="1">
        <v>0</v>
      </c>
      <c r="M1580" s="1" t="s">
        <v>22</v>
      </c>
      <c r="N1580" s="10" t="s">
        <v>37</v>
      </c>
      <c r="Q1580"/>
    </row>
    <row r="1581" spans="1:17" x14ac:dyDescent="0.25">
      <c r="A1581" s="9" t="s">
        <v>2569</v>
      </c>
      <c r="B1581" s="2">
        <v>45085</v>
      </c>
      <c r="C1581" s="1" t="s">
        <v>1618</v>
      </c>
      <c r="D1581" s="1" t="s">
        <v>147</v>
      </c>
      <c r="E1581" s="1" t="s">
        <v>72</v>
      </c>
      <c r="F1581" s="1" t="s">
        <v>60</v>
      </c>
      <c r="G1581" s="1" t="s">
        <v>42</v>
      </c>
      <c r="H1581" s="1" t="s">
        <v>61</v>
      </c>
      <c r="I1581" s="1" t="s">
        <v>204</v>
      </c>
      <c r="J1581" s="1">
        <v>6</v>
      </c>
      <c r="K1581" s="3">
        <v>21626.54</v>
      </c>
      <c r="L1581" s="1">
        <v>5</v>
      </c>
      <c r="M1581" s="1" t="s">
        <v>36</v>
      </c>
      <c r="N1581" s="10" t="s">
        <v>64</v>
      </c>
      <c r="Q1581"/>
    </row>
    <row r="1582" spans="1:17" x14ac:dyDescent="0.25">
      <c r="A1582" s="9" t="s">
        <v>2570</v>
      </c>
      <c r="B1582" s="2">
        <v>45055</v>
      </c>
      <c r="C1582" s="1" t="s">
        <v>433</v>
      </c>
      <c r="D1582" s="1" t="s">
        <v>87</v>
      </c>
      <c r="E1582" s="1" t="s">
        <v>41</v>
      </c>
      <c r="F1582" s="1" t="s">
        <v>60</v>
      </c>
      <c r="G1582" s="1" t="s">
        <v>19</v>
      </c>
      <c r="H1582" s="1" t="s">
        <v>20</v>
      </c>
      <c r="I1582" s="1" t="s">
        <v>583</v>
      </c>
      <c r="J1582" s="1">
        <v>7</v>
      </c>
      <c r="K1582" s="3">
        <v>17866.900000000001</v>
      </c>
      <c r="L1582" s="1">
        <v>15</v>
      </c>
      <c r="M1582" s="1" t="s">
        <v>22</v>
      </c>
      <c r="N1582" s="10" t="s">
        <v>31</v>
      </c>
      <c r="Q1582"/>
    </row>
    <row r="1583" spans="1:17" x14ac:dyDescent="0.25">
      <c r="A1583" s="9" t="s">
        <v>2571</v>
      </c>
      <c r="B1583" s="2">
        <v>45374</v>
      </c>
      <c r="C1583" s="1" t="s">
        <v>2189</v>
      </c>
      <c r="D1583" s="1" t="s">
        <v>26</v>
      </c>
      <c r="E1583" s="1" t="s">
        <v>72</v>
      </c>
      <c r="F1583" s="1" t="s">
        <v>49</v>
      </c>
      <c r="G1583" s="1" t="s">
        <v>42</v>
      </c>
      <c r="H1583" s="1" t="s">
        <v>43</v>
      </c>
      <c r="I1583" s="1" t="s">
        <v>348</v>
      </c>
      <c r="J1583" s="1">
        <v>6</v>
      </c>
      <c r="K1583" s="3">
        <v>12374.52</v>
      </c>
      <c r="L1583" s="1">
        <v>5</v>
      </c>
      <c r="M1583" s="1" t="s">
        <v>36</v>
      </c>
      <c r="N1583" s="10" t="s">
        <v>64</v>
      </c>
      <c r="Q1583"/>
    </row>
    <row r="1584" spans="1:17" x14ac:dyDescent="0.25">
      <c r="A1584" s="9" t="s">
        <v>2572</v>
      </c>
      <c r="B1584" s="2">
        <v>45391</v>
      </c>
      <c r="C1584" s="1" t="s">
        <v>1727</v>
      </c>
      <c r="D1584" s="1" t="s">
        <v>87</v>
      </c>
      <c r="E1584" s="1" t="s">
        <v>34</v>
      </c>
      <c r="F1584" s="1" t="s">
        <v>82</v>
      </c>
      <c r="G1584" s="1" t="s">
        <v>19</v>
      </c>
      <c r="H1584" s="1" t="s">
        <v>29</v>
      </c>
      <c r="I1584" s="1" t="s">
        <v>385</v>
      </c>
      <c r="J1584" s="1">
        <v>3</v>
      </c>
      <c r="K1584" s="3">
        <v>10381.18</v>
      </c>
      <c r="L1584" s="1" t="s">
        <v>110</v>
      </c>
      <c r="M1584" s="1" t="s">
        <v>22</v>
      </c>
      <c r="N1584" s="10" t="s">
        <v>31</v>
      </c>
      <c r="Q1584"/>
    </row>
    <row r="1585" spans="1:17" x14ac:dyDescent="0.25">
      <c r="A1585" s="9" t="s">
        <v>2573</v>
      </c>
      <c r="B1585" s="2">
        <v>45429</v>
      </c>
      <c r="C1585" s="1" t="s">
        <v>1430</v>
      </c>
      <c r="D1585" s="1" t="s">
        <v>67</v>
      </c>
      <c r="E1585" s="1" t="s">
        <v>59</v>
      </c>
      <c r="F1585" s="1" t="s">
        <v>28</v>
      </c>
      <c r="G1585" s="1" t="s">
        <v>19</v>
      </c>
      <c r="H1585" s="1" t="s">
        <v>29</v>
      </c>
      <c r="I1585" s="1" t="s">
        <v>267</v>
      </c>
      <c r="J1585" s="1">
        <v>1</v>
      </c>
      <c r="K1585" s="3">
        <v>2114.04</v>
      </c>
      <c r="L1585" s="1">
        <v>20</v>
      </c>
      <c r="M1585" s="1" t="s">
        <v>36</v>
      </c>
      <c r="N1585" s="10" t="s">
        <v>37</v>
      </c>
      <c r="Q1585"/>
    </row>
    <row r="1586" spans="1:17" x14ac:dyDescent="0.25">
      <c r="A1586" s="9" t="s">
        <v>2574</v>
      </c>
      <c r="B1586" s="2">
        <v>45365</v>
      </c>
      <c r="C1586" s="1" t="s">
        <v>338</v>
      </c>
      <c r="D1586" s="1" t="s">
        <v>26</v>
      </c>
      <c r="E1586" s="1" t="s">
        <v>27</v>
      </c>
      <c r="F1586" s="1" t="s">
        <v>49</v>
      </c>
      <c r="G1586" s="1" t="s">
        <v>42</v>
      </c>
      <c r="H1586" s="1" t="s">
        <v>43</v>
      </c>
      <c r="I1586" s="1" t="s">
        <v>491</v>
      </c>
      <c r="J1586" s="1">
        <v>9</v>
      </c>
      <c r="K1586" s="3">
        <v>9387.2800000000007</v>
      </c>
      <c r="L1586" s="1">
        <v>5</v>
      </c>
      <c r="M1586" s="1" t="s">
        <v>93</v>
      </c>
      <c r="N1586" s="10" t="s">
        <v>45</v>
      </c>
      <c r="Q1586"/>
    </row>
    <row r="1587" spans="1:17" x14ac:dyDescent="0.25">
      <c r="A1587" s="9" t="s">
        <v>2575</v>
      </c>
      <c r="B1587" s="2">
        <v>45341</v>
      </c>
      <c r="C1587" s="1" t="s">
        <v>1764</v>
      </c>
      <c r="D1587" s="1" t="s">
        <v>33</v>
      </c>
      <c r="E1587" s="1" t="s">
        <v>17</v>
      </c>
      <c r="F1587" s="1" t="s">
        <v>49</v>
      </c>
      <c r="G1587" s="1" t="s">
        <v>53</v>
      </c>
      <c r="H1587" s="1" t="s">
        <v>54</v>
      </c>
      <c r="I1587" s="1" t="s">
        <v>554</v>
      </c>
      <c r="J1587" s="1">
        <v>10</v>
      </c>
      <c r="K1587" s="3">
        <v>16771.5</v>
      </c>
      <c r="L1587" s="1">
        <v>0</v>
      </c>
      <c r="M1587" s="1" t="s">
        <v>36</v>
      </c>
      <c r="N1587" s="10" t="s">
        <v>74</v>
      </c>
      <c r="Q1587"/>
    </row>
    <row r="1588" spans="1:17" x14ac:dyDescent="0.25">
      <c r="A1588" s="9" t="s">
        <v>2576</v>
      </c>
      <c r="B1588" s="2">
        <v>45397</v>
      </c>
      <c r="C1588" s="1" t="s">
        <v>533</v>
      </c>
      <c r="D1588" s="1" t="s">
        <v>81</v>
      </c>
      <c r="E1588" s="1" t="s">
        <v>27</v>
      </c>
      <c r="F1588" s="1" t="s">
        <v>99</v>
      </c>
      <c r="G1588" s="1" t="s">
        <v>83</v>
      </c>
      <c r="H1588" s="1" t="s">
        <v>43</v>
      </c>
      <c r="I1588" s="1" t="s">
        <v>652</v>
      </c>
      <c r="J1588" s="1">
        <v>4</v>
      </c>
      <c r="K1588" s="3">
        <v>2579.7399999999998</v>
      </c>
      <c r="L1588" s="1">
        <v>10</v>
      </c>
      <c r="M1588" s="1" t="s">
        <v>36</v>
      </c>
      <c r="N1588" s="10" t="s">
        <v>23</v>
      </c>
      <c r="Q1588"/>
    </row>
    <row r="1589" spans="1:17" x14ac:dyDescent="0.25">
      <c r="A1589" s="9" t="s">
        <v>2577</v>
      </c>
      <c r="B1589" s="2">
        <v>45504</v>
      </c>
      <c r="C1589" s="1" t="s">
        <v>1817</v>
      </c>
      <c r="D1589" s="1" t="s">
        <v>81</v>
      </c>
      <c r="E1589" s="1" t="s">
        <v>17</v>
      </c>
      <c r="F1589" s="1" t="s">
        <v>49</v>
      </c>
      <c r="G1589" s="1" t="s">
        <v>42</v>
      </c>
      <c r="H1589" s="1" t="s">
        <v>43</v>
      </c>
      <c r="I1589" s="1" t="s">
        <v>144</v>
      </c>
      <c r="J1589" s="1">
        <v>6</v>
      </c>
      <c r="K1589" s="3">
        <v>13277.82</v>
      </c>
      <c r="L1589" s="1">
        <v>10</v>
      </c>
      <c r="M1589" s="1" t="s">
        <v>22</v>
      </c>
      <c r="N1589" s="10" t="s">
        <v>74</v>
      </c>
      <c r="Q1589"/>
    </row>
    <row r="1590" spans="1:17" x14ac:dyDescent="0.25">
      <c r="A1590" s="9" t="s">
        <v>2578</v>
      </c>
      <c r="B1590" s="2">
        <v>45280</v>
      </c>
      <c r="C1590" s="1" t="s">
        <v>767</v>
      </c>
      <c r="D1590" s="1" t="s">
        <v>40</v>
      </c>
      <c r="E1590" s="1" t="s">
        <v>59</v>
      </c>
      <c r="F1590" s="1" t="s">
        <v>49</v>
      </c>
      <c r="G1590" s="1" t="s">
        <v>42</v>
      </c>
      <c r="H1590" s="1" t="s">
        <v>43</v>
      </c>
      <c r="I1590" s="1" t="s">
        <v>50</v>
      </c>
      <c r="J1590" s="1">
        <v>2</v>
      </c>
      <c r="K1590" s="3">
        <v>5052.16</v>
      </c>
      <c r="L1590" s="1">
        <v>20</v>
      </c>
      <c r="M1590" s="1" t="s">
        <v>93</v>
      </c>
      <c r="N1590" s="10" t="s">
        <v>23</v>
      </c>
      <c r="Q1590"/>
    </row>
    <row r="1591" spans="1:17" x14ac:dyDescent="0.25">
      <c r="A1591" s="9" t="s">
        <v>2579</v>
      </c>
      <c r="B1591" s="2">
        <v>45553</v>
      </c>
      <c r="C1591" s="1" t="s">
        <v>1534</v>
      </c>
      <c r="D1591" s="1" t="s">
        <v>71</v>
      </c>
      <c r="E1591" s="1" t="s">
        <v>59</v>
      </c>
      <c r="F1591" s="1" t="s">
        <v>88</v>
      </c>
      <c r="G1591" s="1" t="s">
        <v>42</v>
      </c>
      <c r="H1591" s="1" t="s">
        <v>43</v>
      </c>
      <c r="I1591" s="1" t="s">
        <v>285</v>
      </c>
      <c r="J1591" s="1">
        <v>5</v>
      </c>
      <c r="K1591" s="3">
        <v>17255.599999999999</v>
      </c>
      <c r="L1591" s="1">
        <v>0</v>
      </c>
      <c r="M1591" s="1" t="s">
        <v>22</v>
      </c>
      <c r="N1591" s="10" t="s">
        <v>31</v>
      </c>
      <c r="Q1591"/>
    </row>
    <row r="1592" spans="1:17" x14ac:dyDescent="0.25">
      <c r="A1592" s="9" t="s">
        <v>2580</v>
      </c>
      <c r="B1592" s="2">
        <v>45265</v>
      </c>
      <c r="C1592" s="1" t="s">
        <v>2581</v>
      </c>
      <c r="D1592" s="1" t="s">
        <v>16</v>
      </c>
      <c r="E1592" s="1" t="s">
        <v>72</v>
      </c>
      <c r="F1592" s="1" t="s">
        <v>99</v>
      </c>
      <c r="G1592" s="1" t="s">
        <v>42</v>
      </c>
      <c r="H1592" s="1" t="s">
        <v>61</v>
      </c>
      <c r="I1592" s="1" t="s">
        <v>294</v>
      </c>
      <c r="J1592" s="1">
        <v>8</v>
      </c>
      <c r="K1592" s="3">
        <v>976.83</v>
      </c>
      <c r="L1592" s="1">
        <v>5</v>
      </c>
      <c r="M1592" s="1" t="s">
        <v>56</v>
      </c>
      <c r="N1592" s="10" t="s">
        <v>45</v>
      </c>
      <c r="Q1592"/>
    </row>
    <row r="1593" spans="1:17" x14ac:dyDescent="0.25">
      <c r="A1593" s="9" t="s">
        <v>2582</v>
      </c>
      <c r="B1593" s="2">
        <v>45454</v>
      </c>
      <c r="C1593" s="1" t="s">
        <v>1253</v>
      </c>
      <c r="D1593" s="1" t="s">
        <v>147</v>
      </c>
      <c r="E1593" s="1" t="s">
        <v>34</v>
      </c>
      <c r="F1593" s="1" t="s">
        <v>28</v>
      </c>
      <c r="G1593" s="1" t="s">
        <v>19</v>
      </c>
      <c r="H1593" s="1" t="s">
        <v>29</v>
      </c>
      <c r="I1593" s="1" t="s">
        <v>646</v>
      </c>
      <c r="J1593" s="1">
        <v>8</v>
      </c>
      <c r="K1593" s="3">
        <v>6860.6</v>
      </c>
      <c r="L1593" s="1">
        <v>0</v>
      </c>
      <c r="M1593" s="1" t="s">
        <v>93</v>
      </c>
      <c r="N1593" s="10" t="s">
        <v>37</v>
      </c>
      <c r="Q1593"/>
    </row>
    <row r="1594" spans="1:17" x14ac:dyDescent="0.25">
      <c r="A1594" s="9" t="s">
        <v>2583</v>
      </c>
      <c r="B1594" s="2">
        <v>45113</v>
      </c>
      <c r="C1594" s="1" t="s">
        <v>2327</v>
      </c>
      <c r="D1594" s="1" t="s">
        <v>16</v>
      </c>
      <c r="E1594" s="1" t="s">
        <v>59</v>
      </c>
      <c r="F1594" s="1" t="s">
        <v>88</v>
      </c>
      <c r="G1594" s="1" t="s">
        <v>83</v>
      </c>
      <c r="H1594" s="1" t="s">
        <v>43</v>
      </c>
      <c r="I1594" s="1" t="s">
        <v>566</v>
      </c>
      <c r="J1594" s="1">
        <v>2</v>
      </c>
      <c r="K1594" s="3">
        <v>7774.79</v>
      </c>
      <c r="L1594" s="1">
        <v>10</v>
      </c>
      <c r="M1594" s="1" t="s">
        <v>36</v>
      </c>
      <c r="N1594" s="10" t="s">
        <v>45</v>
      </c>
      <c r="Q1594"/>
    </row>
    <row r="1595" spans="1:17" x14ac:dyDescent="0.25">
      <c r="A1595" s="9" t="s">
        <v>2584</v>
      </c>
      <c r="B1595" s="2">
        <v>45285</v>
      </c>
      <c r="C1595" s="1" t="s">
        <v>808</v>
      </c>
      <c r="D1595" s="1" t="s">
        <v>81</v>
      </c>
      <c r="E1595" s="1" t="s">
        <v>34</v>
      </c>
      <c r="F1595" s="1" t="s">
        <v>88</v>
      </c>
      <c r="G1595" s="1" t="s">
        <v>83</v>
      </c>
      <c r="H1595" s="1" t="s">
        <v>43</v>
      </c>
      <c r="I1595" s="1" t="s">
        <v>329</v>
      </c>
      <c r="J1595" s="1">
        <v>2</v>
      </c>
      <c r="K1595" s="3">
        <v>6881.2</v>
      </c>
      <c r="L1595" s="1">
        <v>15</v>
      </c>
      <c r="M1595" s="1" t="s">
        <v>56</v>
      </c>
      <c r="N1595" s="10" t="s">
        <v>31</v>
      </c>
      <c r="Q1595"/>
    </row>
    <row r="1596" spans="1:17" x14ac:dyDescent="0.25">
      <c r="A1596" s="9" t="s">
        <v>2585</v>
      </c>
      <c r="B1596" s="2">
        <v>44984</v>
      </c>
      <c r="C1596" s="1" t="s">
        <v>1616</v>
      </c>
      <c r="D1596" s="1" t="s">
        <v>33</v>
      </c>
      <c r="E1596" s="1" t="s">
        <v>17</v>
      </c>
      <c r="F1596" s="1" t="s">
        <v>82</v>
      </c>
      <c r="G1596" s="1" t="s">
        <v>53</v>
      </c>
      <c r="H1596" s="1" t="s">
        <v>54</v>
      </c>
      <c r="I1596" s="1" t="s">
        <v>437</v>
      </c>
      <c r="J1596" s="1">
        <v>2</v>
      </c>
      <c r="K1596" s="3">
        <v>8409.6299999999992</v>
      </c>
      <c r="L1596" s="1">
        <v>20</v>
      </c>
      <c r="M1596" s="1" t="s">
        <v>36</v>
      </c>
      <c r="N1596" s="10" t="s">
        <v>23</v>
      </c>
      <c r="Q1596"/>
    </row>
    <row r="1597" spans="1:17" x14ac:dyDescent="0.25">
      <c r="A1597" s="9" t="s">
        <v>2586</v>
      </c>
      <c r="B1597" s="2">
        <v>45654</v>
      </c>
      <c r="C1597" s="1" t="s">
        <v>640</v>
      </c>
      <c r="D1597" s="1" t="s">
        <v>71</v>
      </c>
      <c r="E1597" s="1" t="s">
        <v>72</v>
      </c>
      <c r="F1597" s="1" t="s">
        <v>99</v>
      </c>
      <c r="G1597" s="1" t="s">
        <v>42</v>
      </c>
      <c r="H1597" s="1" t="s">
        <v>43</v>
      </c>
      <c r="I1597" s="1" t="s">
        <v>488</v>
      </c>
      <c r="J1597" s="1">
        <v>4</v>
      </c>
      <c r="K1597" s="3">
        <v>8039.17</v>
      </c>
      <c r="L1597" s="1" t="s">
        <v>110</v>
      </c>
      <c r="M1597" s="1" t="s">
        <v>69</v>
      </c>
      <c r="N1597" s="10" t="s">
        <v>74</v>
      </c>
      <c r="Q1597"/>
    </row>
    <row r="1598" spans="1:17" x14ac:dyDescent="0.25">
      <c r="A1598" s="9" t="s">
        <v>2587</v>
      </c>
      <c r="B1598" s="2">
        <v>45385</v>
      </c>
      <c r="C1598" s="1" t="s">
        <v>1239</v>
      </c>
      <c r="D1598" s="1" t="s">
        <v>87</v>
      </c>
      <c r="E1598" s="1" t="s">
        <v>34</v>
      </c>
      <c r="F1598" s="1" t="s">
        <v>49</v>
      </c>
      <c r="G1598" s="1" t="s">
        <v>19</v>
      </c>
      <c r="H1598" s="1" t="s">
        <v>20</v>
      </c>
      <c r="I1598" s="1" t="s">
        <v>391</v>
      </c>
      <c r="J1598" s="1">
        <v>10</v>
      </c>
      <c r="K1598" s="3">
        <v>22950.99</v>
      </c>
      <c r="L1598" s="1" t="s">
        <v>110</v>
      </c>
      <c r="M1598" s="1" t="s">
        <v>63</v>
      </c>
      <c r="N1598" s="10" t="s">
        <v>37</v>
      </c>
      <c r="Q1598"/>
    </row>
    <row r="1599" spans="1:17" x14ac:dyDescent="0.25">
      <c r="A1599" s="9" t="s">
        <v>2588</v>
      </c>
      <c r="B1599" s="2">
        <v>45544</v>
      </c>
      <c r="C1599" s="1" t="s">
        <v>2035</v>
      </c>
      <c r="D1599" s="1" t="s">
        <v>33</v>
      </c>
      <c r="E1599" s="1" t="s">
        <v>41</v>
      </c>
      <c r="F1599" s="1" t="s">
        <v>82</v>
      </c>
      <c r="G1599" s="1" t="s">
        <v>19</v>
      </c>
      <c r="H1599" s="1" t="s">
        <v>29</v>
      </c>
      <c r="I1599" s="1" t="s">
        <v>556</v>
      </c>
      <c r="J1599" s="1">
        <v>9</v>
      </c>
      <c r="K1599" s="3">
        <v>36353.85</v>
      </c>
      <c r="L1599" s="1">
        <v>10</v>
      </c>
      <c r="M1599" s="1" t="s">
        <v>63</v>
      </c>
      <c r="N1599" s="10" t="s">
        <v>31</v>
      </c>
      <c r="Q1599"/>
    </row>
    <row r="1600" spans="1:17" x14ac:dyDescent="0.25">
      <c r="A1600" s="9" t="s">
        <v>2589</v>
      </c>
      <c r="B1600" s="2">
        <v>45114</v>
      </c>
      <c r="C1600" s="1" t="s">
        <v>1408</v>
      </c>
      <c r="D1600" s="1" t="s">
        <v>26</v>
      </c>
      <c r="E1600" s="1" t="s">
        <v>17</v>
      </c>
      <c r="F1600" s="1" t="s">
        <v>99</v>
      </c>
      <c r="G1600" s="1" t="s">
        <v>19</v>
      </c>
      <c r="H1600" s="1" t="s">
        <v>29</v>
      </c>
      <c r="I1600" s="1" t="s">
        <v>475</v>
      </c>
      <c r="J1600" s="1">
        <v>2</v>
      </c>
      <c r="K1600" s="3">
        <v>8208.76</v>
      </c>
      <c r="L1600" s="1">
        <v>10</v>
      </c>
      <c r="M1600" s="1" t="s">
        <v>56</v>
      </c>
      <c r="N1600" s="10" t="s">
        <v>37</v>
      </c>
      <c r="Q1600"/>
    </row>
    <row r="1601" spans="1:17" x14ac:dyDescent="0.25">
      <c r="A1601" s="9" t="s">
        <v>2590</v>
      </c>
      <c r="B1601" s="2">
        <v>45143</v>
      </c>
      <c r="C1601" s="1" t="s">
        <v>1498</v>
      </c>
      <c r="D1601" s="1" t="s">
        <v>26</v>
      </c>
      <c r="E1601" s="1" t="s">
        <v>72</v>
      </c>
      <c r="F1601" s="1" t="s">
        <v>60</v>
      </c>
      <c r="G1601" s="1" t="s">
        <v>19</v>
      </c>
      <c r="H1601" s="1" t="s">
        <v>29</v>
      </c>
      <c r="I1601" s="1" t="s">
        <v>320</v>
      </c>
      <c r="J1601" s="1">
        <v>10</v>
      </c>
      <c r="K1601" s="3">
        <v>1663.5</v>
      </c>
      <c r="L1601" s="1">
        <v>0</v>
      </c>
      <c r="M1601" s="1" t="s">
        <v>36</v>
      </c>
      <c r="N1601" s="10" t="s">
        <v>45</v>
      </c>
      <c r="Q1601"/>
    </row>
    <row r="1602" spans="1:17" x14ac:dyDescent="0.25">
      <c r="A1602" s="9" t="s">
        <v>2591</v>
      </c>
      <c r="B1602" s="2">
        <v>45059</v>
      </c>
      <c r="C1602" s="1" t="s">
        <v>166</v>
      </c>
      <c r="D1602" s="1" t="s">
        <v>192</v>
      </c>
      <c r="E1602" s="1" t="s">
        <v>34</v>
      </c>
      <c r="F1602" s="1" t="s">
        <v>99</v>
      </c>
      <c r="G1602" s="1" t="s">
        <v>83</v>
      </c>
      <c r="H1602" s="1" t="s">
        <v>43</v>
      </c>
      <c r="I1602" s="1" t="s">
        <v>494</v>
      </c>
      <c r="J1602" s="1">
        <v>5</v>
      </c>
      <c r="K1602" s="3">
        <v>12753.75</v>
      </c>
      <c r="L1602" s="1">
        <v>10</v>
      </c>
      <c r="M1602" s="1" t="s">
        <v>22</v>
      </c>
      <c r="N1602" s="10" t="s">
        <v>64</v>
      </c>
      <c r="Q1602"/>
    </row>
    <row r="1603" spans="1:17" x14ac:dyDescent="0.25">
      <c r="A1603" s="9" t="s">
        <v>2592</v>
      </c>
      <c r="B1603" s="2">
        <v>45612</v>
      </c>
      <c r="C1603" s="1" t="s">
        <v>616</v>
      </c>
      <c r="D1603" s="1" t="s">
        <v>40</v>
      </c>
      <c r="E1603" s="1" t="s">
        <v>59</v>
      </c>
      <c r="F1603" s="1" t="s">
        <v>28</v>
      </c>
      <c r="G1603" s="1" t="s">
        <v>19</v>
      </c>
      <c r="H1603" s="1" t="s">
        <v>29</v>
      </c>
      <c r="I1603" s="1" t="s">
        <v>475</v>
      </c>
      <c r="J1603" s="1">
        <v>9</v>
      </c>
      <c r="K1603" s="3">
        <v>21293.95</v>
      </c>
      <c r="L1603" s="1" t="s">
        <v>110</v>
      </c>
      <c r="M1603" s="1" t="s">
        <v>56</v>
      </c>
      <c r="N1603" s="10" t="s">
        <v>37</v>
      </c>
      <c r="Q1603"/>
    </row>
    <row r="1604" spans="1:17" x14ac:dyDescent="0.25">
      <c r="A1604" s="9" t="s">
        <v>2593</v>
      </c>
      <c r="B1604" s="2">
        <v>45232</v>
      </c>
      <c r="C1604" s="1" t="s">
        <v>2594</v>
      </c>
      <c r="D1604" s="1" t="s">
        <v>16</v>
      </c>
      <c r="E1604" s="1" t="s">
        <v>59</v>
      </c>
      <c r="F1604" s="1" t="s">
        <v>49</v>
      </c>
      <c r="G1604" s="1" t="s">
        <v>19</v>
      </c>
      <c r="H1604" s="1" t="s">
        <v>29</v>
      </c>
      <c r="I1604" s="1" t="s">
        <v>148</v>
      </c>
      <c r="J1604" s="1">
        <v>7</v>
      </c>
      <c r="K1604" s="3">
        <v>28586.31</v>
      </c>
      <c r="L1604" s="1">
        <v>5</v>
      </c>
      <c r="M1604" s="1" t="s">
        <v>93</v>
      </c>
      <c r="N1604" s="10" t="s">
        <v>64</v>
      </c>
      <c r="Q1604"/>
    </row>
    <row r="1605" spans="1:17" x14ac:dyDescent="0.25">
      <c r="A1605" s="9" t="s">
        <v>2595</v>
      </c>
      <c r="B1605" s="2">
        <v>45407</v>
      </c>
      <c r="C1605" s="1" t="s">
        <v>2456</v>
      </c>
      <c r="D1605" s="1" t="s">
        <v>52</v>
      </c>
      <c r="E1605" s="1" t="s">
        <v>59</v>
      </c>
      <c r="F1605" s="1" t="s">
        <v>60</v>
      </c>
      <c r="G1605" s="1" t="s">
        <v>53</v>
      </c>
      <c r="H1605" s="1" t="s">
        <v>54</v>
      </c>
      <c r="I1605" s="1" t="s">
        <v>639</v>
      </c>
      <c r="J1605" s="1">
        <v>3</v>
      </c>
      <c r="K1605" s="3">
        <v>14331.13</v>
      </c>
      <c r="L1605" s="1">
        <v>15</v>
      </c>
      <c r="M1605" s="1" t="s">
        <v>36</v>
      </c>
      <c r="N1605" s="10" t="s">
        <v>74</v>
      </c>
      <c r="Q1605"/>
    </row>
    <row r="1606" spans="1:17" x14ac:dyDescent="0.25">
      <c r="A1606" s="9" t="s">
        <v>2596</v>
      </c>
      <c r="B1606" s="2">
        <v>45228</v>
      </c>
      <c r="C1606" s="1" t="s">
        <v>1296</v>
      </c>
      <c r="D1606" s="1" t="s">
        <v>26</v>
      </c>
      <c r="E1606" s="1" t="s">
        <v>59</v>
      </c>
      <c r="F1606" s="1" t="s">
        <v>82</v>
      </c>
      <c r="G1606" s="1" t="s">
        <v>42</v>
      </c>
      <c r="H1606" s="1" t="s">
        <v>43</v>
      </c>
      <c r="I1606" s="1" t="s">
        <v>494</v>
      </c>
      <c r="J1606" s="1">
        <v>6</v>
      </c>
      <c r="K1606" s="3">
        <v>23955.13</v>
      </c>
      <c r="L1606" s="1" t="s">
        <v>110</v>
      </c>
      <c r="M1606" s="1" t="s">
        <v>36</v>
      </c>
      <c r="N1606" s="10" t="s">
        <v>37</v>
      </c>
      <c r="Q1606"/>
    </row>
    <row r="1607" spans="1:17" x14ac:dyDescent="0.25">
      <c r="A1607" s="9" t="s">
        <v>2597</v>
      </c>
      <c r="B1607" s="2">
        <v>45194</v>
      </c>
      <c r="C1607" s="1" t="s">
        <v>1083</v>
      </c>
      <c r="D1607" s="1" t="s">
        <v>67</v>
      </c>
      <c r="E1607" s="1" t="s">
        <v>59</v>
      </c>
      <c r="F1607" s="1" t="s">
        <v>82</v>
      </c>
      <c r="G1607" s="1" t="s">
        <v>19</v>
      </c>
      <c r="H1607" s="1" t="s">
        <v>29</v>
      </c>
      <c r="I1607" s="1" t="s">
        <v>267</v>
      </c>
      <c r="J1607" s="1">
        <v>3</v>
      </c>
      <c r="K1607" s="3">
        <v>14898.69</v>
      </c>
      <c r="L1607" s="1">
        <v>5</v>
      </c>
      <c r="M1607" s="1" t="s">
        <v>63</v>
      </c>
      <c r="N1607" s="10" t="s">
        <v>74</v>
      </c>
      <c r="Q1607"/>
    </row>
    <row r="1608" spans="1:17" x14ac:dyDescent="0.25">
      <c r="A1608" s="9" t="s">
        <v>2598</v>
      </c>
      <c r="B1608" s="2">
        <v>45356</v>
      </c>
      <c r="C1608" s="1" t="s">
        <v>1823</v>
      </c>
      <c r="D1608" s="1" t="s">
        <v>52</v>
      </c>
      <c r="E1608" s="1" t="s">
        <v>41</v>
      </c>
      <c r="F1608" s="1" t="s">
        <v>82</v>
      </c>
      <c r="G1608" s="1" t="s">
        <v>83</v>
      </c>
      <c r="H1608" s="1" t="s">
        <v>43</v>
      </c>
      <c r="I1608" s="1" t="s">
        <v>365</v>
      </c>
      <c r="J1608" s="1">
        <v>4</v>
      </c>
      <c r="K1608" s="3">
        <v>15824.64</v>
      </c>
      <c r="L1608" s="1" t="s">
        <v>110</v>
      </c>
      <c r="M1608" s="1" t="s">
        <v>69</v>
      </c>
      <c r="N1608" s="10" t="s">
        <v>31</v>
      </c>
      <c r="Q1608"/>
    </row>
    <row r="1609" spans="1:17" x14ac:dyDescent="0.25">
      <c r="A1609" s="9" t="s">
        <v>2599</v>
      </c>
      <c r="B1609" s="2">
        <v>45066</v>
      </c>
      <c r="C1609" s="1" t="s">
        <v>292</v>
      </c>
      <c r="D1609" s="1" t="s">
        <v>40</v>
      </c>
      <c r="E1609" s="1" t="s">
        <v>34</v>
      </c>
      <c r="F1609" s="1" t="s">
        <v>18</v>
      </c>
      <c r="G1609" s="1" t="s">
        <v>19</v>
      </c>
      <c r="H1609" s="1" t="s">
        <v>29</v>
      </c>
      <c r="I1609" s="1" t="s">
        <v>370</v>
      </c>
      <c r="J1609" s="1">
        <v>10</v>
      </c>
      <c r="K1609" s="3">
        <v>23801.56</v>
      </c>
      <c r="L1609" s="1">
        <v>0</v>
      </c>
      <c r="M1609" s="1" t="s">
        <v>22</v>
      </c>
      <c r="N1609" s="10" t="s">
        <v>37</v>
      </c>
      <c r="Q1609"/>
    </row>
    <row r="1610" spans="1:17" x14ac:dyDescent="0.25">
      <c r="A1610" s="9" t="s">
        <v>2600</v>
      </c>
      <c r="B1610" s="2">
        <v>45085</v>
      </c>
      <c r="C1610" s="1" t="s">
        <v>1597</v>
      </c>
      <c r="D1610" s="1" t="s">
        <v>26</v>
      </c>
      <c r="E1610" s="1" t="s">
        <v>41</v>
      </c>
      <c r="F1610" s="1" t="s">
        <v>18</v>
      </c>
      <c r="G1610" s="1" t="s">
        <v>42</v>
      </c>
      <c r="H1610" s="1" t="s">
        <v>43</v>
      </c>
      <c r="I1610" s="1" t="s">
        <v>566</v>
      </c>
      <c r="J1610" s="1">
        <v>1</v>
      </c>
      <c r="K1610" s="3">
        <v>3140</v>
      </c>
      <c r="L1610" s="1">
        <v>5</v>
      </c>
      <c r="M1610" s="1" t="s">
        <v>63</v>
      </c>
      <c r="N1610" s="10" t="s">
        <v>23</v>
      </c>
      <c r="Q1610"/>
    </row>
    <row r="1611" spans="1:17" x14ac:dyDescent="0.25">
      <c r="A1611" s="9" t="s">
        <v>2601</v>
      </c>
      <c r="B1611" s="2">
        <v>45604</v>
      </c>
      <c r="C1611" s="1" t="s">
        <v>878</v>
      </c>
      <c r="D1611" s="1" t="s">
        <v>33</v>
      </c>
      <c r="E1611" s="1" t="s">
        <v>59</v>
      </c>
      <c r="F1611" s="1" t="s">
        <v>49</v>
      </c>
      <c r="G1611" s="1" t="s">
        <v>42</v>
      </c>
      <c r="H1611" s="1" t="s">
        <v>61</v>
      </c>
      <c r="I1611" s="1" t="s">
        <v>68</v>
      </c>
      <c r="J1611" s="1">
        <v>6</v>
      </c>
      <c r="K1611" s="3">
        <v>19168.919999999998</v>
      </c>
      <c r="L1611" s="1" t="s">
        <v>110</v>
      </c>
      <c r="M1611" s="1" t="s">
        <v>22</v>
      </c>
      <c r="N1611" s="10" t="s">
        <v>45</v>
      </c>
      <c r="Q1611"/>
    </row>
    <row r="1612" spans="1:17" x14ac:dyDescent="0.25">
      <c r="A1612" s="9" t="s">
        <v>2602</v>
      </c>
      <c r="B1612" s="2">
        <v>45325</v>
      </c>
      <c r="C1612" s="1" t="s">
        <v>2603</v>
      </c>
      <c r="D1612" s="1" t="s">
        <v>16</v>
      </c>
      <c r="E1612" s="1" t="s">
        <v>72</v>
      </c>
      <c r="F1612" s="1" t="s">
        <v>18</v>
      </c>
      <c r="G1612" s="1" t="s">
        <v>53</v>
      </c>
      <c r="H1612" s="1" t="s">
        <v>54</v>
      </c>
      <c r="I1612" s="1" t="s">
        <v>639</v>
      </c>
      <c r="J1612" s="1">
        <v>8</v>
      </c>
      <c r="K1612" s="3">
        <v>2444.4</v>
      </c>
      <c r="L1612" s="1">
        <v>10</v>
      </c>
      <c r="M1612" s="1" t="s">
        <v>93</v>
      </c>
      <c r="N1612" s="10" t="s">
        <v>31</v>
      </c>
      <c r="Q1612"/>
    </row>
    <row r="1613" spans="1:17" x14ac:dyDescent="0.25">
      <c r="A1613" s="9" t="s">
        <v>2605</v>
      </c>
      <c r="B1613" s="2">
        <v>45033</v>
      </c>
      <c r="C1613" s="1" t="s">
        <v>2007</v>
      </c>
      <c r="D1613" s="1" t="s">
        <v>87</v>
      </c>
      <c r="E1613" s="1" t="s">
        <v>59</v>
      </c>
      <c r="F1613" s="1" t="s">
        <v>88</v>
      </c>
      <c r="G1613" s="1" t="s">
        <v>19</v>
      </c>
      <c r="H1613" s="1" t="s">
        <v>29</v>
      </c>
      <c r="I1613" s="1" t="s">
        <v>646</v>
      </c>
      <c r="J1613" s="1">
        <v>7</v>
      </c>
      <c r="K1613" s="3">
        <v>21548</v>
      </c>
      <c r="L1613" s="1">
        <v>20</v>
      </c>
      <c r="M1613" s="1" t="s">
        <v>56</v>
      </c>
      <c r="N1613" s="10" t="s">
        <v>64</v>
      </c>
      <c r="Q1613"/>
    </row>
    <row r="1614" spans="1:17" x14ac:dyDescent="0.25">
      <c r="A1614" s="9" t="s">
        <v>2606</v>
      </c>
      <c r="B1614" s="2">
        <v>45624</v>
      </c>
      <c r="C1614" s="1" t="s">
        <v>1252</v>
      </c>
      <c r="D1614" s="1" t="s">
        <v>40</v>
      </c>
      <c r="E1614" s="1" t="s">
        <v>27</v>
      </c>
      <c r="F1614" s="1" t="s">
        <v>82</v>
      </c>
      <c r="G1614" s="1" t="s">
        <v>53</v>
      </c>
      <c r="H1614" s="1" t="s">
        <v>54</v>
      </c>
      <c r="I1614" s="1" t="s">
        <v>308</v>
      </c>
      <c r="J1614" s="1">
        <v>4</v>
      </c>
      <c r="K1614" s="3">
        <v>3669.42</v>
      </c>
      <c r="L1614" s="1" t="s">
        <v>110</v>
      </c>
      <c r="M1614" s="1" t="s">
        <v>93</v>
      </c>
      <c r="N1614" s="10" t="s">
        <v>23</v>
      </c>
      <c r="Q1614"/>
    </row>
    <row r="1615" spans="1:17" x14ac:dyDescent="0.25">
      <c r="A1615" s="9" t="s">
        <v>2607</v>
      </c>
      <c r="B1615" s="2">
        <v>44932</v>
      </c>
      <c r="C1615" s="1" t="s">
        <v>98</v>
      </c>
      <c r="D1615" s="1" t="s">
        <v>71</v>
      </c>
      <c r="E1615" s="1" t="s">
        <v>72</v>
      </c>
      <c r="F1615" s="1" t="s">
        <v>18</v>
      </c>
      <c r="G1615" s="1" t="s">
        <v>19</v>
      </c>
      <c r="H1615" s="1" t="s">
        <v>29</v>
      </c>
      <c r="I1615" s="1" t="s">
        <v>320</v>
      </c>
      <c r="J1615" s="1">
        <v>8</v>
      </c>
      <c r="K1615" s="3">
        <v>24709.11</v>
      </c>
      <c r="L1615" s="1">
        <v>20</v>
      </c>
      <c r="M1615" s="1" t="s">
        <v>69</v>
      </c>
      <c r="N1615" s="10" t="s">
        <v>23</v>
      </c>
      <c r="Q1615"/>
    </row>
    <row r="1616" spans="1:17" x14ac:dyDescent="0.25">
      <c r="A1616" s="9" t="s">
        <v>2609</v>
      </c>
      <c r="B1616" s="2">
        <v>45455</v>
      </c>
      <c r="C1616" s="1" t="s">
        <v>1420</v>
      </c>
      <c r="D1616" s="1" t="s">
        <v>16</v>
      </c>
      <c r="E1616" s="1" t="s">
        <v>17</v>
      </c>
      <c r="F1616" s="1" t="s">
        <v>88</v>
      </c>
      <c r="G1616" s="1" t="s">
        <v>19</v>
      </c>
      <c r="H1616" s="1" t="s">
        <v>20</v>
      </c>
      <c r="I1616" s="1" t="s">
        <v>138</v>
      </c>
      <c r="J1616" s="1">
        <v>6</v>
      </c>
      <c r="K1616" s="3">
        <v>7566.2</v>
      </c>
      <c r="L1616" s="1">
        <v>15</v>
      </c>
      <c r="M1616" s="1" t="s">
        <v>22</v>
      </c>
      <c r="N1616" s="10" t="s">
        <v>45</v>
      </c>
      <c r="Q1616"/>
    </row>
    <row r="1617" spans="1:17" x14ac:dyDescent="0.25">
      <c r="A1617" s="9" t="s">
        <v>2610</v>
      </c>
      <c r="B1617" s="2">
        <v>45102</v>
      </c>
      <c r="C1617" s="1" t="s">
        <v>1046</v>
      </c>
      <c r="D1617" s="1" t="s">
        <v>71</v>
      </c>
      <c r="E1617" s="1" t="s">
        <v>41</v>
      </c>
      <c r="F1617" s="1" t="s">
        <v>88</v>
      </c>
      <c r="G1617" s="1" t="s">
        <v>19</v>
      </c>
      <c r="H1617" s="1" t="s">
        <v>29</v>
      </c>
      <c r="I1617" s="1" t="s">
        <v>452</v>
      </c>
      <c r="J1617" s="1">
        <v>1</v>
      </c>
      <c r="K1617" s="3">
        <v>1652.18</v>
      </c>
      <c r="L1617" s="1">
        <v>15</v>
      </c>
      <c r="M1617" s="1" t="s">
        <v>63</v>
      </c>
      <c r="N1617" s="10" t="s">
        <v>74</v>
      </c>
      <c r="Q1617"/>
    </row>
    <row r="1618" spans="1:17" x14ac:dyDescent="0.25">
      <c r="A1618" s="9" t="s">
        <v>2611</v>
      </c>
      <c r="B1618" s="2">
        <v>45189</v>
      </c>
      <c r="C1618" s="1" t="s">
        <v>325</v>
      </c>
      <c r="D1618" s="1" t="s">
        <v>16</v>
      </c>
      <c r="E1618" s="1" t="s">
        <v>41</v>
      </c>
      <c r="F1618" s="1" t="s">
        <v>82</v>
      </c>
      <c r="G1618" s="1" t="s">
        <v>83</v>
      </c>
      <c r="H1618" s="1" t="s">
        <v>43</v>
      </c>
      <c r="I1618" s="1" t="s">
        <v>100</v>
      </c>
      <c r="J1618" s="1">
        <v>6</v>
      </c>
      <c r="K1618" s="3">
        <v>28265.78</v>
      </c>
      <c r="L1618" s="1">
        <v>15</v>
      </c>
      <c r="M1618" s="1" t="s">
        <v>56</v>
      </c>
      <c r="N1618" s="10" t="s">
        <v>74</v>
      </c>
      <c r="Q1618"/>
    </row>
    <row r="1619" spans="1:17" x14ac:dyDescent="0.25">
      <c r="A1619" s="9" t="s">
        <v>2612</v>
      </c>
      <c r="B1619" s="2">
        <v>45544</v>
      </c>
      <c r="C1619" s="1" t="s">
        <v>458</v>
      </c>
      <c r="D1619" s="1" t="s">
        <v>40</v>
      </c>
      <c r="E1619" s="1" t="s">
        <v>27</v>
      </c>
      <c r="F1619" s="1" t="s">
        <v>49</v>
      </c>
      <c r="G1619" s="1" t="s">
        <v>53</v>
      </c>
      <c r="H1619" s="1" t="s">
        <v>54</v>
      </c>
      <c r="I1619" s="1" t="s">
        <v>427</v>
      </c>
      <c r="J1619" s="1">
        <v>3</v>
      </c>
      <c r="K1619" s="3">
        <v>8787.67</v>
      </c>
      <c r="L1619" s="1">
        <v>0</v>
      </c>
      <c r="M1619" s="1" t="s">
        <v>56</v>
      </c>
      <c r="N1619" s="10" t="s">
        <v>45</v>
      </c>
      <c r="Q1619"/>
    </row>
    <row r="1620" spans="1:17" x14ac:dyDescent="0.25">
      <c r="A1620" s="9" t="s">
        <v>2613</v>
      </c>
      <c r="B1620" s="2">
        <v>45158</v>
      </c>
      <c r="C1620" s="1" t="s">
        <v>1434</v>
      </c>
      <c r="D1620" s="1" t="s">
        <v>87</v>
      </c>
      <c r="E1620" s="1" t="s">
        <v>34</v>
      </c>
      <c r="F1620" s="1" t="s">
        <v>99</v>
      </c>
      <c r="G1620" s="1" t="s">
        <v>42</v>
      </c>
      <c r="H1620" s="1" t="s">
        <v>43</v>
      </c>
      <c r="I1620" s="1" t="s">
        <v>339</v>
      </c>
      <c r="J1620" s="1">
        <v>3</v>
      </c>
      <c r="K1620" s="3">
        <v>3040.42</v>
      </c>
      <c r="L1620" s="1">
        <v>15</v>
      </c>
      <c r="M1620" s="1" t="s">
        <v>69</v>
      </c>
      <c r="N1620" s="10" t="s">
        <v>64</v>
      </c>
      <c r="Q1620"/>
    </row>
    <row r="1621" spans="1:17" x14ac:dyDescent="0.25">
      <c r="A1621" s="9" t="s">
        <v>2614</v>
      </c>
      <c r="B1621" s="2">
        <v>45283</v>
      </c>
      <c r="C1621" s="1" t="s">
        <v>1021</v>
      </c>
      <c r="D1621" s="1" t="s">
        <v>26</v>
      </c>
      <c r="E1621" s="1" t="s">
        <v>34</v>
      </c>
      <c r="F1621" s="1" t="s">
        <v>82</v>
      </c>
      <c r="G1621" s="1" t="s">
        <v>42</v>
      </c>
      <c r="H1621" s="1" t="s">
        <v>61</v>
      </c>
      <c r="I1621" s="1" t="s">
        <v>250</v>
      </c>
      <c r="J1621" s="1">
        <v>4</v>
      </c>
      <c r="K1621" s="3">
        <v>11994.71</v>
      </c>
      <c r="L1621" s="1">
        <v>10</v>
      </c>
      <c r="M1621" s="1" t="s">
        <v>93</v>
      </c>
      <c r="N1621" s="10" t="s">
        <v>45</v>
      </c>
      <c r="Q1621"/>
    </row>
    <row r="1622" spans="1:17" x14ac:dyDescent="0.25">
      <c r="A1622" s="9" t="s">
        <v>2615</v>
      </c>
      <c r="B1622" s="2">
        <v>45407</v>
      </c>
      <c r="C1622" s="1" t="s">
        <v>2286</v>
      </c>
      <c r="D1622" s="1" t="s">
        <v>81</v>
      </c>
      <c r="E1622" s="1" t="s">
        <v>27</v>
      </c>
      <c r="F1622" s="1" t="s">
        <v>82</v>
      </c>
      <c r="G1622" s="1" t="s">
        <v>19</v>
      </c>
      <c r="H1622" s="1" t="s">
        <v>29</v>
      </c>
      <c r="I1622" s="1" t="s">
        <v>148</v>
      </c>
      <c r="J1622" s="1">
        <v>1</v>
      </c>
      <c r="K1622" s="3">
        <v>2093.41</v>
      </c>
      <c r="L1622" s="1">
        <v>10</v>
      </c>
      <c r="M1622" s="1" t="s">
        <v>63</v>
      </c>
      <c r="N1622" s="10" t="s">
        <v>64</v>
      </c>
      <c r="Q1622"/>
    </row>
    <row r="1623" spans="1:17" x14ac:dyDescent="0.25">
      <c r="A1623" s="9" t="s">
        <v>2616</v>
      </c>
      <c r="B1623" s="2">
        <v>45194</v>
      </c>
      <c r="C1623" s="1" t="s">
        <v>517</v>
      </c>
      <c r="D1623" s="1" t="s">
        <v>87</v>
      </c>
      <c r="E1623" s="1" t="s">
        <v>59</v>
      </c>
      <c r="F1623" s="1" t="s">
        <v>60</v>
      </c>
      <c r="G1623" s="1" t="s">
        <v>42</v>
      </c>
      <c r="H1623" s="1" t="s">
        <v>43</v>
      </c>
      <c r="I1623" s="1" t="s">
        <v>365</v>
      </c>
      <c r="J1623" s="1">
        <v>9</v>
      </c>
      <c r="K1623" s="3">
        <v>7066.9</v>
      </c>
      <c r="L1623" s="1">
        <v>0</v>
      </c>
      <c r="M1623" s="1" t="s">
        <v>63</v>
      </c>
      <c r="N1623" s="10" t="s">
        <v>45</v>
      </c>
      <c r="Q1623"/>
    </row>
    <row r="1624" spans="1:17" x14ac:dyDescent="0.25">
      <c r="A1624" s="9" t="s">
        <v>2617</v>
      </c>
      <c r="B1624" s="2">
        <v>45267</v>
      </c>
      <c r="C1624" s="1" t="s">
        <v>1046</v>
      </c>
      <c r="D1624" s="1" t="s">
        <v>26</v>
      </c>
      <c r="E1624" s="1" t="s">
        <v>41</v>
      </c>
      <c r="F1624" s="1" t="s">
        <v>18</v>
      </c>
      <c r="G1624" s="1" t="s">
        <v>19</v>
      </c>
      <c r="H1624" s="1" t="s">
        <v>20</v>
      </c>
      <c r="I1624" s="1" t="s">
        <v>239</v>
      </c>
      <c r="J1624" s="1">
        <v>8</v>
      </c>
      <c r="K1624" s="3">
        <v>31617.35</v>
      </c>
      <c r="L1624" s="1" t="s">
        <v>110</v>
      </c>
      <c r="M1624" s="1" t="s">
        <v>69</v>
      </c>
      <c r="N1624" s="10" t="s">
        <v>45</v>
      </c>
      <c r="Q1624"/>
    </row>
    <row r="1625" spans="1:17" x14ac:dyDescent="0.25">
      <c r="A1625" s="9" t="s">
        <v>2618</v>
      </c>
      <c r="B1625" s="2">
        <v>45206</v>
      </c>
      <c r="C1625" s="1" t="s">
        <v>1793</v>
      </c>
      <c r="D1625" s="1" t="s">
        <v>87</v>
      </c>
      <c r="E1625" s="1" t="s">
        <v>27</v>
      </c>
      <c r="F1625" s="1" t="s">
        <v>82</v>
      </c>
      <c r="G1625" s="1" t="s">
        <v>42</v>
      </c>
      <c r="H1625" s="1" t="s">
        <v>61</v>
      </c>
      <c r="I1625" s="1" t="s">
        <v>302</v>
      </c>
      <c r="J1625" s="1">
        <v>3</v>
      </c>
      <c r="K1625" s="3">
        <v>7270.04</v>
      </c>
      <c r="L1625" s="1" t="s">
        <v>110</v>
      </c>
      <c r="M1625" s="1" t="s">
        <v>93</v>
      </c>
      <c r="N1625" s="10" t="s">
        <v>45</v>
      </c>
      <c r="Q1625"/>
    </row>
    <row r="1626" spans="1:17" x14ac:dyDescent="0.25">
      <c r="A1626" s="9" t="s">
        <v>2619</v>
      </c>
      <c r="B1626" s="2">
        <v>45025</v>
      </c>
      <c r="C1626" s="1" t="s">
        <v>542</v>
      </c>
      <c r="D1626" s="1" t="s">
        <v>71</v>
      </c>
      <c r="E1626" s="1" t="s">
        <v>41</v>
      </c>
      <c r="F1626" s="1" t="s">
        <v>99</v>
      </c>
      <c r="G1626" s="1" t="s">
        <v>19</v>
      </c>
      <c r="H1626" s="1" t="s">
        <v>29</v>
      </c>
      <c r="I1626" s="1" t="s">
        <v>693</v>
      </c>
      <c r="J1626" s="1">
        <v>9</v>
      </c>
      <c r="K1626" s="3">
        <v>38778.28</v>
      </c>
      <c r="L1626" s="1">
        <v>0</v>
      </c>
      <c r="M1626" s="1" t="s">
        <v>63</v>
      </c>
      <c r="N1626" s="10" t="s">
        <v>74</v>
      </c>
      <c r="Q1626"/>
    </row>
    <row r="1627" spans="1:17" x14ac:dyDescent="0.25">
      <c r="A1627" s="9" t="s">
        <v>2620</v>
      </c>
      <c r="B1627" s="2">
        <v>45648</v>
      </c>
      <c r="C1627" s="1" t="s">
        <v>58</v>
      </c>
      <c r="D1627" s="1" t="s">
        <v>67</v>
      </c>
      <c r="E1627" s="1" t="s">
        <v>27</v>
      </c>
      <c r="F1627" s="1" t="s">
        <v>49</v>
      </c>
      <c r="G1627" s="1" t="s">
        <v>83</v>
      </c>
      <c r="H1627" s="1" t="s">
        <v>43</v>
      </c>
      <c r="I1627" s="1" t="s">
        <v>365</v>
      </c>
      <c r="J1627" s="1">
        <v>4</v>
      </c>
      <c r="K1627" s="3">
        <v>19780.5</v>
      </c>
      <c r="L1627" s="1" t="s">
        <v>110</v>
      </c>
      <c r="M1627" s="1" t="s">
        <v>22</v>
      </c>
      <c r="N1627" s="10" t="s">
        <v>64</v>
      </c>
      <c r="Q1627"/>
    </row>
    <row r="1628" spans="1:17" x14ac:dyDescent="0.25">
      <c r="A1628" s="9" t="s">
        <v>2621</v>
      </c>
      <c r="B1628" s="2">
        <v>45447</v>
      </c>
      <c r="C1628" s="1" t="s">
        <v>117</v>
      </c>
      <c r="D1628" s="1" t="s">
        <v>87</v>
      </c>
      <c r="E1628" s="1" t="s">
        <v>41</v>
      </c>
      <c r="F1628" s="1" t="s">
        <v>60</v>
      </c>
      <c r="G1628" s="1" t="s">
        <v>53</v>
      </c>
      <c r="H1628" s="1" t="s">
        <v>54</v>
      </c>
      <c r="I1628" s="1" t="s">
        <v>518</v>
      </c>
      <c r="J1628" s="1">
        <v>4</v>
      </c>
      <c r="K1628" s="3">
        <v>9129.32</v>
      </c>
      <c r="L1628" s="1">
        <v>20</v>
      </c>
      <c r="M1628" s="1" t="s">
        <v>93</v>
      </c>
      <c r="N1628" s="10" t="s">
        <v>74</v>
      </c>
      <c r="Q1628"/>
    </row>
    <row r="1629" spans="1:17" x14ac:dyDescent="0.25">
      <c r="A1629" s="9" t="s">
        <v>2622</v>
      </c>
      <c r="B1629" s="2">
        <v>45250</v>
      </c>
      <c r="C1629" s="1" t="s">
        <v>666</v>
      </c>
      <c r="D1629" s="1" t="s">
        <v>33</v>
      </c>
      <c r="E1629" s="1" t="s">
        <v>17</v>
      </c>
      <c r="F1629" s="1" t="s">
        <v>18</v>
      </c>
      <c r="G1629" s="1" t="s">
        <v>42</v>
      </c>
      <c r="H1629" s="1" t="s">
        <v>61</v>
      </c>
      <c r="I1629" s="1" t="s">
        <v>247</v>
      </c>
      <c r="J1629" s="1">
        <v>3</v>
      </c>
      <c r="K1629" s="3">
        <v>7041.44</v>
      </c>
      <c r="L1629" s="1">
        <v>10</v>
      </c>
      <c r="M1629" s="1" t="s">
        <v>22</v>
      </c>
      <c r="N1629" s="10" t="s">
        <v>64</v>
      </c>
      <c r="Q1629"/>
    </row>
    <row r="1630" spans="1:17" x14ac:dyDescent="0.25">
      <c r="A1630" s="9" t="s">
        <v>2623</v>
      </c>
      <c r="B1630" s="2">
        <v>45347</v>
      </c>
      <c r="C1630" s="1" t="s">
        <v>1375</v>
      </c>
      <c r="D1630" s="1" t="s">
        <v>67</v>
      </c>
      <c r="E1630" s="1" t="s">
        <v>34</v>
      </c>
      <c r="F1630" s="1" t="s">
        <v>49</v>
      </c>
      <c r="G1630" s="1" t="s">
        <v>19</v>
      </c>
      <c r="H1630" s="1" t="s">
        <v>29</v>
      </c>
      <c r="I1630" s="1" t="s">
        <v>135</v>
      </c>
      <c r="J1630" s="1">
        <v>5</v>
      </c>
      <c r="K1630" s="3">
        <v>3324.06</v>
      </c>
      <c r="L1630" s="1">
        <v>0</v>
      </c>
      <c r="M1630" s="1" t="s">
        <v>22</v>
      </c>
      <c r="N1630" s="10" t="s">
        <v>74</v>
      </c>
      <c r="Q1630"/>
    </row>
    <row r="1631" spans="1:17" x14ac:dyDescent="0.25">
      <c r="A1631" s="9" t="s">
        <v>2624</v>
      </c>
      <c r="B1631" s="2">
        <v>45397</v>
      </c>
      <c r="C1631" s="1" t="s">
        <v>2088</v>
      </c>
      <c r="D1631" s="1" t="s">
        <v>16</v>
      </c>
      <c r="E1631" s="1" t="s">
        <v>72</v>
      </c>
      <c r="F1631" s="1" t="s">
        <v>60</v>
      </c>
      <c r="G1631" s="1" t="s">
        <v>53</v>
      </c>
      <c r="H1631" s="1" t="s">
        <v>54</v>
      </c>
      <c r="I1631" s="1" t="s">
        <v>121</v>
      </c>
      <c r="J1631" s="1">
        <v>9</v>
      </c>
      <c r="K1631" s="3">
        <v>13049.84</v>
      </c>
      <c r="L1631" s="1" t="s">
        <v>110</v>
      </c>
      <c r="M1631" s="1" t="s">
        <v>36</v>
      </c>
      <c r="N1631" s="10" t="s">
        <v>45</v>
      </c>
      <c r="Q1631"/>
    </row>
    <row r="1632" spans="1:17" x14ac:dyDescent="0.25">
      <c r="A1632" s="9" t="s">
        <v>2625</v>
      </c>
      <c r="B1632" s="2">
        <v>45079</v>
      </c>
      <c r="C1632" s="1" t="s">
        <v>2513</v>
      </c>
      <c r="D1632" s="1" t="s">
        <v>147</v>
      </c>
      <c r="E1632" s="1" t="s">
        <v>72</v>
      </c>
      <c r="F1632" s="1" t="s">
        <v>18</v>
      </c>
      <c r="G1632" s="1" t="s">
        <v>19</v>
      </c>
      <c r="H1632" s="1" t="s">
        <v>20</v>
      </c>
      <c r="I1632" s="1" t="s">
        <v>230</v>
      </c>
      <c r="J1632" s="1">
        <v>9</v>
      </c>
      <c r="K1632" s="3">
        <v>34299.800000000003</v>
      </c>
      <c r="L1632" s="1">
        <v>10</v>
      </c>
      <c r="M1632" s="1" t="s">
        <v>22</v>
      </c>
      <c r="N1632" s="10" t="s">
        <v>37</v>
      </c>
      <c r="Q1632"/>
    </row>
    <row r="1633" spans="1:17" x14ac:dyDescent="0.25">
      <c r="A1633" s="9" t="s">
        <v>2626</v>
      </c>
      <c r="B1633" s="2">
        <v>45262</v>
      </c>
      <c r="C1633" s="1" t="s">
        <v>701</v>
      </c>
      <c r="D1633" s="1" t="s">
        <v>33</v>
      </c>
      <c r="E1633" s="1" t="s">
        <v>27</v>
      </c>
      <c r="F1633" s="1" t="s">
        <v>18</v>
      </c>
      <c r="G1633" s="1" t="s">
        <v>19</v>
      </c>
      <c r="H1633" s="1" t="s">
        <v>20</v>
      </c>
      <c r="I1633" s="1" t="s">
        <v>78</v>
      </c>
      <c r="J1633" s="1">
        <v>8</v>
      </c>
      <c r="K1633" s="3">
        <v>21229.51</v>
      </c>
      <c r="L1633" s="1" t="s">
        <v>110</v>
      </c>
      <c r="M1633" s="1" t="s">
        <v>22</v>
      </c>
      <c r="N1633" s="10" t="s">
        <v>45</v>
      </c>
      <c r="Q1633"/>
    </row>
    <row r="1634" spans="1:17" x14ac:dyDescent="0.25">
      <c r="A1634" s="9" t="s">
        <v>2627</v>
      </c>
      <c r="B1634" s="2">
        <v>45563</v>
      </c>
      <c r="C1634" s="1" t="s">
        <v>1542</v>
      </c>
      <c r="D1634" s="1" t="s">
        <v>87</v>
      </c>
      <c r="E1634" s="1" t="s">
        <v>72</v>
      </c>
      <c r="F1634" s="1" t="s">
        <v>88</v>
      </c>
      <c r="G1634" s="1" t="s">
        <v>53</v>
      </c>
      <c r="H1634" s="1" t="s">
        <v>54</v>
      </c>
      <c r="I1634" s="1" t="s">
        <v>1334</v>
      </c>
      <c r="J1634" s="1">
        <v>10</v>
      </c>
      <c r="K1634" s="3">
        <v>45106.91</v>
      </c>
      <c r="L1634" s="1">
        <v>10</v>
      </c>
      <c r="M1634" s="1" t="s">
        <v>69</v>
      </c>
      <c r="N1634" s="10" t="s">
        <v>31</v>
      </c>
      <c r="Q1634"/>
    </row>
    <row r="1635" spans="1:17" x14ac:dyDescent="0.25">
      <c r="A1635" s="9" t="s">
        <v>2628</v>
      </c>
      <c r="B1635" s="2">
        <v>45014</v>
      </c>
      <c r="C1635" s="1" t="s">
        <v>483</v>
      </c>
      <c r="D1635" s="1" t="s">
        <v>26</v>
      </c>
      <c r="E1635" s="1" t="s">
        <v>72</v>
      </c>
      <c r="F1635" s="1" t="s">
        <v>60</v>
      </c>
      <c r="G1635" s="1" t="s">
        <v>42</v>
      </c>
      <c r="H1635" s="1" t="s">
        <v>43</v>
      </c>
      <c r="I1635" s="1" t="s">
        <v>566</v>
      </c>
      <c r="J1635" s="1">
        <v>7</v>
      </c>
      <c r="K1635" s="3">
        <v>23754.27</v>
      </c>
      <c r="L1635" s="1">
        <v>10</v>
      </c>
      <c r="M1635" s="1" t="s">
        <v>63</v>
      </c>
      <c r="N1635" s="10" t="s">
        <v>31</v>
      </c>
      <c r="Q1635"/>
    </row>
    <row r="1636" spans="1:17" x14ac:dyDescent="0.25">
      <c r="A1636" s="9" t="s">
        <v>2629</v>
      </c>
      <c r="B1636" s="2">
        <v>45305</v>
      </c>
      <c r="C1636" s="1" t="s">
        <v>401</v>
      </c>
      <c r="D1636" s="1" t="s">
        <v>118</v>
      </c>
      <c r="E1636" s="1" t="s">
        <v>34</v>
      </c>
      <c r="F1636" s="1" t="s">
        <v>18</v>
      </c>
      <c r="G1636" s="1" t="s">
        <v>83</v>
      </c>
      <c r="H1636" s="1" t="s">
        <v>43</v>
      </c>
      <c r="I1636" s="1" t="s">
        <v>50</v>
      </c>
      <c r="J1636" s="1">
        <v>3</v>
      </c>
      <c r="K1636" s="3">
        <v>7506.8</v>
      </c>
      <c r="L1636" s="1">
        <v>10</v>
      </c>
      <c r="M1636" s="1" t="s">
        <v>22</v>
      </c>
      <c r="N1636" s="10" t="s">
        <v>23</v>
      </c>
      <c r="Q1636"/>
    </row>
    <row r="1637" spans="1:17" x14ac:dyDescent="0.25">
      <c r="A1637" s="9" t="s">
        <v>2630</v>
      </c>
      <c r="B1637" s="2">
        <v>45485</v>
      </c>
      <c r="C1637" s="1" t="s">
        <v>2330</v>
      </c>
      <c r="D1637" s="1" t="s">
        <v>71</v>
      </c>
      <c r="E1637" s="1" t="s">
        <v>72</v>
      </c>
      <c r="F1637" s="1" t="s">
        <v>18</v>
      </c>
      <c r="G1637" s="1" t="s">
        <v>42</v>
      </c>
      <c r="H1637" s="1" t="s">
        <v>43</v>
      </c>
      <c r="I1637" s="1" t="s">
        <v>89</v>
      </c>
      <c r="J1637" s="1">
        <v>3</v>
      </c>
      <c r="K1637" s="3">
        <v>12456.28</v>
      </c>
      <c r="L1637" s="1">
        <v>15</v>
      </c>
      <c r="M1637" s="1" t="s">
        <v>69</v>
      </c>
      <c r="N1637" s="10" t="s">
        <v>23</v>
      </c>
      <c r="Q1637"/>
    </row>
    <row r="1638" spans="1:17" x14ac:dyDescent="0.25">
      <c r="A1638" s="9" t="s">
        <v>2631</v>
      </c>
      <c r="B1638" s="2">
        <v>45015</v>
      </c>
      <c r="C1638" s="1" t="s">
        <v>407</v>
      </c>
      <c r="D1638" s="1" t="s">
        <v>77</v>
      </c>
      <c r="E1638" s="1" t="s">
        <v>72</v>
      </c>
      <c r="F1638" s="1" t="s">
        <v>60</v>
      </c>
      <c r="G1638" s="1" t="s">
        <v>19</v>
      </c>
      <c r="H1638" s="1" t="s">
        <v>29</v>
      </c>
      <c r="I1638" s="1" t="s">
        <v>113</v>
      </c>
      <c r="J1638" s="1">
        <v>7</v>
      </c>
      <c r="K1638" s="3">
        <v>34468.769999999997</v>
      </c>
      <c r="L1638" s="1">
        <v>10</v>
      </c>
      <c r="M1638" s="1" t="s">
        <v>63</v>
      </c>
      <c r="N1638" s="10" t="s">
        <v>45</v>
      </c>
      <c r="Q1638"/>
    </row>
    <row r="1639" spans="1:17" x14ac:dyDescent="0.25">
      <c r="A1639" s="9" t="s">
        <v>2632</v>
      </c>
      <c r="B1639" s="2">
        <v>45062</v>
      </c>
      <c r="C1639" s="1" t="s">
        <v>1488</v>
      </c>
      <c r="D1639" s="1" t="s">
        <v>67</v>
      </c>
      <c r="E1639" s="1" t="s">
        <v>72</v>
      </c>
      <c r="F1639" s="1" t="s">
        <v>49</v>
      </c>
      <c r="G1639" s="1" t="s">
        <v>83</v>
      </c>
      <c r="H1639" s="1" t="s">
        <v>43</v>
      </c>
      <c r="I1639" s="1" t="s">
        <v>339</v>
      </c>
      <c r="J1639" s="1">
        <v>2</v>
      </c>
      <c r="K1639" s="3">
        <v>3436.77</v>
      </c>
      <c r="L1639" s="1">
        <v>0</v>
      </c>
      <c r="M1639" s="1" t="s">
        <v>22</v>
      </c>
      <c r="N1639" s="10" t="s">
        <v>74</v>
      </c>
      <c r="Q1639"/>
    </row>
    <row r="1640" spans="1:17" x14ac:dyDescent="0.25">
      <c r="A1640" s="9" t="s">
        <v>2633</v>
      </c>
      <c r="B1640" s="2">
        <v>45306</v>
      </c>
      <c r="C1640" s="1" t="s">
        <v>1660</v>
      </c>
      <c r="D1640" s="1" t="s">
        <v>71</v>
      </c>
      <c r="E1640" s="1" t="s">
        <v>34</v>
      </c>
      <c r="F1640" s="1" t="s">
        <v>60</v>
      </c>
      <c r="G1640" s="1" t="s">
        <v>19</v>
      </c>
      <c r="H1640" s="1" t="s">
        <v>20</v>
      </c>
      <c r="I1640" s="1" t="s">
        <v>326</v>
      </c>
      <c r="J1640" s="1">
        <v>9</v>
      </c>
      <c r="K1640" s="3">
        <v>25327.84</v>
      </c>
      <c r="L1640" s="1">
        <v>5</v>
      </c>
      <c r="M1640" s="1" t="s">
        <v>69</v>
      </c>
      <c r="N1640" s="10" t="s">
        <v>45</v>
      </c>
      <c r="Q1640"/>
    </row>
    <row r="1641" spans="1:17" x14ac:dyDescent="0.25">
      <c r="A1641" s="9" t="s">
        <v>2634</v>
      </c>
      <c r="B1641" s="2">
        <v>45141</v>
      </c>
      <c r="C1641" s="1" t="s">
        <v>1017</v>
      </c>
      <c r="D1641" s="1" t="s">
        <v>67</v>
      </c>
      <c r="E1641" s="1" t="s">
        <v>59</v>
      </c>
      <c r="F1641" s="1" t="s">
        <v>18</v>
      </c>
      <c r="G1641" s="1" t="s">
        <v>42</v>
      </c>
      <c r="H1641" s="1" t="s">
        <v>61</v>
      </c>
      <c r="I1641" s="1" t="s">
        <v>106</v>
      </c>
      <c r="J1641" s="1">
        <v>8</v>
      </c>
      <c r="K1641" s="3">
        <v>17873.32</v>
      </c>
      <c r="L1641" s="1">
        <v>20</v>
      </c>
      <c r="M1641" s="1" t="s">
        <v>36</v>
      </c>
      <c r="N1641" s="10" t="s">
        <v>45</v>
      </c>
      <c r="Q1641"/>
    </row>
    <row r="1642" spans="1:17" x14ac:dyDescent="0.25">
      <c r="A1642" s="9" t="s">
        <v>2635</v>
      </c>
      <c r="B1642" s="2">
        <v>45416</v>
      </c>
      <c r="C1642" s="1" t="s">
        <v>335</v>
      </c>
      <c r="D1642" s="1" t="s">
        <v>81</v>
      </c>
      <c r="E1642" s="1" t="s">
        <v>27</v>
      </c>
      <c r="F1642" s="1" t="s">
        <v>99</v>
      </c>
      <c r="G1642" s="1" t="s">
        <v>53</v>
      </c>
      <c r="H1642" s="1" t="s">
        <v>54</v>
      </c>
      <c r="I1642" s="1" t="s">
        <v>479</v>
      </c>
      <c r="J1642" s="1">
        <v>9</v>
      </c>
      <c r="K1642" s="3">
        <v>26836.959999999999</v>
      </c>
      <c r="L1642" s="1">
        <v>0</v>
      </c>
      <c r="M1642" s="1" t="s">
        <v>36</v>
      </c>
      <c r="N1642" s="10" t="s">
        <v>31</v>
      </c>
      <c r="Q1642"/>
    </row>
    <row r="1643" spans="1:17" x14ac:dyDescent="0.25">
      <c r="A1643" s="9" t="s">
        <v>2636</v>
      </c>
      <c r="B1643" s="2">
        <v>45288</v>
      </c>
      <c r="C1643" s="1" t="s">
        <v>765</v>
      </c>
      <c r="D1643" s="1" t="s">
        <v>52</v>
      </c>
      <c r="E1643" s="1" t="s">
        <v>27</v>
      </c>
      <c r="F1643" s="1" t="s">
        <v>60</v>
      </c>
      <c r="G1643" s="1" t="s">
        <v>53</v>
      </c>
      <c r="H1643" s="1" t="s">
        <v>54</v>
      </c>
      <c r="I1643" s="1" t="s">
        <v>479</v>
      </c>
      <c r="J1643" s="1">
        <v>8</v>
      </c>
      <c r="K1643" s="3">
        <v>13935.47</v>
      </c>
      <c r="L1643" s="1" t="s">
        <v>110</v>
      </c>
      <c r="M1643" s="1" t="s">
        <v>22</v>
      </c>
      <c r="N1643" s="10" t="s">
        <v>64</v>
      </c>
      <c r="Q1643"/>
    </row>
    <row r="1644" spans="1:17" x14ac:dyDescent="0.25">
      <c r="A1644" s="9" t="s">
        <v>2637</v>
      </c>
      <c r="B1644" s="2">
        <v>45189</v>
      </c>
      <c r="C1644" s="1" t="s">
        <v>891</v>
      </c>
      <c r="D1644" s="1" t="s">
        <v>52</v>
      </c>
      <c r="E1644" s="1" t="s">
        <v>41</v>
      </c>
      <c r="F1644" s="1" t="s">
        <v>60</v>
      </c>
      <c r="G1644" s="1" t="s">
        <v>42</v>
      </c>
      <c r="H1644" s="1" t="s">
        <v>61</v>
      </c>
      <c r="I1644" s="1" t="s">
        <v>62</v>
      </c>
      <c r="J1644" s="1">
        <v>2</v>
      </c>
      <c r="K1644" s="3">
        <v>5312.25</v>
      </c>
      <c r="L1644" s="1">
        <v>0</v>
      </c>
      <c r="M1644" s="1" t="s">
        <v>36</v>
      </c>
      <c r="N1644" s="10" t="s">
        <v>31</v>
      </c>
      <c r="Q1644"/>
    </row>
    <row r="1645" spans="1:17" x14ac:dyDescent="0.25">
      <c r="A1645" s="9" t="s">
        <v>2638</v>
      </c>
      <c r="B1645" s="2">
        <v>45278</v>
      </c>
      <c r="C1645" s="1" t="s">
        <v>2639</v>
      </c>
      <c r="D1645" s="1" t="s">
        <v>26</v>
      </c>
      <c r="E1645" s="1" t="s">
        <v>59</v>
      </c>
      <c r="F1645" s="1" t="s">
        <v>82</v>
      </c>
      <c r="G1645" s="1" t="s">
        <v>19</v>
      </c>
      <c r="H1645" s="1" t="s">
        <v>20</v>
      </c>
      <c r="I1645" s="1" t="s">
        <v>187</v>
      </c>
      <c r="J1645" s="1">
        <v>10</v>
      </c>
      <c r="K1645" s="3">
        <v>38100.1</v>
      </c>
      <c r="L1645" s="1">
        <v>10</v>
      </c>
      <c r="M1645" s="1" t="s">
        <v>93</v>
      </c>
      <c r="N1645" s="10" t="s">
        <v>64</v>
      </c>
      <c r="Q1645"/>
    </row>
    <row r="1646" spans="1:17" x14ac:dyDescent="0.25">
      <c r="A1646" s="9" t="s">
        <v>2640</v>
      </c>
      <c r="B1646" s="2">
        <v>45407</v>
      </c>
      <c r="C1646" s="1" t="s">
        <v>533</v>
      </c>
      <c r="D1646" s="1" t="s">
        <v>77</v>
      </c>
      <c r="E1646" s="1" t="s">
        <v>59</v>
      </c>
      <c r="F1646" s="1" t="s">
        <v>18</v>
      </c>
      <c r="G1646" s="1" t="s">
        <v>42</v>
      </c>
      <c r="H1646" s="1" t="s">
        <v>43</v>
      </c>
      <c r="I1646" s="1" t="s">
        <v>394</v>
      </c>
      <c r="J1646" s="1">
        <v>3</v>
      </c>
      <c r="K1646" s="3">
        <v>12544.06</v>
      </c>
      <c r="L1646" s="1">
        <v>5</v>
      </c>
      <c r="M1646" s="1" t="s">
        <v>56</v>
      </c>
      <c r="N1646" s="10" t="s">
        <v>45</v>
      </c>
      <c r="Q1646"/>
    </row>
    <row r="1647" spans="1:17" x14ac:dyDescent="0.25">
      <c r="A1647" s="9" t="s">
        <v>2641</v>
      </c>
      <c r="B1647" s="2">
        <v>45323</v>
      </c>
      <c r="C1647" s="1" t="s">
        <v>490</v>
      </c>
      <c r="D1647" s="1" t="s">
        <v>40</v>
      </c>
      <c r="E1647" s="1" t="s">
        <v>34</v>
      </c>
      <c r="F1647" s="1" t="s">
        <v>60</v>
      </c>
      <c r="G1647" s="1" t="s">
        <v>19</v>
      </c>
      <c r="H1647" s="1" t="s">
        <v>29</v>
      </c>
      <c r="I1647" s="1" t="s">
        <v>445</v>
      </c>
      <c r="J1647" s="1">
        <v>3</v>
      </c>
      <c r="K1647" s="3">
        <v>7856.56</v>
      </c>
      <c r="L1647" s="1">
        <v>5</v>
      </c>
      <c r="M1647" s="1" t="s">
        <v>63</v>
      </c>
      <c r="N1647" s="10" t="s">
        <v>31</v>
      </c>
      <c r="Q1647"/>
    </row>
    <row r="1648" spans="1:17" x14ac:dyDescent="0.25">
      <c r="A1648" s="9" t="s">
        <v>2642</v>
      </c>
      <c r="B1648" s="2">
        <v>45028</v>
      </c>
      <c r="C1648" s="1" t="s">
        <v>2643</v>
      </c>
      <c r="D1648" s="1" t="s">
        <v>40</v>
      </c>
      <c r="E1648" s="1" t="s">
        <v>59</v>
      </c>
      <c r="F1648" s="1" t="s">
        <v>28</v>
      </c>
      <c r="G1648" s="1" t="s">
        <v>53</v>
      </c>
      <c r="H1648" s="1" t="s">
        <v>54</v>
      </c>
      <c r="I1648" s="1" t="s">
        <v>1272</v>
      </c>
      <c r="J1648" s="1">
        <v>3</v>
      </c>
      <c r="K1648" s="3">
        <v>9414.17</v>
      </c>
      <c r="L1648" s="1">
        <v>20</v>
      </c>
      <c r="M1648" s="1" t="s">
        <v>56</v>
      </c>
      <c r="N1648" s="10" t="s">
        <v>23</v>
      </c>
      <c r="Q1648"/>
    </row>
    <row r="1649" spans="1:17" x14ac:dyDescent="0.25">
      <c r="A1649" s="9" t="s">
        <v>2644</v>
      </c>
      <c r="B1649" s="2">
        <v>45466</v>
      </c>
      <c r="C1649" s="1" t="s">
        <v>1034</v>
      </c>
      <c r="D1649" s="1" t="s">
        <v>81</v>
      </c>
      <c r="E1649" s="1" t="s">
        <v>59</v>
      </c>
      <c r="F1649" s="1" t="s">
        <v>88</v>
      </c>
      <c r="G1649" s="1" t="s">
        <v>19</v>
      </c>
      <c r="H1649" s="1" t="s">
        <v>29</v>
      </c>
      <c r="I1649" s="1" t="s">
        <v>320</v>
      </c>
      <c r="J1649" s="1">
        <v>7</v>
      </c>
      <c r="K1649" s="3">
        <v>22683.02</v>
      </c>
      <c r="L1649" s="1">
        <v>5</v>
      </c>
      <c r="M1649" s="1" t="s">
        <v>56</v>
      </c>
      <c r="N1649" s="10" t="s">
        <v>74</v>
      </c>
      <c r="Q1649"/>
    </row>
    <row r="1650" spans="1:17" x14ac:dyDescent="0.25">
      <c r="A1650" s="9" t="s">
        <v>2645</v>
      </c>
      <c r="B1650" s="2">
        <v>45649</v>
      </c>
      <c r="C1650" s="1" t="s">
        <v>701</v>
      </c>
      <c r="D1650" s="1" t="s">
        <v>26</v>
      </c>
      <c r="E1650" s="1" t="s">
        <v>34</v>
      </c>
      <c r="F1650" s="1" t="s">
        <v>82</v>
      </c>
      <c r="G1650" s="1" t="s">
        <v>19</v>
      </c>
      <c r="H1650" s="1" t="s">
        <v>20</v>
      </c>
      <c r="I1650" s="1" t="s">
        <v>280</v>
      </c>
      <c r="J1650" s="1">
        <v>6</v>
      </c>
      <c r="K1650" s="3">
        <v>23565.05</v>
      </c>
      <c r="L1650" s="1" t="s">
        <v>110</v>
      </c>
      <c r="M1650" s="1" t="s">
        <v>22</v>
      </c>
      <c r="N1650" s="10" t="s">
        <v>74</v>
      </c>
      <c r="Q1650"/>
    </row>
    <row r="1651" spans="1:17" x14ac:dyDescent="0.25">
      <c r="A1651" s="9" t="s">
        <v>2646</v>
      </c>
      <c r="B1651" s="2">
        <v>45456</v>
      </c>
      <c r="C1651" s="1" t="s">
        <v>1132</v>
      </c>
      <c r="D1651" s="1" t="s">
        <v>71</v>
      </c>
      <c r="E1651" s="1" t="s">
        <v>27</v>
      </c>
      <c r="F1651" s="1" t="s">
        <v>82</v>
      </c>
      <c r="G1651" s="1" t="s">
        <v>19</v>
      </c>
      <c r="H1651" s="1" t="s">
        <v>20</v>
      </c>
      <c r="I1651" s="1" t="s">
        <v>193</v>
      </c>
      <c r="J1651" s="1">
        <v>10</v>
      </c>
      <c r="K1651" s="3">
        <v>47162.95</v>
      </c>
      <c r="L1651" s="1">
        <v>10</v>
      </c>
      <c r="M1651" s="1" t="s">
        <v>36</v>
      </c>
      <c r="N1651" s="10" t="s">
        <v>64</v>
      </c>
      <c r="Q1651"/>
    </row>
    <row r="1652" spans="1:17" x14ac:dyDescent="0.25">
      <c r="A1652" s="9" t="s">
        <v>2647</v>
      </c>
      <c r="B1652" s="2">
        <v>45528</v>
      </c>
      <c r="C1652" s="1" t="s">
        <v>953</v>
      </c>
      <c r="D1652" s="1" t="s">
        <v>33</v>
      </c>
      <c r="E1652" s="1" t="s">
        <v>27</v>
      </c>
      <c r="F1652" s="1" t="s">
        <v>28</v>
      </c>
      <c r="G1652" s="1" t="s">
        <v>42</v>
      </c>
      <c r="H1652" s="1" t="s">
        <v>43</v>
      </c>
      <c r="I1652" s="1" t="s">
        <v>274</v>
      </c>
      <c r="J1652" s="1">
        <v>9</v>
      </c>
      <c r="K1652" s="3">
        <v>22832.29</v>
      </c>
      <c r="L1652" s="1">
        <v>10</v>
      </c>
      <c r="M1652" s="1" t="s">
        <v>93</v>
      </c>
      <c r="N1652" s="10" t="s">
        <v>64</v>
      </c>
      <c r="Q1652"/>
    </row>
    <row r="1653" spans="1:17" x14ac:dyDescent="0.25">
      <c r="A1653" s="9" t="s">
        <v>2648</v>
      </c>
      <c r="B1653" s="2">
        <v>45386</v>
      </c>
      <c r="C1653" s="1" t="s">
        <v>66</v>
      </c>
      <c r="D1653" s="1" t="s">
        <v>67</v>
      </c>
      <c r="E1653" s="1" t="s">
        <v>27</v>
      </c>
      <c r="F1653" s="1" t="s">
        <v>99</v>
      </c>
      <c r="G1653" s="1" t="s">
        <v>42</v>
      </c>
      <c r="H1653" s="1" t="s">
        <v>61</v>
      </c>
      <c r="I1653" s="1" t="s">
        <v>247</v>
      </c>
      <c r="J1653" s="1">
        <v>3</v>
      </c>
      <c r="K1653" s="3">
        <v>12014.89</v>
      </c>
      <c r="L1653" s="1">
        <v>10</v>
      </c>
      <c r="M1653" s="1" t="s">
        <v>93</v>
      </c>
      <c r="N1653" s="10" t="s">
        <v>45</v>
      </c>
      <c r="Q1653"/>
    </row>
    <row r="1654" spans="1:17" x14ac:dyDescent="0.25">
      <c r="A1654" s="9" t="s">
        <v>2649</v>
      </c>
      <c r="B1654" s="2">
        <v>45292</v>
      </c>
      <c r="C1654" s="1" t="s">
        <v>1558</v>
      </c>
      <c r="D1654" s="1" t="s">
        <v>52</v>
      </c>
      <c r="E1654" s="1" t="s">
        <v>34</v>
      </c>
      <c r="F1654" s="1" t="s">
        <v>60</v>
      </c>
      <c r="G1654" s="1" t="s">
        <v>19</v>
      </c>
      <c r="H1654" s="1" t="s">
        <v>29</v>
      </c>
      <c r="I1654" s="1" t="s">
        <v>646</v>
      </c>
      <c r="J1654" s="1">
        <v>1</v>
      </c>
      <c r="K1654" s="3">
        <v>680.67</v>
      </c>
      <c r="L1654" s="1">
        <v>20</v>
      </c>
      <c r="M1654" s="1" t="s">
        <v>22</v>
      </c>
      <c r="N1654" s="10" t="s">
        <v>64</v>
      </c>
      <c r="Q1654"/>
    </row>
    <row r="1655" spans="1:17" x14ac:dyDescent="0.25">
      <c r="A1655" s="9" t="s">
        <v>2650</v>
      </c>
      <c r="B1655" s="2">
        <v>45141</v>
      </c>
      <c r="C1655" s="1" t="s">
        <v>1479</v>
      </c>
      <c r="D1655" s="1" t="s">
        <v>81</v>
      </c>
      <c r="E1655" s="1" t="s">
        <v>41</v>
      </c>
      <c r="F1655" s="1" t="s">
        <v>82</v>
      </c>
      <c r="G1655" s="1" t="s">
        <v>83</v>
      </c>
      <c r="H1655" s="1" t="s">
        <v>43</v>
      </c>
      <c r="I1655" s="1" t="s">
        <v>348</v>
      </c>
      <c r="J1655" s="1">
        <v>1</v>
      </c>
      <c r="K1655" s="3">
        <v>4942.22</v>
      </c>
      <c r="L1655" s="1">
        <v>15</v>
      </c>
      <c r="M1655" s="1" t="s">
        <v>36</v>
      </c>
      <c r="N1655" s="10" t="s">
        <v>23</v>
      </c>
      <c r="Q1655"/>
    </row>
    <row r="1656" spans="1:17" x14ac:dyDescent="0.25">
      <c r="A1656" s="9" t="s">
        <v>2651</v>
      </c>
      <c r="B1656" s="2">
        <v>45338</v>
      </c>
      <c r="C1656" s="1" t="s">
        <v>1520</v>
      </c>
      <c r="D1656" s="1" t="s">
        <v>33</v>
      </c>
      <c r="E1656" s="1" t="s">
        <v>17</v>
      </c>
      <c r="F1656" s="1" t="s">
        <v>60</v>
      </c>
      <c r="G1656" s="1" t="s">
        <v>19</v>
      </c>
      <c r="H1656" s="1" t="s">
        <v>20</v>
      </c>
      <c r="I1656" s="1" t="s">
        <v>21</v>
      </c>
      <c r="J1656" s="1">
        <v>2</v>
      </c>
      <c r="K1656" s="3">
        <v>720.42</v>
      </c>
      <c r="L1656" s="1">
        <v>15</v>
      </c>
      <c r="M1656" s="1" t="s">
        <v>93</v>
      </c>
      <c r="N1656" s="10" t="s">
        <v>37</v>
      </c>
      <c r="Q1656"/>
    </row>
    <row r="1657" spans="1:17" x14ac:dyDescent="0.25">
      <c r="A1657" s="9" t="s">
        <v>2652</v>
      </c>
      <c r="B1657" s="2">
        <v>45446</v>
      </c>
      <c r="C1657" s="1" t="s">
        <v>377</v>
      </c>
      <c r="D1657" s="1" t="s">
        <v>81</v>
      </c>
      <c r="E1657" s="1" t="s">
        <v>34</v>
      </c>
      <c r="F1657" s="1" t="s">
        <v>82</v>
      </c>
      <c r="G1657" s="1" t="s">
        <v>83</v>
      </c>
      <c r="H1657" s="1" t="s">
        <v>43</v>
      </c>
      <c r="I1657" s="1" t="s">
        <v>348</v>
      </c>
      <c r="J1657" s="1">
        <v>4</v>
      </c>
      <c r="K1657" s="3">
        <v>10792.73</v>
      </c>
      <c r="L1657" s="1">
        <v>20</v>
      </c>
      <c r="M1657" s="1" t="s">
        <v>63</v>
      </c>
      <c r="N1657" s="10" t="s">
        <v>45</v>
      </c>
      <c r="Q1657"/>
    </row>
    <row r="1658" spans="1:17" x14ac:dyDescent="0.25">
      <c r="A1658" s="9" t="s">
        <v>2653</v>
      </c>
      <c r="B1658" s="2">
        <v>44948</v>
      </c>
      <c r="C1658" s="1" t="s">
        <v>2184</v>
      </c>
      <c r="D1658" s="1" t="s">
        <v>40</v>
      </c>
      <c r="E1658" s="1" t="s">
        <v>72</v>
      </c>
      <c r="F1658" s="1" t="s">
        <v>60</v>
      </c>
      <c r="G1658" s="1" t="s">
        <v>19</v>
      </c>
      <c r="H1658" s="1" t="s">
        <v>29</v>
      </c>
      <c r="I1658" s="1" t="s">
        <v>135</v>
      </c>
      <c r="J1658" s="1">
        <v>4</v>
      </c>
      <c r="K1658" s="3">
        <v>15653.33</v>
      </c>
      <c r="L1658" s="1" t="s">
        <v>110</v>
      </c>
      <c r="M1658" s="1" t="s">
        <v>22</v>
      </c>
      <c r="N1658" s="10" t="s">
        <v>45</v>
      </c>
      <c r="Q1658"/>
    </row>
    <row r="1659" spans="1:17" x14ac:dyDescent="0.25">
      <c r="A1659" s="9" t="s">
        <v>2654</v>
      </c>
      <c r="B1659" s="2">
        <v>45316</v>
      </c>
      <c r="C1659" s="1" t="s">
        <v>1076</v>
      </c>
      <c r="D1659" s="1" t="s">
        <v>81</v>
      </c>
      <c r="E1659" s="1" t="s">
        <v>41</v>
      </c>
      <c r="F1659" s="1" t="s">
        <v>18</v>
      </c>
      <c r="G1659" s="1" t="s">
        <v>83</v>
      </c>
      <c r="H1659" s="1" t="s">
        <v>43</v>
      </c>
      <c r="I1659" s="1" t="s">
        <v>285</v>
      </c>
      <c r="J1659" s="1">
        <v>7</v>
      </c>
      <c r="K1659" s="3">
        <v>27863.37</v>
      </c>
      <c r="L1659" s="1">
        <v>20</v>
      </c>
      <c r="M1659" s="1" t="s">
        <v>36</v>
      </c>
      <c r="N1659" s="10" t="s">
        <v>31</v>
      </c>
      <c r="Q1659"/>
    </row>
    <row r="1660" spans="1:17" x14ac:dyDescent="0.25">
      <c r="A1660" s="9" t="s">
        <v>2655</v>
      </c>
      <c r="B1660" s="2">
        <v>45016</v>
      </c>
      <c r="C1660" s="1" t="s">
        <v>2656</v>
      </c>
      <c r="D1660" s="1" t="s">
        <v>40</v>
      </c>
      <c r="E1660" s="1" t="s">
        <v>17</v>
      </c>
      <c r="F1660" s="1" t="s">
        <v>88</v>
      </c>
      <c r="G1660" s="1" t="s">
        <v>42</v>
      </c>
      <c r="H1660" s="1" t="s">
        <v>43</v>
      </c>
      <c r="I1660" s="1" t="s">
        <v>84</v>
      </c>
      <c r="J1660" s="1">
        <v>3</v>
      </c>
      <c r="K1660" s="3">
        <v>6792.59</v>
      </c>
      <c r="L1660" s="1">
        <v>5</v>
      </c>
      <c r="M1660" s="1" t="s">
        <v>22</v>
      </c>
      <c r="N1660" s="10" t="s">
        <v>31</v>
      </c>
      <c r="Q1660"/>
    </row>
    <row r="1661" spans="1:17" x14ac:dyDescent="0.25">
      <c r="A1661" s="9" t="s">
        <v>2657</v>
      </c>
      <c r="B1661" s="2">
        <v>45143</v>
      </c>
      <c r="C1661" s="1" t="s">
        <v>2658</v>
      </c>
      <c r="D1661" s="1" t="s">
        <v>26</v>
      </c>
      <c r="E1661" s="1" t="s">
        <v>59</v>
      </c>
      <c r="F1661" s="1" t="s">
        <v>99</v>
      </c>
      <c r="G1661" s="1" t="s">
        <v>19</v>
      </c>
      <c r="H1661" s="1" t="s">
        <v>20</v>
      </c>
      <c r="I1661" s="1" t="s">
        <v>312</v>
      </c>
      <c r="J1661" s="1">
        <v>10</v>
      </c>
      <c r="K1661" s="3">
        <v>15876.56</v>
      </c>
      <c r="L1661" s="1">
        <v>10</v>
      </c>
      <c r="M1661" s="1" t="s">
        <v>22</v>
      </c>
      <c r="N1661" s="10" t="s">
        <v>31</v>
      </c>
      <c r="Q1661"/>
    </row>
    <row r="1662" spans="1:17" x14ac:dyDescent="0.25">
      <c r="A1662" s="9" t="s">
        <v>2659</v>
      </c>
      <c r="B1662" s="2">
        <v>45214</v>
      </c>
      <c r="C1662" s="1" t="s">
        <v>1411</v>
      </c>
      <c r="D1662" s="1" t="s">
        <v>67</v>
      </c>
      <c r="E1662" s="1" t="s">
        <v>59</v>
      </c>
      <c r="F1662" s="1" t="s">
        <v>99</v>
      </c>
      <c r="G1662" s="1" t="s">
        <v>42</v>
      </c>
      <c r="H1662" s="1" t="s">
        <v>61</v>
      </c>
      <c r="I1662" s="1" t="s">
        <v>247</v>
      </c>
      <c r="J1662" s="1">
        <v>4</v>
      </c>
      <c r="K1662" s="3">
        <v>5588.28</v>
      </c>
      <c r="L1662" s="1">
        <v>5</v>
      </c>
      <c r="M1662" s="1" t="s">
        <v>69</v>
      </c>
      <c r="N1662" s="10" t="s">
        <v>31</v>
      </c>
      <c r="Q1662"/>
    </row>
    <row r="1663" spans="1:17" x14ac:dyDescent="0.25">
      <c r="A1663" s="9" t="s">
        <v>2660</v>
      </c>
      <c r="B1663" s="2">
        <v>44929</v>
      </c>
      <c r="C1663" s="1" t="s">
        <v>1347</v>
      </c>
      <c r="D1663" s="1" t="s">
        <v>33</v>
      </c>
      <c r="E1663" s="1" t="s">
        <v>41</v>
      </c>
      <c r="F1663" s="1" t="s">
        <v>28</v>
      </c>
      <c r="G1663" s="1" t="s">
        <v>53</v>
      </c>
      <c r="H1663" s="1" t="s">
        <v>54</v>
      </c>
      <c r="I1663" s="1" t="s">
        <v>132</v>
      </c>
      <c r="J1663" s="1">
        <v>10</v>
      </c>
      <c r="K1663" s="3">
        <v>43422.57</v>
      </c>
      <c r="L1663" s="1" t="s">
        <v>110</v>
      </c>
      <c r="M1663" s="1" t="s">
        <v>69</v>
      </c>
      <c r="N1663" s="10" t="s">
        <v>74</v>
      </c>
      <c r="Q1663"/>
    </row>
    <row r="1664" spans="1:17" x14ac:dyDescent="0.25">
      <c r="A1664" s="9" t="s">
        <v>2661</v>
      </c>
      <c r="B1664" s="2">
        <v>45253</v>
      </c>
      <c r="C1664" s="1" t="s">
        <v>129</v>
      </c>
      <c r="D1664" s="1" t="s">
        <v>33</v>
      </c>
      <c r="E1664" s="1" t="s">
        <v>72</v>
      </c>
      <c r="F1664" s="1" t="s">
        <v>28</v>
      </c>
      <c r="G1664" s="1" t="s">
        <v>53</v>
      </c>
      <c r="H1664" s="1" t="s">
        <v>54</v>
      </c>
      <c r="I1664" s="1" t="s">
        <v>103</v>
      </c>
      <c r="J1664" s="1">
        <v>3</v>
      </c>
      <c r="K1664" s="3">
        <v>3026</v>
      </c>
      <c r="L1664" s="1">
        <v>0</v>
      </c>
      <c r="M1664" s="1" t="s">
        <v>56</v>
      </c>
      <c r="N1664" s="10" t="s">
        <v>23</v>
      </c>
      <c r="Q1664"/>
    </row>
    <row r="1665" spans="1:17" x14ac:dyDescent="0.25">
      <c r="A1665" s="9" t="s">
        <v>2662</v>
      </c>
      <c r="B1665" s="2">
        <v>45086</v>
      </c>
      <c r="C1665" s="1" t="s">
        <v>945</v>
      </c>
      <c r="D1665" s="1" t="s">
        <v>67</v>
      </c>
      <c r="E1665" s="1" t="s">
        <v>41</v>
      </c>
      <c r="F1665" s="1" t="s">
        <v>99</v>
      </c>
      <c r="G1665" s="1" t="s">
        <v>19</v>
      </c>
      <c r="H1665" s="1" t="s">
        <v>29</v>
      </c>
      <c r="I1665" s="1" t="s">
        <v>30</v>
      </c>
      <c r="J1665" s="1">
        <v>10</v>
      </c>
      <c r="K1665" s="3">
        <v>44085.55</v>
      </c>
      <c r="L1665" s="1">
        <v>5</v>
      </c>
      <c r="M1665" s="1" t="s">
        <v>69</v>
      </c>
      <c r="N1665" s="10" t="s">
        <v>74</v>
      </c>
      <c r="Q1665"/>
    </row>
    <row r="1666" spans="1:17" x14ac:dyDescent="0.25">
      <c r="A1666" s="9" t="s">
        <v>2663</v>
      </c>
      <c r="B1666" s="2">
        <v>45400</v>
      </c>
      <c r="C1666" s="1" t="s">
        <v>449</v>
      </c>
      <c r="D1666" s="1" t="s">
        <v>40</v>
      </c>
      <c r="E1666" s="1" t="s">
        <v>27</v>
      </c>
      <c r="F1666" s="1" t="s">
        <v>28</v>
      </c>
      <c r="G1666" s="1" t="s">
        <v>19</v>
      </c>
      <c r="H1666" s="1" t="s">
        <v>29</v>
      </c>
      <c r="I1666" s="1" t="s">
        <v>646</v>
      </c>
      <c r="J1666" s="1">
        <v>2</v>
      </c>
      <c r="K1666" s="3">
        <v>9654.74</v>
      </c>
      <c r="L1666" s="1">
        <v>5</v>
      </c>
      <c r="M1666" s="1" t="s">
        <v>22</v>
      </c>
      <c r="N1666" s="10" t="s">
        <v>37</v>
      </c>
      <c r="Q1666"/>
    </row>
    <row r="1667" spans="1:17" x14ac:dyDescent="0.25">
      <c r="A1667" s="9" t="s">
        <v>2664</v>
      </c>
      <c r="B1667" s="2">
        <v>45049</v>
      </c>
      <c r="C1667" s="1" t="s">
        <v>2303</v>
      </c>
      <c r="D1667" s="1" t="s">
        <v>26</v>
      </c>
      <c r="E1667" s="1" t="s">
        <v>17</v>
      </c>
      <c r="F1667" s="1" t="s">
        <v>88</v>
      </c>
      <c r="G1667" s="1" t="s">
        <v>42</v>
      </c>
      <c r="H1667" s="1" t="s">
        <v>43</v>
      </c>
      <c r="I1667" s="1" t="s">
        <v>566</v>
      </c>
      <c r="J1667" s="1">
        <v>5</v>
      </c>
      <c r="K1667" s="3">
        <v>3621.86</v>
      </c>
      <c r="L1667" s="1">
        <v>20</v>
      </c>
      <c r="M1667" s="1" t="s">
        <v>22</v>
      </c>
      <c r="N1667" s="10" t="s">
        <v>31</v>
      </c>
      <c r="Q1667"/>
    </row>
    <row r="1668" spans="1:17" x14ac:dyDescent="0.25">
      <c r="A1668" s="9" t="s">
        <v>2665</v>
      </c>
      <c r="B1668" s="2">
        <v>45568</v>
      </c>
      <c r="C1668" s="1" t="s">
        <v>1434</v>
      </c>
      <c r="D1668" s="1" t="s">
        <v>26</v>
      </c>
      <c r="E1668" s="1" t="s">
        <v>72</v>
      </c>
      <c r="F1668" s="1" t="s">
        <v>99</v>
      </c>
      <c r="G1668" s="1" t="s">
        <v>83</v>
      </c>
      <c r="H1668" s="1" t="s">
        <v>43</v>
      </c>
      <c r="I1668" s="1" t="s">
        <v>100</v>
      </c>
      <c r="J1668" s="1">
        <v>6</v>
      </c>
      <c r="K1668" s="3">
        <v>19186.68</v>
      </c>
      <c r="L1668" s="1">
        <v>15</v>
      </c>
      <c r="M1668" s="1" t="s">
        <v>69</v>
      </c>
      <c r="N1668" s="10" t="s">
        <v>37</v>
      </c>
      <c r="Q1668"/>
    </row>
    <row r="1669" spans="1:17" x14ac:dyDescent="0.25">
      <c r="A1669" s="9" t="s">
        <v>2666</v>
      </c>
      <c r="B1669" s="2">
        <v>45388</v>
      </c>
      <c r="C1669" s="1" t="s">
        <v>1375</v>
      </c>
      <c r="D1669" s="1" t="s">
        <v>33</v>
      </c>
      <c r="E1669" s="1" t="s">
        <v>41</v>
      </c>
      <c r="F1669" s="1" t="s">
        <v>99</v>
      </c>
      <c r="G1669" s="1" t="s">
        <v>42</v>
      </c>
      <c r="H1669" s="1" t="s">
        <v>43</v>
      </c>
      <c r="I1669" s="1" t="s">
        <v>336</v>
      </c>
      <c r="J1669" s="1">
        <v>5</v>
      </c>
      <c r="K1669" s="3">
        <v>17282.16</v>
      </c>
      <c r="L1669" s="1">
        <v>5</v>
      </c>
      <c r="M1669" s="1" t="s">
        <v>36</v>
      </c>
      <c r="N1669" s="10" t="s">
        <v>64</v>
      </c>
      <c r="Q1669"/>
    </row>
    <row r="1670" spans="1:17" x14ac:dyDescent="0.25">
      <c r="A1670" s="9" t="s">
        <v>2667</v>
      </c>
      <c r="B1670" s="2">
        <v>45611</v>
      </c>
      <c r="C1670" s="1" t="s">
        <v>1371</v>
      </c>
      <c r="D1670" s="1" t="s">
        <v>26</v>
      </c>
      <c r="E1670" s="1" t="s">
        <v>17</v>
      </c>
      <c r="F1670" s="1" t="s">
        <v>99</v>
      </c>
      <c r="G1670" s="1" t="s">
        <v>19</v>
      </c>
      <c r="H1670" s="1" t="s">
        <v>20</v>
      </c>
      <c r="I1670" s="1" t="s">
        <v>1234</v>
      </c>
      <c r="J1670" s="1">
        <v>2</v>
      </c>
      <c r="K1670" s="3">
        <v>2271.46</v>
      </c>
      <c r="L1670" s="1">
        <v>5</v>
      </c>
      <c r="M1670" s="1" t="s">
        <v>56</v>
      </c>
      <c r="N1670" s="10" t="s">
        <v>45</v>
      </c>
      <c r="Q1670"/>
    </row>
    <row r="1671" spans="1:17" x14ac:dyDescent="0.25">
      <c r="A1671" s="9" t="s">
        <v>2668</v>
      </c>
      <c r="B1671" s="2">
        <v>45654</v>
      </c>
      <c r="C1671" s="1" t="s">
        <v>2125</v>
      </c>
      <c r="D1671" s="1" t="s">
        <v>147</v>
      </c>
      <c r="E1671" s="1" t="s">
        <v>34</v>
      </c>
      <c r="F1671" s="1" t="s">
        <v>88</v>
      </c>
      <c r="G1671" s="1" t="s">
        <v>53</v>
      </c>
      <c r="H1671" s="1" t="s">
        <v>54</v>
      </c>
      <c r="I1671" s="1" t="s">
        <v>55</v>
      </c>
      <c r="J1671" s="1">
        <v>10</v>
      </c>
      <c r="K1671" s="3">
        <v>3498.93</v>
      </c>
      <c r="L1671" s="1">
        <v>0</v>
      </c>
      <c r="M1671" s="1" t="s">
        <v>63</v>
      </c>
      <c r="N1671" s="10" t="s">
        <v>64</v>
      </c>
      <c r="Q1671"/>
    </row>
    <row r="1672" spans="1:17" x14ac:dyDescent="0.25">
      <c r="A1672" s="9" t="s">
        <v>2669</v>
      </c>
      <c r="B1672" s="2">
        <v>44985</v>
      </c>
      <c r="C1672" s="1" t="s">
        <v>1650</v>
      </c>
      <c r="D1672" s="1" t="s">
        <v>33</v>
      </c>
      <c r="E1672" s="1" t="s">
        <v>41</v>
      </c>
      <c r="F1672" s="1" t="s">
        <v>49</v>
      </c>
      <c r="G1672" s="1" t="s">
        <v>53</v>
      </c>
      <c r="H1672" s="1" t="s">
        <v>54</v>
      </c>
      <c r="I1672" s="1" t="s">
        <v>173</v>
      </c>
      <c r="J1672" s="1">
        <v>8</v>
      </c>
      <c r="K1672" s="3">
        <v>8285.81</v>
      </c>
      <c r="L1672" s="1">
        <v>5</v>
      </c>
      <c r="M1672" s="1" t="s">
        <v>56</v>
      </c>
      <c r="N1672" s="10" t="s">
        <v>45</v>
      </c>
      <c r="Q1672"/>
    </row>
    <row r="1673" spans="1:17" x14ac:dyDescent="0.25">
      <c r="A1673" s="9" t="s">
        <v>2670</v>
      </c>
      <c r="B1673" s="2">
        <v>45494</v>
      </c>
      <c r="C1673" s="1" t="s">
        <v>257</v>
      </c>
      <c r="D1673" s="1" t="s">
        <v>147</v>
      </c>
      <c r="E1673" s="1" t="s">
        <v>27</v>
      </c>
      <c r="F1673" s="1" t="s">
        <v>60</v>
      </c>
      <c r="G1673" s="1" t="s">
        <v>53</v>
      </c>
      <c r="H1673" s="1" t="s">
        <v>54</v>
      </c>
      <c r="I1673" s="1" t="s">
        <v>608</v>
      </c>
      <c r="J1673" s="1">
        <v>10</v>
      </c>
      <c r="K1673" s="3">
        <v>47748.07</v>
      </c>
      <c r="L1673" s="1">
        <v>15</v>
      </c>
      <c r="M1673" s="1" t="s">
        <v>36</v>
      </c>
      <c r="N1673" s="10" t="s">
        <v>37</v>
      </c>
      <c r="Q1673"/>
    </row>
    <row r="1674" spans="1:17" x14ac:dyDescent="0.25">
      <c r="A1674" s="9" t="s">
        <v>2671</v>
      </c>
      <c r="B1674" s="2">
        <v>45536</v>
      </c>
      <c r="C1674" s="1" t="s">
        <v>749</v>
      </c>
      <c r="D1674" s="1" t="s">
        <v>52</v>
      </c>
      <c r="E1674" s="1" t="s">
        <v>17</v>
      </c>
      <c r="F1674" s="1" t="s">
        <v>18</v>
      </c>
      <c r="G1674" s="1" t="s">
        <v>83</v>
      </c>
      <c r="H1674" s="1" t="s">
        <v>43</v>
      </c>
      <c r="I1674" s="1" t="s">
        <v>244</v>
      </c>
      <c r="J1674" s="1">
        <v>7</v>
      </c>
      <c r="K1674" s="3">
        <v>33423.43</v>
      </c>
      <c r="L1674" s="1">
        <v>10</v>
      </c>
      <c r="M1674" s="1" t="s">
        <v>93</v>
      </c>
      <c r="N1674" s="10" t="s">
        <v>23</v>
      </c>
      <c r="Q1674"/>
    </row>
    <row r="1675" spans="1:17" x14ac:dyDescent="0.25">
      <c r="A1675" s="9" t="s">
        <v>2672</v>
      </c>
      <c r="B1675" s="2">
        <v>45502</v>
      </c>
      <c r="C1675" s="1" t="s">
        <v>872</v>
      </c>
      <c r="D1675" s="1" t="s">
        <v>71</v>
      </c>
      <c r="E1675" s="1" t="s">
        <v>59</v>
      </c>
      <c r="F1675" s="1" t="s">
        <v>82</v>
      </c>
      <c r="G1675" s="1" t="s">
        <v>19</v>
      </c>
      <c r="H1675" s="1" t="s">
        <v>29</v>
      </c>
      <c r="I1675" s="1" t="s">
        <v>35</v>
      </c>
      <c r="J1675" s="1">
        <v>2</v>
      </c>
      <c r="K1675" s="3">
        <v>9105.11</v>
      </c>
      <c r="L1675" s="1">
        <v>15</v>
      </c>
      <c r="M1675" s="1" t="s">
        <v>63</v>
      </c>
      <c r="N1675" s="10" t="s">
        <v>31</v>
      </c>
      <c r="Q1675"/>
    </row>
    <row r="1676" spans="1:17" x14ac:dyDescent="0.25">
      <c r="A1676" s="9" t="s">
        <v>2673</v>
      </c>
      <c r="B1676" s="2">
        <v>44984</v>
      </c>
      <c r="C1676" s="1" t="s">
        <v>1907</v>
      </c>
      <c r="D1676" s="1" t="s">
        <v>67</v>
      </c>
      <c r="E1676" s="1" t="s">
        <v>59</v>
      </c>
      <c r="F1676" s="1" t="s">
        <v>88</v>
      </c>
      <c r="G1676" s="1" t="s">
        <v>19</v>
      </c>
      <c r="H1676" s="1" t="s">
        <v>20</v>
      </c>
      <c r="I1676" s="1" t="s">
        <v>214</v>
      </c>
      <c r="J1676" s="1">
        <v>8</v>
      </c>
      <c r="K1676" s="3">
        <v>2559.44</v>
      </c>
      <c r="L1676" s="1">
        <v>10</v>
      </c>
      <c r="M1676" s="1" t="s">
        <v>63</v>
      </c>
      <c r="N1676" s="10" t="s">
        <v>64</v>
      </c>
      <c r="Q1676"/>
    </row>
    <row r="1677" spans="1:17" x14ac:dyDescent="0.25">
      <c r="A1677" s="9" t="s">
        <v>2674</v>
      </c>
      <c r="B1677" s="2">
        <v>45506</v>
      </c>
      <c r="C1677" s="1" t="s">
        <v>612</v>
      </c>
      <c r="D1677" s="1" t="s">
        <v>16</v>
      </c>
      <c r="E1677" s="1" t="s">
        <v>72</v>
      </c>
      <c r="F1677" s="1" t="s">
        <v>18</v>
      </c>
      <c r="G1677" s="1" t="s">
        <v>19</v>
      </c>
      <c r="H1677" s="1" t="s">
        <v>29</v>
      </c>
      <c r="I1677" s="1" t="s">
        <v>320</v>
      </c>
      <c r="J1677" s="1">
        <v>9</v>
      </c>
      <c r="K1677" s="3">
        <v>16949.57</v>
      </c>
      <c r="L1677" s="1">
        <v>10</v>
      </c>
      <c r="M1677" s="1" t="s">
        <v>36</v>
      </c>
      <c r="N1677" s="10" t="s">
        <v>37</v>
      </c>
      <c r="Q1677"/>
    </row>
    <row r="1678" spans="1:17" x14ac:dyDescent="0.25">
      <c r="A1678" s="9" t="s">
        <v>2675</v>
      </c>
      <c r="B1678" s="2">
        <v>45147</v>
      </c>
      <c r="C1678" s="1" t="s">
        <v>637</v>
      </c>
      <c r="D1678" s="1" t="s">
        <v>81</v>
      </c>
      <c r="E1678" s="1" t="s">
        <v>27</v>
      </c>
      <c r="F1678" s="1" t="s">
        <v>99</v>
      </c>
      <c r="G1678" s="1" t="s">
        <v>42</v>
      </c>
      <c r="H1678" s="1" t="s">
        <v>43</v>
      </c>
      <c r="I1678" s="1" t="s">
        <v>467</v>
      </c>
      <c r="J1678" s="1">
        <v>10</v>
      </c>
      <c r="K1678" s="3">
        <v>45785.64</v>
      </c>
      <c r="L1678" s="1">
        <v>20</v>
      </c>
      <c r="M1678" s="1" t="s">
        <v>22</v>
      </c>
      <c r="N1678" s="10" t="s">
        <v>23</v>
      </c>
      <c r="Q1678"/>
    </row>
    <row r="1679" spans="1:17" x14ac:dyDescent="0.25">
      <c r="A1679" s="9" t="s">
        <v>2676</v>
      </c>
      <c r="B1679" s="2">
        <v>45053</v>
      </c>
      <c r="C1679" s="1" t="s">
        <v>1347</v>
      </c>
      <c r="D1679" s="1" t="s">
        <v>87</v>
      </c>
      <c r="E1679" s="1" t="s">
        <v>27</v>
      </c>
      <c r="F1679" s="1" t="s">
        <v>28</v>
      </c>
      <c r="G1679" s="1" t="s">
        <v>19</v>
      </c>
      <c r="H1679" s="1" t="s">
        <v>29</v>
      </c>
      <c r="I1679" s="1" t="s">
        <v>445</v>
      </c>
      <c r="J1679" s="1">
        <v>6</v>
      </c>
      <c r="K1679" s="3">
        <v>21369.95</v>
      </c>
      <c r="L1679" s="1">
        <v>10</v>
      </c>
      <c r="M1679" s="1" t="s">
        <v>22</v>
      </c>
      <c r="N1679" s="10" t="s">
        <v>37</v>
      </c>
      <c r="Q1679"/>
    </row>
    <row r="1680" spans="1:17" x14ac:dyDescent="0.25">
      <c r="A1680" s="9" t="s">
        <v>2677</v>
      </c>
      <c r="B1680" s="2">
        <v>45041</v>
      </c>
      <c r="C1680" s="1" t="s">
        <v>2678</v>
      </c>
      <c r="D1680" s="1" t="s">
        <v>52</v>
      </c>
      <c r="E1680" s="1" t="s">
        <v>41</v>
      </c>
      <c r="F1680" s="1" t="s">
        <v>88</v>
      </c>
      <c r="G1680" s="1" t="s">
        <v>42</v>
      </c>
      <c r="H1680" s="1" t="s">
        <v>61</v>
      </c>
      <c r="I1680" s="1" t="s">
        <v>725</v>
      </c>
      <c r="J1680" s="1">
        <v>9</v>
      </c>
      <c r="K1680" s="3">
        <v>1453.87</v>
      </c>
      <c r="L1680" s="1">
        <v>15</v>
      </c>
      <c r="M1680" s="1" t="s">
        <v>36</v>
      </c>
      <c r="N1680" s="10" t="s">
        <v>74</v>
      </c>
      <c r="Q1680"/>
    </row>
    <row r="1681" spans="1:17" x14ac:dyDescent="0.25">
      <c r="A1681" s="9" t="s">
        <v>2679</v>
      </c>
      <c r="B1681" s="2">
        <v>45654</v>
      </c>
      <c r="C1681" s="1" t="s">
        <v>156</v>
      </c>
      <c r="D1681" s="1" t="s">
        <v>52</v>
      </c>
      <c r="E1681" s="1" t="s">
        <v>41</v>
      </c>
      <c r="F1681" s="1" t="s">
        <v>88</v>
      </c>
      <c r="G1681" s="1" t="s">
        <v>53</v>
      </c>
      <c r="H1681" s="1" t="s">
        <v>54</v>
      </c>
      <c r="I1681" s="1" t="s">
        <v>173</v>
      </c>
      <c r="J1681" s="1">
        <v>10</v>
      </c>
      <c r="K1681" s="3">
        <v>42861.14</v>
      </c>
      <c r="L1681" s="1">
        <v>5</v>
      </c>
      <c r="M1681" s="1" t="s">
        <v>22</v>
      </c>
      <c r="N1681" s="10" t="s">
        <v>23</v>
      </c>
      <c r="Q1681"/>
    </row>
    <row r="1682" spans="1:17" x14ac:dyDescent="0.25">
      <c r="A1682" s="9" t="s">
        <v>2680</v>
      </c>
      <c r="B1682" s="2">
        <v>45101</v>
      </c>
      <c r="C1682" s="1" t="s">
        <v>1362</v>
      </c>
      <c r="D1682" s="1" t="s">
        <v>71</v>
      </c>
      <c r="E1682" s="1" t="s">
        <v>41</v>
      </c>
      <c r="F1682" s="1" t="s">
        <v>99</v>
      </c>
      <c r="G1682" s="1" t="s">
        <v>42</v>
      </c>
      <c r="H1682" s="1" t="s">
        <v>43</v>
      </c>
      <c r="I1682" s="1" t="s">
        <v>365</v>
      </c>
      <c r="J1682" s="1">
        <v>1</v>
      </c>
      <c r="K1682" s="3">
        <v>222.53</v>
      </c>
      <c r="L1682" s="1">
        <v>20</v>
      </c>
      <c r="M1682" s="1" t="s">
        <v>36</v>
      </c>
      <c r="N1682" s="10" t="s">
        <v>64</v>
      </c>
      <c r="Q1682"/>
    </row>
    <row r="1683" spans="1:17" x14ac:dyDescent="0.25">
      <c r="A1683" s="9" t="s">
        <v>2681</v>
      </c>
      <c r="B1683" s="2">
        <v>45127</v>
      </c>
      <c r="C1683" s="1" t="s">
        <v>2168</v>
      </c>
      <c r="D1683" s="1" t="s">
        <v>16</v>
      </c>
      <c r="E1683" s="1" t="s">
        <v>59</v>
      </c>
      <c r="F1683" s="1" t="s">
        <v>82</v>
      </c>
      <c r="G1683" s="1" t="s">
        <v>19</v>
      </c>
      <c r="H1683" s="1" t="s">
        <v>20</v>
      </c>
      <c r="I1683" s="1" t="s">
        <v>254</v>
      </c>
      <c r="J1683" s="1">
        <v>9</v>
      </c>
      <c r="K1683" s="3">
        <v>7169.12</v>
      </c>
      <c r="L1683" s="1">
        <v>15</v>
      </c>
      <c r="M1683" s="1" t="s">
        <v>69</v>
      </c>
      <c r="N1683" s="10" t="s">
        <v>64</v>
      </c>
      <c r="Q1683"/>
    </row>
    <row r="1684" spans="1:17" x14ac:dyDescent="0.25">
      <c r="A1684" s="9" t="s">
        <v>2682</v>
      </c>
      <c r="B1684" s="2">
        <v>45147</v>
      </c>
      <c r="C1684" s="1" t="s">
        <v>1458</v>
      </c>
      <c r="D1684" s="1" t="s">
        <v>48</v>
      </c>
      <c r="E1684" s="1" t="s">
        <v>41</v>
      </c>
      <c r="F1684" s="1" t="s">
        <v>82</v>
      </c>
      <c r="G1684" s="1" t="s">
        <v>19</v>
      </c>
      <c r="H1684" s="1" t="s">
        <v>29</v>
      </c>
      <c r="I1684" s="1" t="s">
        <v>96</v>
      </c>
      <c r="J1684" s="1">
        <v>8</v>
      </c>
      <c r="K1684" s="3">
        <v>12805</v>
      </c>
      <c r="L1684" s="1">
        <v>15</v>
      </c>
      <c r="M1684" s="1" t="s">
        <v>63</v>
      </c>
      <c r="N1684" s="10" t="s">
        <v>37</v>
      </c>
      <c r="Q1684"/>
    </row>
    <row r="1685" spans="1:17" x14ac:dyDescent="0.25">
      <c r="A1685" s="9" t="s">
        <v>2683</v>
      </c>
      <c r="B1685" s="2">
        <v>45009</v>
      </c>
      <c r="C1685" s="1" t="s">
        <v>1021</v>
      </c>
      <c r="D1685" s="1" t="s">
        <v>16</v>
      </c>
      <c r="E1685" s="1" t="s">
        <v>34</v>
      </c>
      <c r="F1685" s="1" t="s">
        <v>18</v>
      </c>
      <c r="G1685" s="1" t="s">
        <v>19</v>
      </c>
      <c r="H1685" s="1" t="s">
        <v>29</v>
      </c>
      <c r="I1685" s="1" t="s">
        <v>141</v>
      </c>
      <c r="J1685" s="1">
        <v>3</v>
      </c>
      <c r="K1685" s="3">
        <v>14337.15</v>
      </c>
      <c r="L1685" s="1" t="s">
        <v>110</v>
      </c>
      <c r="M1685" s="1" t="s">
        <v>36</v>
      </c>
      <c r="N1685" s="10" t="s">
        <v>45</v>
      </c>
      <c r="Q1685"/>
    </row>
    <row r="1686" spans="1:17" x14ac:dyDescent="0.25">
      <c r="A1686" s="9" t="s">
        <v>2684</v>
      </c>
      <c r="B1686" s="2">
        <v>45121</v>
      </c>
      <c r="C1686" s="1" t="s">
        <v>924</v>
      </c>
      <c r="D1686" s="1" t="s">
        <v>67</v>
      </c>
      <c r="E1686" s="1" t="s">
        <v>72</v>
      </c>
      <c r="F1686" s="1" t="s">
        <v>99</v>
      </c>
      <c r="G1686" s="1" t="s">
        <v>42</v>
      </c>
      <c r="H1686" s="1" t="s">
        <v>61</v>
      </c>
      <c r="I1686" s="1" t="s">
        <v>529</v>
      </c>
      <c r="J1686" s="1">
        <v>6</v>
      </c>
      <c r="K1686" s="3">
        <v>5355.55</v>
      </c>
      <c r="L1686" s="1">
        <v>15</v>
      </c>
      <c r="M1686" s="1" t="s">
        <v>69</v>
      </c>
      <c r="N1686" s="10" t="s">
        <v>37</v>
      </c>
      <c r="Q1686"/>
    </row>
    <row r="1687" spans="1:17" x14ac:dyDescent="0.25">
      <c r="A1687" s="9" t="s">
        <v>2685</v>
      </c>
      <c r="B1687" s="2">
        <v>45032</v>
      </c>
      <c r="C1687" s="1" t="s">
        <v>835</v>
      </c>
      <c r="D1687" s="1" t="s">
        <v>147</v>
      </c>
      <c r="E1687" s="1" t="s">
        <v>27</v>
      </c>
      <c r="F1687" s="1" t="s">
        <v>49</v>
      </c>
      <c r="G1687" s="1" t="s">
        <v>53</v>
      </c>
      <c r="H1687" s="1" t="s">
        <v>54</v>
      </c>
      <c r="I1687" s="1" t="s">
        <v>308</v>
      </c>
      <c r="J1687" s="1">
        <v>1</v>
      </c>
      <c r="K1687" s="3">
        <v>2235.2399999999998</v>
      </c>
      <c r="L1687" s="1">
        <v>10</v>
      </c>
      <c r="M1687" s="1" t="s">
        <v>63</v>
      </c>
      <c r="N1687" s="10" t="s">
        <v>74</v>
      </c>
      <c r="Q1687"/>
    </row>
    <row r="1688" spans="1:17" x14ac:dyDescent="0.25">
      <c r="A1688" s="9" t="s">
        <v>2686</v>
      </c>
      <c r="B1688" s="2">
        <v>45007</v>
      </c>
      <c r="C1688" s="1" t="s">
        <v>2122</v>
      </c>
      <c r="D1688" s="1" t="s">
        <v>81</v>
      </c>
      <c r="E1688" s="1" t="s">
        <v>59</v>
      </c>
      <c r="F1688" s="1" t="s">
        <v>18</v>
      </c>
      <c r="G1688" s="1" t="s">
        <v>42</v>
      </c>
      <c r="H1688" s="1" t="s">
        <v>43</v>
      </c>
      <c r="I1688" s="1" t="s">
        <v>274</v>
      </c>
      <c r="J1688" s="1">
        <v>10</v>
      </c>
      <c r="K1688" s="3">
        <v>29520.44</v>
      </c>
      <c r="L1688" s="1">
        <v>15</v>
      </c>
      <c r="M1688" s="1" t="s">
        <v>22</v>
      </c>
      <c r="N1688" s="10" t="s">
        <v>31</v>
      </c>
      <c r="Q1688"/>
    </row>
    <row r="1689" spans="1:17" x14ac:dyDescent="0.25">
      <c r="A1689" s="9" t="s">
        <v>2687</v>
      </c>
      <c r="B1689" s="2">
        <v>45332</v>
      </c>
      <c r="C1689" s="1" t="s">
        <v>1949</v>
      </c>
      <c r="D1689" s="1" t="s">
        <v>81</v>
      </c>
      <c r="E1689" s="1" t="s">
        <v>34</v>
      </c>
      <c r="F1689" s="1" t="s">
        <v>88</v>
      </c>
      <c r="G1689" s="1" t="s">
        <v>83</v>
      </c>
      <c r="H1689" s="1" t="s">
        <v>43</v>
      </c>
      <c r="I1689" s="1" t="s">
        <v>285</v>
      </c>
      <c r="J1689" s="1">
        <v>3</v>
      </c>
      <c r="K1689" s="3">
        <v>4268.8500000000004</v>
      </c>
      <c r="L1689" s="1">
        <v>10</v>
      </c>
      <c r="M1689" s="1" t="s">
        <v>63</v>
      </c>
      <c r="N1689" s="10" t="s">
        <v>23</v>
      </c>
      <c r="Q1689"/>
    </row>
    <row r="1690" spans="1:17" x14ac:dyDescent="0.25">
      <c r="A1690" s="9" t="s">
        <v>2688</v>
      </c>
      <c r="B1690" s="2">
        <v>45352</v>
      </c>
      <c r="C1690" s="1" t="s">
        <v>2689</v>
      </c>
      <c r="D1690" s="1" t="s">
        <v>81</v>
      </c>
      <c r="E1690" s="1" t="s">
        <v>72</v>
      </c>
      <c r="F1690" s="1" t="s">
        <v>88</v>
      </c>
      <c r="G1690" s="1" t="s">
        <v>19</v>
      </c>
      <c r="H1690" s="1" t="s">
        <v>20</v>
      </c>
      <c r="I1690" s="1" t="s">
        <v>130</v>
      </c>
      <c r="J1690" s="1">
        <v>1</v>
      </c>
      <c r="K1690" s="3">
        <v>4913.6899999999996</v>
      </c>
      <c r="L1690" s="1" t="s">
        <v>110</v>
      </c>
      <c r="M1690" s="1" t="s">
        <v>36</v>
      </c>
      <c r="N1690" s="10" t="s">
        <v>37</v>
      </c>
      <c r="Q1690"/>
    </row>
    <row r="1691" spans="1:17" x14ac:dyDescent="0.25">
      <c r="A1691" s="9" t="s">
        <v>2690</v>
      </c>
      <c r="B1691" s="2">
        <v>45176</v>
      </c>
      <c r="C1691" s="1" t="s">
        <v>931</v>
      </c>
      <c r="D1691" s="1" t="s">
        <v>52</v>
      </c>
      <c r="E1691" s="1" t="s">
        <v>34</v>
      </c>
      <c r="F1691" s="1" t="s">
        <v>18</v>
      </c>
      <c r="G1691" s="1" t="s">
        <v>19</v>
      </c>
      <c r="H1691" s="1" t="s">
        <v>20</v>
      </c>
      <c r="I1691" s="1" t="s">
        <v>263</v>
      </c>
      <c r="J1691" s="1">
        <v>6</v>
      </c>
      <c r="K1691" s="3">
        <v>28325.17</v>
      </c>
      <c r="L1691" s="1">
        <v>15</v>
      </c>
      <c r="M1691" s="1" t="s">
        <v>56</v>
      </c>
      <c r="N1691" s="10" t="s">
        <v>45</v>
      </c>
      <c r="Q1691"/>
    </row>
    <row r="1692" spans="1:17" x14ac:dyDescent="0.25">
      <c r="A1692" s="9" t="s">
        <v>2691</v>
      </c>
      <c r="B1692" s="2">
        <v>45437</v>
      </c>
      <c r="C1692" s="1" t="s">
        <v>2502</v>
      </c>
      <c r="D1692" s="1" t="s">
        <v>33</v>
      </c>
      <c r="E1692" s="1" t="s">
        <v>34</v>
      </c>
      <c r="F1692" s="1" t="s">
        <v>60</v>
      </c>
      <c r="G1692" s="1" t="s">
        <v>19</v>
      </c>
      <c r="H1692" s="1" t="s">
        <v>29</v>
      </c>
      <c r="I1692" s="1" t="s">
        <v>385</v>
      </c>
      <c r="J1692" s="1">
        <v>8</v>
      </c>
      <c r="K1692" s="3">
        <v>29414.82</v>
      </c>
      <c r="L1692" s="1" t="s">
        <v>110</v>
      </c>
      <c r="M1692" s="1" t="s">
        <v>93</v>
      </c>
      <c r="N1692" s="10" t="s">
        <v>37</v>
      </c>
      <c r="Q1692"/>
    </row>
    <row r="1693" spans="1:17" x14ac:dyDescent="0.25">
      <c r="A1693" s="9" t="s">
        <v>2692</v>
      </c>
      <c r="B1693" s="2">
        <v>45024</v>
      </c>
      <c r="C1693" s="1" t="s">
        <v>1200</v>
      </c>
      <c r="D1693" s="1" t="s">
        <v>67</v>
      </c>
      <c r="E1693" s="1" t="s">
        <v>41</v>
      </c>
      <c r="F1693" s="1" t="s">
        <v>18</v>
      </c>
      <c r="G1693" s="1" t="s">
        <v>42</v>
      </c>
      <c r="H1693" s="1" t="s">
        <v>43</v>
      </c>
      <c r="I1693" s="1" t="s">
        <v>494</v>
      </c>
      <c r="J1693" s="1">
        <v>7</v>
      </c>
      <c r="K1693" s="3">
        <v>23335.14</v>
      </c>
      <c r="L1693" s="1" t="s">
        <v>110</v>
      </c>
      <c r="M1693" s="1" t="s">
        <v>93</v>
      </c>
      <c r="N1693" s="10" t="s">
        <v>37</v>
      </c>
      <c r="Q1693"/>
    </row>
    <row r="1694" spans="1:17" x14ac:dyDescent="0.25">
      <c r="A1694" s="9" t="s">
        <v>2693</v>
      </c>
      <c r="B1694" s="2">
        <v>45344</v>
      </c>
      <c r="C1694" s="1" t="s">
        <v>601</v>
      </c>
      <c r="D1694" s="1" t="s">
        <v>71</v>
      </c>
      <c r="E1694" s="1" t="s">
        <v>59</v>
      </c>
      <c r="F1694" s="1" t="s">
        <v>49</v>
      </c>
      <c r="G1694" s="1" t="s">
        <v>19</v>
      </c>
      <c r="H1694" s="1" t="s">
        <v>20</v>
      </c>
      <c r="I1694" s="1" t="s">
        <v>179</v>
      </c>
      <c r="J1694" s="1">
        <v>6</v>
      </c>
      <c r="K1694" s="3">
        <v>8814.36</v>
      </c>
      <c r="L1694" s="1" t="s">
        <v>110</v>
      </c>
      <c r="M1694" s="1" t="s">
        <v>36</v>
      </c>
      <c r="N1694" s="10" t="s">
        <v>74</v>
      </c>
      <c r="Q1694"/>
    </row>
    <row r="1695" spans="1:17" x14ac:dyDescent="0.25">
      <c r="A1695" s="9" t="s">
        <v>2694</v>
      </c>
      <c r="B1695" s="2">
        <v>45574</v>
      </c>
      <c r="C1695" s="1" t="s">
        <v>1267</v>
      </c>
      <c r="D1695" s="1" t="s">
        <v>87</v>
      </c>
      <c r="E1695" s="1" t="s">
        <v>27</v>
      </c>
      <c r="F1695" s="1" t="s">
        <v>28</v>
      </c>
      <c r="G1695" s="1" t="s">
        <v>83</v>
      </c>
      <c r="H1695" s="1" t="s">
        <v>43</v>
      </c>
      <c r="I1695" s="1" t="s">
        <v>288</v>
      </c>
      <c r="J1695" s="1">
        <v>10</v>
      </c>
      <c r="K1695" s="3">
        <v>46893.36</v>
      </c>
      <c r="L1695" s="1" t="s">
        <v>110</v>
      </c>
      <c r="M1695" s="1" t="s">
        <v>93</v>
      </c>
      <c r="N1695" s="10" t="s">
        <v>31</v>
      </c>
      <c r="Q1695"/>
    </row>
    <row r="1696" spans="1:17" x14ac:dyDescent="0.25">
      <c r="A1696" s="9" t="s">
        <v>2695</v>
      </c>
      <c r="B1696" s="2">
        <v>45122</v>
      </c>
      <c r="C1696" s="1" t="s">
        <v>2031</v>
      </c>
      <c r="D1696" s="1" t="s">
        <v>52</v>
      </c>
      <c r="E1696" s="1" t="s">
        <v>59</v>
      </c>
      <c r="F1696" s="1" t="s">
        <v>18</v>
      </c>
      <c r="G1696" s="1" t="s">
        <v>19</v>
      </c>
      <c r="H1696" s="1" t="s">
        <v>20</v>
      </c>
      <c r="I1696" s="1" t="s">
        <v>213</v>
      </c>
      <c r="J1696" s="1">
        <v>8</v>
      </c>
      <c r="K1696" s="3">
        <v>26133.56</v>
      </c>
      <c r="L1696" s="1">
        <v>10</v>
      </c>
      <c r="M1696" s="1" t="s">
        <v>93</v>
      </c>
      <c r="N1696" s="10" t="s">
        <v>31</v>
      </c>
      <c r="Q1696"/>
    </row>
    <row r="1697" spans="1:17" x14ac:dyDescent="0.25">
      <c r="A1697" s="9" t="s">
        <v>2696</v>
      </c>
      <c r="B1697" s="2">
        <v>45330</v>
      </c>
      <c r="C1697" s="1" t="s">
        <v>785</v>
      </c>
      <c r="D1697" s="1" t="s">
        <v>33</v>
      </c>
      <c r="E1697" s="1" t="s">
        <v>34</v>
      </c>
      <c r="F1697" s="1" t="s">
        <v>28</v>
      </c>
      <c r="G1697" s="1" t="s">
        <v>19</v>
      </c>
      <c r="H1697" s="1" t="s">
        <v>29</v>
      </c>
      <c r="I1697" s="1" t="s">
        <v>424</v>
      </c>
      <c r="J1697" s="1">
        <v>4</v>
      </c>
      <c r="K1697" s="3">
        <v>19195.73</v>
      </c>
      <c r="L1697" s="1">
        <v>20</v>
      </c>
      <c r="M1697" s="1" t="s">
        <v>93</v>
      </c>
      <c r="N1697" s="10" t="s">
        <v>23</v>
      </c>
      <c r="Q1697"/>
    </row>
    <row r="1698" spans="1:17" x14ac:dyDescent="0.25">
      <c r="A1698" s="9" t="s">
        <v>2697</v>
      </c>
      <c r="B1698" s="2">
        <v>45458</v>
      </c>
      <c r="C1698" s="1" t="s">
        <v>2078</v>
      </c>
      <c r="D1698" s="1" t="s">
        <v>52</v>
      </c>
      <c r="E1698" s="1" t="s">
        <v>59</v>
      </c>
      <c r="F1698" s="1" t="s">
        <v>60</v>
      </c>
      <c r="G1698" s="1" t="s">
        <v>19</v>
      </c>
      <c r="H1698" s="1" t="s">
        <v>29</v>
      </c>
      <c r="I1698" s="1" t="s">
        <v>830</v>
      </c>
      <c r="J1698" s="1">
        <v>1</v>
      </c>
      <c r="K1698" s="3">
        <v>3273.5</v>
      </c>
      <c r="L1698" s="1">
        <v>15</v>
      </c>
      <c r="M1698" s="1" t="s">
        <v>22</v>
      </c>
      <c r="N1698" s="10" t="s">
        <v>74</v>
      </c>
      <c r="Q1698"/>
    </row>
    <row r="1699" spans="1:17" x14ac:dyDescent="0.25">
      <c r="A1699" s="9" t="s">
        <v>2698</v>
      </c>
      <c r="B1699" s="2">
        <v>45493</v>
      </c>
      <c r="C1699" s="1" t="s">
        <v>58</v>
      </c>
      <c r="D1699" s="1" t="s">
        <v>81</v>
      </c>
      <c r="E1699" s="1" t="s">
        <v>72</v>
      </c>
      <c r="F1699" s="1" t="s">
        <v>28</v>
      </c>
      <c r="G1699" s="1" t="s">
        <v>83</v>
      </c>
      <c r="H1699" s="1" t="s">
        <v>43</v>
      </c>
      <c r="I1699" s="1" t="s">
        <v>491</v>
      </c>
      <c r="J1699" s="1">
        <v>10</v>
      </c>
      <c r="K1699" s="3">
        <v>22137.93</v>
      </c>
      <c r="L1699" s="1">
        <v>15</v>
      </c>
      <c r="M1699" s="1" t="s">
        <v>56</v>
      </c>
      <c r="N1699" s="10" t="s">
        <v>45</v>
      </c>
      <c r="Q1699"/>
    </row>
    <row r="1700" spans="1:17" x14ac:dyDescent="0.25">
      <c r="A1700" s="9" t="s">
        <v>2699</v>
      </c>
      <c r="B1700" s="2">
        <v>45294</v>
      </c>
      <c r="C1700" s="1" t="s">
        <v>1697</v>
      </c>
      <c r="D1700" s="1" t="s">
        <v>26</v>
      </c>
      <c r="E1700" s="1" t="s">
        <v>17</v>
      </c>
      <c r="F1700" s="1" t="s">
        <v>18</v>
      </c>
      <c r="G1700" s="1" t="s">
        <v>53</v>
      </c>
      <c r="H1700" s="1" t="s">
        <v>54</v>
      </c>
      <c r="I1700" s="1" t="s">
        <v>946</v>
      </c>
      <c r="J1700" s="1">
        <v>7</v>
      </c>
      <c r="K1700" s="3">
        <v>26204.44</v>
      </c>
      <c r="L1700" s="1">
        <v>10</v>
      </c>
      <c r="M1700" s="1" t="s">
        <v>36</v>
      </c>
      <c r="N1700" s="10" t="s">
        <v>64</v>
      </c>
      <c r="Q1700"/>
    </row>
    <row r="1701" spans="1:17" x14ac:dyDescent="0.25">
      <c r="A1701" s="9" t="s">
        <v>2700</v>
      </c>
      <c r="B1701" s="2">
        <v>45401</v>
      </c>
      <c r="C1701" s="1" t="s">
        <v>1065</v>
      </c>
      <c r="D1701" s="1" t="s">
        <v>16</v>
      </c>
      <c r="E1701" s="1" t="s">
        <v>27</v>
      </c>
      <c r="F1701" s="1" t="s">
        <v>60</v>
      </c>
      <c r="G1701" s="1" t="s">
        <v>42</v>
      </c>
      <c r="H1701" s="1" t="s">
        <v>61</v>
      </c>
      <c r="I1701" s="1" t="s">
        <v>529</v>
      </c>
      <c r="J1701" s="1">
        <v>6</v>
      </c>
      <c r="K1701" s="3">
        <v>22625.96</v>
      </c>
      <c r="L1701" s="1">
        <v>15</v>
      </c>
      <c r="M1701" s="1" t="s">
        <v>69</v>
      </c>
      <c r="N1701" s="10" t="s">
        <v>74</v>
      </c>
      <c r="Q1701"/>
    </row>
    <row r="1702" spans="1:17" x14ac:dyDescent="0.25">
      <c r="A1702" s="9" t="s">
        <v>2701</v>
      </c>
      <c r="B1702" s="2">
        <v>45476</v>
      </c>
      <c r="C1702" s="1" t="s">
        <v>1660</v>
      </c>
      <c r="D1702" s="1" t="s">
        <v>52</v>
      </c>
      <c r="E1702" s="1" t="s">
        <v>41</v>
      </c>
      <c r="F1702" s="1" t="s">
        <v>18</v>
      </c>
      <c r="G1702" s="1" t="s">
        <v>42</v>
      </c>
      <c r="H1702" s="1" t="s">
        <v>43</v>
      </c>
      <c r="I1702" s="1" t="s">
        <v>154</v>
      </c>
      <c r="J1702" s="1">
        <v>2</v>
      </c>
      <c r="K1702" s="3">
        <v>8390.7800000000007</v>
      </c>
      <c r="L1702" s="1">
        <v>5</v>
      </c>
      <c r="M1702" s="1" t="s">
        <v>56</v>
      </c>
      <c r="N1702" s="10" t="s">
        <v>64</v>
      </c>
      <c r="Q1702"/>
    </row>
    <row r="1703" spans="1:17" x14ac:dyDescent="0.25">
      <c r="A1703" s="9" t="s">
        <v>2702</v>
      </c>
      <c r="B1703" s="2">
        <v>45228</v>
      </c>
      <c r="C1703" s="1" t="s">
        <v>447</v>
      </c>
      <c r="D1703" s="1" t="s">
        <v>16</v>
      </c>
      <c r="E1703" s="1" t="s">
        <v>72</v>
      </c>
      <c r="F1703" s="1" t="s">
        <v>99</v>
      </c>
      <c r="G1703" s="1" t="s">
        <v>19</v>
      </c>
      <c r="H1703" s="1" t="s">
        <v>20</v>
      </c>
      <c r="I1703" s="1" t="s">
        <v>391</v>
      </c>
      <c r="J1703" s="1">
        <v>9</v>
      </c>
      <c r="K1703" s="3">
        <v>15834.94</v>
      </c>
      <c r="L1703" s="1">
        <v>20</v>
      </c>
      <c r="M1703" s="1" t="s">
        <v>69</v>
      </c>
      <c r="N1703" s="10" t="s">
        <v>37</v>
      </c>
      <c r="Q1703"/>
    </row>
    <row r="1704" spans="1:17" x14ac:dyDescent="0.25">
      <c r="A1704" s="9" t="s">
        <v>2703</v>
      </c>
      <c r="B1704" s="2">
        <v>45130</v>
      </c>
      <c r="C1704" s="1" t="s">
        <v>271</v>
      </c>
      <c r="D1704" s="1" t="s">
        <v>81</v>
      </c>
      <c r="E1704" s="1" t="s">
        <v>72</v>
      </c>
      <c r="F1704" s="1" t="s">
        <v>28</v>
      </c>
      <c r="G1704" s="1" t="s">
        <v>19</v>
      </c>
      <c r="H1704" s="1" t="s">
        <v>20</v>
      </c>
      <c r="I1704" s="1" t="s">
        <v>312</v>
      </c>
      <c r="J1704" s="1">
        <v>7</v>
      </c>
      <c r="K1704" s="3">
        <v>10639.29</v>
      </c>
      <c r="L1704" s="1">
        <v>20</v>
      </c>
      <c r="M1704" s="1" t="s">
        <v>36</v>
      </c>
      <c r="N1704" s="10" t="s">
        <v>64</v>
      </c>
      <c r="Q1704"/>
    </row>
    <row r="1705" spans="1:17" x14ac:dyDescent="0.25">
      <c r="A1705" s="9" t="s">
        <v>2704</v>
      </c>
      <c r="B1705" s="2">
        <v>45649</v>
      </c>
      <c r="C1705" s="1" t="s">
        <v>2705</v>
      </c>
      <c r="D1705" s="1" t="s">
        <v>33</v>
      </c>
      <c r="E1705" s="1" t="s">
        <v>27</v>
      </c>
      <c r="F1705" s="1" t="s">
        <v>99</v>
      </c>
      <c r="G1705" s="1" t="s">
        <v>83</v>
      </c>
      <c r="H1705" s="1" t="s">
        <v>43</v>
      </c>
      <c r="I1705" s="1" t="s">
        <v>467</v>
      </c>
      <c r="J1705" s="1">
        <v>8</v>
      </c>
      <c r="K1705" s="3">
        <v>932.38</v>
      </c>
      <c r="L1705" s="1" t="s">
        <v>110</v>
      </c>
      <c r="M1705" s="1" t="s">
        <v>56</v>
      </c>
      <c r="N1705" s="10" t="s">
        <v>64</v>
      </c>
      <c r="Q1705"/>
    </row>
    <row r="1706" spans="1:17" x14ac:dyDescent="0.25">
      <c r="A1706" s="9" t="s">
        <v>2706</v>
      </c>
      <c r="B1706" s="2">
        <v>45617</v>
      </c>
      <c r="C1706" s="1" t="s">
        <v>1050</v>
      </c>
      <c r="D1706" s="1" t="s">
        <v>33</v>
      </c>
      <c r="E1706" s="1" t="s">
        <v>27</v>
      </c>
      <c r="F1706" s="1" t="s">
        <v>49</v>
      </c>
      <c r="G1706" s="1" t="s">
        <v>42</v>
      </c>
      <c r="H1706" s="1" t="s">
        <v>61</v>
      </c>
      <c r="I1706" s="1" t="s">
        <v>106</v>
      </c>
      <c r="J1706" s="1">
        <v>3</v>
      </c>
      <c r="K1706" s="3">
        <v>9933.86</v>
      </c>
      <c r="L1706" s="1">
        <v>15</v>
      </c>
      <c r="M1706" s="1" t="s">
        <v>36</v>
      </c>
      <c r="N1706" s="10" t="s">
        <v>37</v>
      </c>
      <c r="Q1706"/>
    </row>
    <row r="1707" spans="1:17" x14ac:dyDescent="0.25">
      <c r="A1707" s="9" t="s">
        <v>2707</v>
      </c>
      <c r="B1707" s="2">
        <v>45059</v>
      </c>
      <c r="C1707" s="1" t="s">
        <v>1595</v>
      </c>
      <c r="D1707" s="1" t="s">
        <v>87</v>
      </c>
      <c r="E1707" s="1" t="s">
        <v>41</v>
      </c>
      <c r="F1707" s="1" t="s">
        <v>88</v>
      </c>
      <c r="G1707" s="1" t="s">
        <v>83</v>
      </c>
      <c r="H1707" s="1" t="s">
        <v>43</v>
      </c>
      <c r="I1707" s="1" t="s">
        <v>154</v>
      </c>
      <c r="J1707" s="1">
        <v>6</v>
      </c>
      <c r="K1707" s="3">
        <v>18620.900000000001</v>
      </c>
      <c r="L1707" s="1" t="s">
        <v>110</v>
      </c>
      <c r="M1707" s="1" t="s">
        <v>22</v>
      </c>
      <c r="N1707" s="10" t="s">
        <v>74</v>
      </c>
      <c r="Q1707"/>
    </row>
    <row r="1708" spans="1:17" x14ac:dyDescent="0.25">
      <c r="A1708" s="9" t="s">
        <v>2708</v>
      </c>
      <c r="B1708" s="2">
        <v>45475</v>
      </c>
      <c r="C1708" s="1" t="s">
        <v>2480</v>
      </c>
      <c r="D1708" s="1" t="s">
        <v>169</v>
      </c>
      <c r="E1708" s="1" t="s">
        <v>34</v>
      </c>
      <c r="F1708" s="1" t="s">
        <v>60</v>
      </c>
      <c r="G1708" s="1" t="s">
        <v>19</v>
      </c>
      <c r="H1708" s="1" t="s">
        <v>29</v>
      </c>
      <c r="I1708" s="1" t="s">
        <v>96</v>
      </c>
      <c r="J1708" s="1">
        <v>8</v>
      </c>
      <c r="K1708" s="3">
        <v>27067.06</v>
      </c>
      <c r="L1708" s="1" t="s">
        <v>110</v>
      </c>
      <c r="M1708" s="1" t="s">
        <v>63</v>
      </c>
      <c r="N1708" s="10" t="s">
        <v>31</v>
      </c>
      <c r="Q1708"/>
    </row>
    <row r="1709" spans="1:17" x14ac:dyDescent="0.25">
      <c r="A1709" s="9" t="s">
        <v>2709</v>
      </c>
      <c r="B1709" s="2">
        <v>45356</v>
      </c>
      <c r="C1709" s="1" t="s">
        <v>724</v>
      </c>
      <c r="D1709" s="1" t="s">
        <v>87</v>
      </c>
      <c r="E1709" s="1" t="s">
        <v>17</v>
      </c>
      <c r="F1709" s="1" t="s">
        <v>28</v>
      </c>
      <c r="G1709" s="1" t="s">
        <v>19</v>
      </c>
      <c r="H1709" s="1" t="s">
        <v>29</v>
      </c>
      <c r="I1709" s="1" t="s">
        <v>475</v>
      </c>
      <c r="J1709" s="1">
        <v>3</v>
      </c>
      <c r="K1709" s="3">
        <v>10083.209999999999</v>
      </c>
      <c r="L1709" s="1">
        <v>20</v>
      </c>
      <c r="M1709" s="1" t="s">
        <v>56</v>
      </c>
      <c r="N1709" s="10" t="s">
        <v>74</v>
      </c>
      <c r="Q1709"/>
    </row>
    <row r="1710" spans="1:17" x14ac:dyDescent="0.25">
      <c r="A1710" s="9" t="s">
        <v>2710</v>
      </c>
      <c r="B1710" s="2">
        <v>45001</v>
      </c>
      <c r="C1710" s="1" t="s">
        <v>900</v>
      </c>
      <c r="D1710" s="1" t="s">
        <v>71</v>
      </c>
      <c r="E1710" s="1" t="s">
        <v>41</v>
      </c>
      <c r="F1710" s="1" t="s">
        <v>49</v>
      </c>
      <c r="G1710" s="1" t="s">
        <v>83</v>
      </c>
      <c r="H1710" s="1" t="s">
        <v>43</v>
      </c>
      <c r="I1710" s="1" t="s">
        <v>329</v>
      </c>
      <c r="J1710" s="1">
        <v>9</v>
      </c>
      <c r="K1710" s="3">
        <v>13423.12</v>
      </c>
      <c r="L1710" s="1">
        <v>0</v>
      </c>
      <c r="M1710" s="1" t="s">
        <v>63</v>
      </c>
      <c r="N1710" s="10" t="s">
        <v>64</v>
      </c>
      <c r="Q1710"/>
    </row>
    <row r="1711" spans="1:17" x14ac:dyDescent="0.25">
      <c r="A1711" s="9" t="s">
        <v>2711</v>
      </c>
      <c r="B1711" s="2">
        <v>45611</v>
      </c>
      <c r="C1711" s="1" t="s">
        <v>703</v>
      </c>
      <c r="D1711" s="1" t="s">
        <v>33</v>
      </c>
      <c r="E1711" s="1" t="s">
        <v>27</v>
      </c>
      <c r="F1711" s="1" t="s">
        <v>88</v>
      </c>
      <c r="G1711" s="1" t="s">
        <v>19</v>
      </c>
      <c r="H1711" s="1" t="s">
        <v>29</v>
      </c>
      <c r="I1711" s="1" t="s">
        <v>124</v>
      </c>
      <c r="J1711" s="1">
        <v>5</v>
      </c>
      <c r="K1711" s="3">
        <v>8855.51</v>
      </c>
      <c r="L1711" s="1">
        <v>15</v>
      </c>
      <c r="M1711" s="1" t="s">
        <v>63</v>
      </c>
      <c r="N1711" s="10" t="s">
        <v>37</v>
      </c>
      <c r="Q1711"/>
    </row>
    <row r="1712" spans="1:17" x14ac:dyDescent="0.25">
      <c r="A1712" s="9" t="s">
        <v>2712</v>
      </c>
      <c r="B1712" s="2">
        <v>45651</v>
      </c>
      <c r="C1712" s="1" t="s">
        <v>1488</v>
      </c>
      <c r="D1712" s="1" t="s">
        <v>16</v>
      </c>
      <c r="E1712" s="1" t="s">
        <v>59</v>
      </c>
      <c r="F1712" s="1" t="s">
        <v>28</v>
      </c>
      <c r="G1712" s="1" t="s">
        <v>19</v>
      </c>
      <c r="H1712" s="1" t="s">
        <v>29</v>
      </c>
      <c r="I1712" s="1" t="s">
        <v>1215</v>
      </c>
      <c r="J1712" s="1">
        <v>9</v>
      </c>
      <c r="K1712" s="3">
        <v>41798.769999999997</v>
      </c>
      <c r="L1712" s="1">
        <v>5</v>
      </c>
      <c r="M1712" s="1" t="s">
        <v>36</v>
      </c>
      <c r="N1712" s="10" t="s">
        <v>37</v>
      </c>
      <c r="Q1712"/>
    </row>
    <row r="1713" spans="1:17" x14ac:dyDescent="0.25">
      <c r="A1713" s="9" t="s">
        <v>2713</v>
      </c>
      <c r="B1713" s="2">
        <v>45588</v>
      </c>
      <c r="C1713" s="1" t="s">
        <v>806</v>
      </c>
      <c r="D1713" s="1" t="s">
        <v>147</v>
      </c>
      <c r="E1713" s="1" t="s">
        <v>17</v>
      </c>
      <c r="F1713" s="1" t="s">
        <v>82</v>
      </c>
      <c r="G1713" s="1" t="s">
        <v>83</v>
      </c>
      <c r="H1713" s="1" t="s">
        <v>43</v>
      </c>
      <c r="I1713" s="1" t="s">
        <v>329</v>
      </c>
      <c r="J1713" s="1">
        <v>5</v>
      </c>
      <c r="K1713" s="3">
        <v>5857.4</v>
      </c>
      <c r="L1713" s="1">
        <v>10</v>
      </c>
      <c r="M1713" s="1" t="s">
        <v>22</v>
      </c>
      <c r="N1713" s="10" t="s">
        <v>31</v>
      </c>
      <c r="Q1713"/>
    </row>
    <row r="1714" spans="1:17" x14ac:dyDescent="0.25">
      <c r="A1714" s="9" t="s">
        <v>2714</v>
      </c>
      <c r="B1714" s="2">
        <v>45439</v>
      </c>
      <c r="C1714" s="1" t="s">
        <v>955</v>
      </c>
      <c r="D1714" s="1" t="s">
        <v>71</v>
      </c>
      <c r="E1714" s="1" t="s">
        <v>27</v>
      </c>
      <c r="F1714" s="1" t="s">
        <v>28</v>
      </c>
      <c r="G1714" s="1" t="s">
        <v>42</v>
      </c>
      <c r="H1714" s="1" t="s">
        <v>61</v>
      </c>
      <c r="I1714" s="1" t="s">
        <v>667</v>
      </c>
      <c r="J1714" s="1">
        <v>6</v>
      </c>
      <c r="K1714" s="3">
        <v>14689.1</v>
      </c>
      <c r="L1714" s="1" t="s">
        <v>110</v>
      </c>
      <c r="M1714" s="1" t="s">
        <v>56</v>
      </c>
      <c r="N1714" s="10" t="s">
        <v>74</v>
      </c>
      <c r="Q1714"/>
    </row>
    <row r="1715" spans="1:17" x14ac:dyDescent="0.25">
      <c r="A1715" s="9" t="s">
        <v>2715</v>
      </c>
      <c r="B1715" s="2">
        <v>45355</v>
      </c>
      <c r="C1715" s="1" t="s">
        <v>304</v>
      </c>
      <c r="D1715" s="1" t="s">
        <v>87</v>
      </c>
      <c r="E1715" s="1" t="s">
        <v>41</v>
      </c>
      <c r="F1715" s="1" t="s">
        <v>82</v>
      </c>
      <c r="G1715" s="1" t="s">
        <v>42</v>
      </c>
      <c r="H1715" s="1" t="s">
        <v>43</v>
      </c>
      <c r="I1715" s="1" t="s">
        <v>89</v>
      </c>
      <c r="J1715" s="1">
        <v>9</v>
      </c>
      <c r="K1715" s="3">
        <v>41606.07</v>
      </c>
      <c r="L1715" s="1">
        <v>20</v>
      </c>
      <c r="M1715" s="1" t="s">
        <v>93</v>
      </c>
      <c r="N1715" s="10" t="s">
        <v>64</v>
      </c>
      <c r="Q1715"/>
    </row>
    <row r="1716" spans="1:17" x14ac:dyDescent="0.25">
      <c r="A1716" s="9" t="s">
        <v>2716</v>
      </c>
      <c r="B1716" s="2">
        <v>45048</v>
      </c>
      <c r="C1716" s="1" t="s">
        <v>2717</v>
      </c>
      <c r="D1716" s="1" t="s">
        <v>147</v>
      </c>
      <c r="E1716" s="1" t="s">
        <v>17</v>
      </c>
      <c r="F1716" s="1" t="s">
        <v>88</v>
      </c>
      <c r="G1716" s="1" t="s">
        <v>42</v>
      </c>
      <c r="H1716" s="1" t="s">
        <v>43</v>
      </c>
      <c r="I1716" s="1" t="s">
        <v>572</v>
      </c>
      <c r="J1716" s="1">
        <v>5</v>
      </c>
      <c r="K1716" s="3">
        <v>9915.32</v>
      </c>
      <c r="L1716" s="1" t="s">
        <v>110</v>
      </c>
      <c r="M1716" s="1" t="s">
        <v>56</v>
      </c>
      <c r="N1716" s="10" t="s">
        <v>37</v>
      </c>
      <c r="Q1716"/>
    </row>
    <row r="1717" spans="1:17" x14ac:dyDescent="0.25">
      <c r="A1717" s="9" t="s">
        <v>2718</v>
      </c>
      <c r="B1717" s="2">
        <v>45400</v>
      </c>
      <c r="C1717" s="1" t="s">
        <v>2101</v>
      </c>
      <c r="D1717" s="1" t="s">
        <v>16</v>
      </c>
      <c r="E1717" s="1" t="s">
        <v>59</v>
      </c>
      <c r="F1717" s="1" t="s">
        <v>99</v>
      </c>
      <c r="G1717" s="1" t="s">
        <v>19</v>
      </c>
      <c r="H1717" s="1" t="s">
        <v>29</v>
      </c>
      <c r="I1717" s="1" t="s">
        <v>830</v>
      </c>
      <c r="J1717" s="1">
        <v>10</v>
      </c>
      <c r="K1717" s="3">
        <v>44076.959999999999</v>
      </c>
      <c r="L1717" s="1">
        <v>15</v>
      </c>
      <c r="M1717" s="1" t="s">
        <v>22</v>
      </c>
      <c r="N1717" s="10" t="s">
        <v>23</v>
      </c>
      <c r="Q1717"/>
    </row>
    <row r="1718" spans="1:17" x14ac:dyDescent="0.25">
      <c r="A1718" s="9" t="s">
        <v>2719</v>
      </c>
      <c r="B1718" s="2">
        <v>45079</v>
      </c>
      <c r="C1718" s="1" t="s">
        <v>544</v>
      </c>
      <c r="D1718" s="1" t="s">
        <v>147</v>
      </c>
      <c r="E1718" s="1" t="s">
        <v>34</v>
      </c>
      <c r="F1718" s="1" t="s">
        <v>82</v>
      </c>
      <c r="G1718" s="1" t="s">
        <v>19</v>
      </c>
      <c r="H1718" s="1" t="s">
        <v>20</v>
      </c>
      <c r="I1718" s="1" t="s">
        <v>127</v>
      </c>
      <c r="J1718" s="1">
        <v>2</v>
      </c>
      <c r="K1718" s="3">
        <v>376.1</v>
      </c>
      <c r="L1718" s="1">
        <v>5</v>
      </c>
      <c r="M1718" s="1" t="s">
        <v>22</v>
      </c>
      <c r="N1718" s="10" t="s">
        <v>23</v>
      </c>
      <c r="Q1718"/>
    </row>
    <row r="1719" spans="1:17" x14ac:dyDescent="0.25">
      <c r="A1719" s="9" t="s">
        <v>2720</v>
      </c>
      <c r="B1719" s="2">
        <v>45377</v>
      </c>
      <c r="C1719" s="1" t="s">
        <v>503</v>
      </c>
      <c r="D1719" s="1" t="s">
        <v>71</v>
      </c>
      <c r="E1719" s="1" t="s">
        <v>41</v>
      </c>
      <c r="F1719" s="1" t="s">
        <v>49</v>
      </c>
      <c r="G1719" s="1" t="s">
        <v>42</v>
      </c>
      <c r="H1719" s="1" t="s">
        <v>61</v>
      </c>
      <c r="I1719" s="1" t="s">
        <v>185</v>
      </c>
      <c r="J1719" s="1">
        <v>4</v>
      </c>
      <c r="K1719" s="3">
        <v>15115.24</v>
      </c>
      <c r="L1719" s="1">
        <v>10</v>
      </c>
      <c r="M1719" s="1" t="s">
        <v>63</v>
      </c>
      <c r="N1719" s="10" t="s">
        <v>37</v>
      </c>
      <c r="Q1719"/>
    </row>
    <row r="1720" spans="1:17" x14ac:dyDescent="0.25">
      <c r="A1720" s="9" t="s">
        <v>2721</v>
      </c>
      <c r="B1720" s="2">
        <v>45093</v>
      </c>
      <c r="C1720" s="1" t="s">
        <v>800</v>
      </c>
      <c r="D1720" s="1" t="s">
        <v>147</v>
      </c>
      <c r="E1720" s="1" t="s">
        <v>27</v>
      </c>
      <c r="F1720" s="1" t="s">
        <v>18</v>
      </c>
      <c r="G1720" s="1" t="s">
        <v>83</v>
      </c>
      <c r="H1720" s="1" t="s">
        <v>43</v>
      </c>
      <c r="I1720" s="1" t="s">
        <v>365</v>
      </c>
      <c r="J1720" s="1">
        <v>7</v>
      </c>
      <c r="K1720" s="3">
        <v>19482.689999999999</v>
      </c>
      <c r="L1720" s="1">
        <v>0</v>
      </c>
      <c r="M1720" s="1" t="s">
        <v>93</v>
      </c>
      <c r="N1720" s="10" t="s">
        <v>31</v>
      </c>
      <c r="Q1720"/>
    </row>
    <row r="1721" spans="1:17" x14ac:dyDescent="0.25">
      <c r="A1721" s="9" t="s">
        <v>2722</v>
      </c>
      <c r="B1721" s="2">
        <v>45025</v>
      </c>
      <c r="C1721" s="1" t="s">
        <v>2723</v>
      </c>
      <c r="D1721" s="1" t="s">
        <v>16</v>
      </c>
      <c r="E1721" s="1" t="s">
        <v>17</v>
      </c>
      <c r="F1721" s="1" t="s">
        <v>99</v>
      </c>
      <c r="G1721" s="1" t="s">
        <v>19</v>
      </c>
      <c r="H1721" s="1" t="s">
        <v>20</v>
      </c>
      <c r="I1721" s="1" t="s">
        <v>326</v>
      </c>
      <c r="J1721" s="1">
        <v>6</v>
      </c>
      <c r="K1721" s="3">
        <v>11680.28</v>
      </c>
      <c r="L1721" s="1">
        <v>0</v>
      </c>
      <c r="M1721" s="1" t="s">
        <v>63</v>
      </c>
      <c r="N1721" s="10" t="s">
        <v>23</v>
      </c>
      <c r="Q1721"/>
    </row>
    <row r="1722" spans="1:17" x14ac:dyDescent="0.25">
      <c r="A1722" s="9" t="s">
        <v>2724</v>
      </c>
      <c r="B1722" s="2">
        <v>44960</v>
      </c>
      <c r="C1722" s="1" t="s">
        <v>1456</v>
      </c>
      <c r="D1722" s="1" t="s">
        <v>77</v>
      </c>
      <c r="E1722" s="1" t="s">
        <v>34</v>
      </c>
      <c r="F1722" s="1" t="s">
        <v>99</v>
      </c>
      <c r="G1722" s="1" t="s">
        <v>19</v>
      </c>
      <c r="H1722" s="1" t="s">
        <v>29</v>
      </c>
      <c r="I1722" s="1" t="s">
        <v>30</v>
      </c>
      <c r="J1722" s="1">
        <v>1</v>
      </c>
      <c r="K1722" s="3">
        <v>1124.71</v>
      </c>
      <c r="L1722" s="1">
        <v>15</v>
      </c>
      <c r="M1722" s="1" t="s">
        <v>56</v>
      </c>
      <c r="N1722" s="10" t="s">
        <v>45</v>
      </c>
      <c r="Q1722"/>
    </row>
    <row r="1723" spans="1:17" x14ac:dyDescent="0.25">
      <c r="A1723" s="9" t="s">
        <v>2725</v>
      </c>
      <c r="B1723" s="2">
        <v>45654</v>
      </c>
      <c r="C1723" s="1" t="s">
        <v>126</v>
      </c>
      <c r="D1723" s="1" t="s">
        <v>81</v>
      </c>
      <c r="E1723" s="1" t="s">
        <v>27</v>
      </c>
      <c r="F1723" s="1" t="s">
        <v>88</v>
      </c>
      <c r="G1723" s="1" t="s">
        <v>83</v>
      </c>
      <c r="H1723" s="1" t="s">
        <v>43</v>
      </c>
      <c r="I1723" s="1" t="s">
        <v>244</v>
      </c>
      <c r="J1723" s="1">
        <v>6</v>
      </c>
      <c r="K1723" s="3">
        <v>4301.82</v>
      </c>
      <c r="L1723" s="1" t="s">
        <v>110</v>
      </c>
      <c r="M1723" s="1" t="s">
        <v>69</v>
      </c>
      <c r="N1723" s="10" t="s">
        <v>74</v>
      </c>
      <c r="Q1723"/>
    </row>
    <row r="1724" spans="1:17" x14ac:dyDescent="0.25">
      <c r="A1724" s="9" t="s">
        <v>2726</v>
      </c>
      <c r="B1724" s="2">
        <v>45214</v>
      </c>
      <c r="C1724" s="1" t="s">
        <v>2080</v>
      </c>
      <c r="D1724" s="1" t="s">
        <v>147</v>
      </c>
      <c r="E1724" s="1" t="s">
        <v>59</v>
      </c>
      <c r="F1724" s="1" t="s">
        <v>60</v>
      </c>
      <c r="G1724" s="1" t="s">
        <v>53</v>
      </c>
      <c r="H1724" s="1" t="s">
        <v>54</v>
      </c>
      <c r="I1724" s="1" t="s">
        <v>272</v>
      </c>
      <c r="J1724" s="1">
        <v>3</v>
      </c>
      <c r="K1724" s="3">
        <v>2717.62</v>
      </c>
      <c r="L1724" s="1">
        <v>20</v>
      </c>
      <c r="M1724" s="1" t="s">
        <v>93</v>
      </c>
      <c r="N1724" s="10" t="s">
        <v>64</v>
      </c>
      <c r="Q1724"/>
    </row>
    <row r="1725" spans="1:17" x14ac:dyDescent="0.25">
      <c r="A1725" s="9" t="s">
        <v>2727</v>
      </c>
      <c r="B1725" s="2">
        <v>45214</v>
      </c>
      <c r="C1725" s="1" t="s">
        <v>1165</v>
      </c>
      <c r="D1725" s="1" t="s">
        <v>71</v>
      </c>
      <c r="E1725" s="1" t="s">
        <v>17</v>
      </c>
      <c r="F1725" s="1" t="s">
        <v>60</v>
      </c>
      <c r="G1725" s="1" t="s">
        <v>83</v>
      </c>
      <c r="H1725" s="1" t="s">
        <v>43</v>
      </c>
      <c r="I1725" s="1" t="s">
        <v>50</v>
      </c>
      <c r="J1725" s="1">
        <v>10</v>
      </c>
      <c r="K1725" s="3">
        <v>23232.5</v>
      </c>
      <c r="L1725" s="1">
        <v>10</v>
      </c>
      <c r="M1725" s="1" t="s">
        <v>36</v>
      </c>
      <c r="N1725" s="10" t="s">
        <v>74</v>
      </c>
      <c r="Q1725"/>
    </row>
    <row r="1726" spans="1:17" x14ac:dyDescent="0.25">
      <c r="A1726" s="9" t="s">
        <v>2728</v>
      </c>
      <c r="B1726" s="2">
        <v>45449</v>
      </c>
      <c r="C1726" s="1" t="s">
        <v>739</v>
      </c>
      <c r="D1726" s="1" t="s">
        <v>33</v>
      </c>
      <c r="E1726" s="1" t="s">
        <v>59</v>
      </c>
      <c r="F1726" s="1" t="s">
        <v>18</v>
      </c>
      <c r="G1726" s="1" t="s">
        <v>19</v>
      </c>
      <c r="H1726" s="1" t="s">
        <v>20</v>
      </c>
      <c r="I1726" s="1" t="s">
        <v>421</v>
      </c>
      <c r="J1726" s="1">
        <v>8</v>
      </c>
      <c r="K1726" s="3">
        <v>21567.41</v>
      </c>
      <c r="L1726" s="1">
        <v>15</v>
      </c>
      <c r="M1726" s="1" t="s">
        <v>93</v>
      </c>
      <c r="N1726" s="10" t="s">
        <v>31</v>
      </c>
      <c r="Q1726"/>
    </row>
    <row r="1727" spans="1:17" x14ac:dyDescent="0.25">
      <c r="A1727" s="9" t="s">
        <v>2729</v>
      </c>
      <c r="B1727" s="2">
        <v>45321</v>
      </c>
      <c r="C1727" s="1" t="s">
        <v>1657</v>
      </c>
      <c r="D1727" s="1" t="s">
        <v>81</v>
      </c>
      <c r="E1727" s="1" t="s">
        <v>59</v>
      </c>
      <c r="F1727" s="1" t="s">
        <v>99</v>
      </c>
      <c r="G1727" s="1" t="s">
        <v>19</v>
      </c>
      <c r="H1727" s="1" t="s">
        <v>29</v>
      </c>
      <c r="I1727" s="1" t="s">
        <v>830</v>
      </c>
      <c r="J1727" s="1">
        <v>7</v>
      </c>
      <c r="K1727" s="3">
        <v>16717.599999999999</v>
      </c>
      <c r="L1727" s="1">
        <v>20</v>
      </c>
      <c r="M1727" s="1" t="s">
        <v>36</v>
      </c>
      <c r="N1727" s="10" t="s">
        <v>45</v>
      </c>
      <c r="Q1727"/>
    </row>
    <row r="1728" spans="1:17" x14ac:dyDescent="0.25">
      <c r="A1728" s="9" t="s">
        <v>2730</v>
      </c>
      <c r="B1728" s="2">
        <v>45290</v>
      </c>
      <c r="C1728" s="1" t="s">
        <v>924</v>
      </c>
      <c r="D1728" s="1" t="s">
        <v>81</v>
      </c>
      <c r="E1728" s="1" t="s">
        <v>27</v>
      </c>
      <c r="F1728" s="1" t="s">
        <v>88</v>
      </c>
      <c r="G1728" s="1" t="s">
        <v>19</v>
      </c>
      <c r="H1728" s="1" t="s">
        <v>29</v>
      </c>
      <c r="I1728" s="1" t="s">
        <v>452</v>
      </c>
      <c r="J1728" s="1">
        <v>3</v>
      </c>
      <c r="K1728" s="3">
        <v>6739.83</v>
      </c>
      <c r="L1728" s="1" t="s">
        <v>110</v>
      </c>
      <c r="M1728" s="1" t="s">
        <v>36</v>
      </c>
      <c r="N1728" s="10" t="s">
        <v>74</v>
      </c>
      <c r="Q1728"/>
    </row>
    <row r="1729" spans="1:17" x14ac:dyDescent="0.25">
      <c r="A1729" s="9" t="s">
        <v>2731</v>
      </c>
      <c r="B1729" s="2">
        <v>45348</v>
      </c>
      <c r="C1729" s="1" t="s">
        <v>507</v>
      </c>
      <c r="D1729" s="1" t="s">
        <v>26</v>
      </c>
      <c r="E1729" s="1" t="s">
        <v>41</v>
      </c>
      <c r="F1729" s="1" t="s">
        <v>28</v>
      </c>
      <c r="G1729" s="1" t="s">
        <v>42</v>
      </c>
      <c r="H1729" s="1" t="s">
        <v>43</v>
      </c>
      <c r="I1729" s="1" t="s">
        <v>704</v>
      </c>
      <c r="J1729" s="1">
        <v>3</v>
      </c>
      <c r="K1729" s="3">
        <v>11407.3</v>
      </c>
      <c r="L1729" s="1" t="s">
        <v>110</v>
      </c>
      <c r="M1729" s="1" t="s">
        <v>69</v>
      </c>
      <c r="N1729" s="10" t="s">
        <v>45</v>
      </c>
      <c r="Q1729"/>
    </row>
    <row r="1730" spans="1:17" x14ac:dyDescent="0.25">
      <c r="A1730" s="9" t="s">
        <v>2732</v>
      </c>
      <c r="B1730" s="2">
        <v>45299</v>
      </c>
      <c r="C1730" s="1" t="s">
        <v>984</v>
      </c>
      <c r="D1730" s="1" t="s">
        <v>71</v>
      </c>
      <c r="E1730" s="1" t="s">
        <v>59</v>
      </c>
      <c r="F1730" s="1" t="s">
        <v>88</v>
      </c>
      <c r="G1730" s="1" t="s">
        <v>42</v>
      </c>
      <c r="H1730" s="1" t="s">
        <v>43</v>
      </c>
      <c r="I1730" s="1" t="s">
        <v>258</v>
      </c>
      <c r="J1730" s="1">
        <v>8</v>
      </c>
      <c r="K1730" s="3">
        <v>7296.47</v>
      </c>
      <c r="L1730" s="1">
        <v>10</v>
      </c>
      <c r="M1730" s="1" t="s">
        <v>22</v>
      </c>
      <c r="N1730" s="10" t="s">
        <v>74</v>
      </c>
      <c r="Q1730"/>
    </row>
    <row r="1731" spans="1:17" x14ac:dyDescent="0.25">
      <c r="A1731" s="9" t="s">
        <v>2733</v>
      </c>
      <c r="B1731" s="2">
        <v>45483</v>
      </c>
      <c r="C1731" s="1" t="s">
        <v>909</v>
      </c>
      <c r="D1731" s="1" t="s">
        <v>147</v>
      </c>
      <c r="E1731" s="1" t="s">
        <v>41</v>
      </c>
      <c r="F1731" s="1" t="s">
        <v>88</v>
      </c>
      <c r="G1731" s="1" t="s">
        <v>19</v>
      </c>
      <c r="H1731" s="1" t="s">
        <v>29</v>
      </c>
      <c r="I1731" s="1" t="s">
        <v>515</v>
      </c>
      <c r="J1731" s="1">
        <v>8</v>
      </c>
      <c r="K1731" s="3">
        <v>27766.31</v>
      </c>
      <c r="L1731" s="1">
        <v>10</v>
      </c>
      <c r="M1731" s="1" t="s">
        <v>22</v>
      </c>
      <c r="N1731" s="10" t="s">
        <v>45</v>
      </c>
      <c r="Q1731"/>
    </row>
    <row r="1732" spans="1:17" x14ac:dyDescent="0.25">
      <c r="A1732" s="9" t="s">
        <v>2734</v>
      </c>
      <c r="B1732" s="2">
        <v>45594</v>
      </c>
      <c r="C1732" s="1" t="s">
        <v>105</v>
      </c>
      <c r="D1732" s="1" t="s">
        <v>71</v>
      </c>
      <c r="E1732" s="1" t="s">
        <v>41</v>
      </c>
      <c r="F1732" s="1" t="s">
        <v>82</v>
      </c>
      <c r="G1732" s="1" t="s">
        <v>83</v>
      </c>
      <c r="H1732" s="1" t="s">
        <v>43</v>
      </c>
      <c r="I1732" s="1" t="s">
        <v>494</v>
      </c>
      <c r="J1732" s="1">
        <v>3</v>
      </c>
      <c r="K1732" s="3">
        <v>13495.76</v>
      </c>
      <c r="L1732" s="1">
        <v>20</v>
      </c>
      <c r="M1732" s="1" t="s">
        <v>69</v>
      </c>
      <c r="N1732" s="10" t="s">
        <v>37</v>
      </c>
      <c r="Q1732"/>
    </row>
    <row r="1733" spans="1:17" x14ac:dyDescent="0.25">
      <c r="A1733" s="9" t="s">
        <v>2735</v>
      </c>
      <c r="B1733" s="2">
        <v>45059</v>
      </c>
      <c r="C1733" s="1" t="s">
        <v>208</v>
      </c>
      <c r="D1733" s="1" t="s">
        <v>33</v>
      </c>
      <c r="E1733" s="1" t="s">
        <v>27</v>
      </c>
      <c r="F1733" s="1" t="s">
        <v>49</v>
      </c>
      <c r="G1733" s="1" t="s">
        <v>53</v>
      </c>
      <c r="H1733" s="1" t="s">
        <v>54</v>
      </c>
      <c r="I1733" s="1" t="s">
        <v>103</v>
      </c>
      <c r="J1733" s="1">
        <v>3</v>
      </c>
      <c r="K1733" s="3">
        <v>6897.18</v>
      </c>
      <c r="L1733" s="1">
        <v>20</v>
      </c>
      <c r="M1733" s="1" t="s">
        <v>36</v>
      </c>
      <c r="N1733" s="10" t="s">
        <v>31</v>
      </c>
      <c r="Q1733"/>
    </row>
    <row r="1734" spans="1:17" x14ac:dyDescent="0.25">
      <c r="A1734" s="9" t="s">
        <v>2736</v>
      </c>
      <c r="B1734" s="2">
        <v>45077</v>
      </c>
      <c r="C1734" s="1" t="s">
        <v>2563</v>
      </c>
      <c r="D1734" s="1" t="s">
        <v>81</v>
      </c>
      <c r="E1734" s="1" t="s">
        <v>41</v>
      </c>
      <c r="F1734" s="1" t="s">
        <v>88</v>
      </c>
      <c r="G1734" s="1" t="s">
        <v>19</v>
      </c>
      <c r="H1734" s="1" t="s">
        <v>20</v>
      </c>
      <c r="I1734" s="1" t="s">
        <v>563</v>
      </c>
      <c r="J1734" s="1">
        <v>9</v>
      </c>
      <c r="K1734" s="3">
        <v>44913.25</v>
      </c>
      <c r="L1734" s="1">
        <v>20</v>
      </c>
      <c r="M1734" s="1" t="s">
        <v>69</v>
      </c>
      <c r="N1734" s="10" t="s">
        <v>31</v>
      </c>
      <c r="Q1734"/>
    </row>
    <row r="1735" spans="1:17" x14ac:dyDescent="0.25">
      <c r="A1735" s="9" t="s">
        <v>2737</v>
      </c>
      <c r="B1735" s="2">
        <v>45613</v>
      </c>
      <c r="C1735" s="1" t="s">
        <v>984</v>
      </c>
      <c r="D1735" s="1" t="s">
        <v>87</v>
      </c>
      <c r="E1735" s="1" t="s">
        <v>41</v>
      </c>
      <c r="F1735" s="1" t="s">
        <v>88</v>
      </c>
      <c r="G1735" s="1" t="s">
        <v>83</v>
      </c>
      <c r="H1735" s="1" t="s">
        <v>43</v>
      </c>
      <c r="I1735" s="1" t="s">
        <v>50</v>
      </c>
      <c r="J1735" s="1">
        <v>4</v>
      </c>
      <c r="K1735" s="3">
        <v>18594.509999999998</v>
      </c>
      <c r="L1735" s="1" t="s">
        <v>110</v>
      </c>
      <c r="M1735" s="1" t="s">
        <v>36</v>
      </c>
      <c r="N1735" s="10" t="s">
        <v>74</v>
      </c>
      <c r="Q1735"/>
    </row>
    <row r="1736" spans="1:17" x14ac:dyDescent="0.25">
      <c r="A1736" s="9" t="s">
        <v>2738</v>
      </c>
      <c r="B1736" s="2">
        <v>45411</v>
      </c>
      <c r="C1736" s="1" t="s">
        <v>2739</v>
      </c>
      <c r="D1736" s="1" t="s">
        <v>26</v>
      </c>
      <c r="E1736" s="1" t="s">
        <v>27</v>
      </c>
      <c r="F1736" s="1" t="s">
        <v>49</v>
      </c>
      <c r="G1736" s="1" t="s">
        <v>42</v>
      </c>
      <c r="H1736" s="1" t="s">
        <v>61</v>
      </c>
      <c r="I1736" s="1" t="s">
        <v>294</v>
      </c>
      <c r="J1736" s="1">
        <v>5</v>
      </c>
      <c r="K1736" s="3">
        <v>22671.21</v>
      </c>
      <c r="L1736" s="1">
        <v>0</v>
      </c>
      <c r="M1736" s="1" t="s">
        <v>22</v>
      </c>
      <c r="N1736" s="10" t="s">
        <v>23</v>
      </c>
      <c r="Q1736"/>
    </row>
    <row r="1737" spans="1:17" x14ac:dyDescent="0.25">
      <c r="A1737" s="9" t="s">
        <v>2740</v>
      </c>
      <c r="B1737" s="2">
        <v>45171</v>
      </c>
      <c r="C1737" s="1" t="s">
        <v>1103</v>
      </c>
      <c r="D1737" s="1" t="s">
        <v>33</v>
      </c>
      <c r="E1737" s="1" t="s">
        <v>27</v>
      </c>
      <c r="F1737" s="1" t="s">
        <v>18</v>
      </c>
      <c r="G1737" s="1" t="s">
        <v>19</v>
      </c>
      <c r="H1737" s="1" t="s">
        <v>29</v>
      </c>
      <c r="I1737" s="1" t="s">
        <v>646</v>
      </c>
      <c r="J1737" s="1">
        <v>4</v>
      </c>
      <c r="K1737" s="3">
        <v>17146.990000000002</v>
      </c>
      <c r="L1737" s="1">
        <v>0</v>
      </c>
      <c r="M1737" s="1" t="s">
        <v>36</v>
      </c>
      <c r="N1737" s="10" t="s">
        <v>74</v>
      </c>
      <c r="Q1737"/>
    </row>
    <row r="1738" spans="1:17" x14ac:dyDescent="0.25">
      <c r="A1738" s="9" t="s">
        <v>2741</v>
      </c>
      <c r="B1738" s="2">
        <v>45102</v>
      </c>
      <c r="C1738" s="1" t="s">
        <v>384</v>
      </c>
      <c r="D1738" s="1" t="s">
        <v>16</v>
      </c>
      <c r="E1738" s="1" t="s">
        <v>27</v>
      </c>
      <c r="F1738" s="1" t="s">
        <v>18</v>
      </c>
      <c r="G1738" s="1" t="s">
        <v>42</v>
      </c>
      <c r="H1738" s="1" t="s">
        <v>43</v>
      </c>
      <c r="I1738" s="1" t="s">
        <v>274</v>
      </c>
      <c r="J1738" s="1">
        <v>10</v>
      </c>
      <c r="K1738" s="3">
        <v>31036.71</v>
      </c>
      <c r="L1738" s="1">
        <v>0</v>
      </c>
      <c r="M1738" s="1" t="s">
        <v>63</v>
      </c>
      <c r="N1738" s="10" t="s">
        <v>37</v>
      </c>
      <c r="Q1738"/>
    </row>
    <row r="1739" spans="1:17" x14ac:dyDescent="0.25">
      <c r="A1739" s="9" t="s">
        <v>2742</v>
      </c>
      <c r="B1739" s="2">
        <v>45298</v>
      </c>
      <c r="C1739" s="1" t="s">
        <v>1645</v>
      </c>
      <c r="D1739" s="1" t="s">
        <v>71</v>
      </c>
      <c r="E1739" s="1" t="s">
        <v>17</v>
      </c>
      <c r="F1739" s="1" t="s">
        <v>49</v>
      </c>
      <c r="G1739" s="1" t="s">
        <v>42</v>
      </c>
      <c r="H1739" s="1" t="s">
        <v>43</v>
      </c>
      <c r="I1739" s="1" t="s">
        <v>572</v>
      </c>
      <c r="J1739" s="1">
        <v>7</v>
      </c>
      <c r="K1739" s="3">
        <v>24691.61</v>
      </c>
      <c r="L1739" s="1">
        <v>10</v>
      </c>
      <c r="M1739" s="1" t="s">
        <v>36</v>
      </c>
      <c r="N1739" s="10" t="s">
        <v>37</v>
      </c>
      <c r="Q1739"/>
    </row>
    <row r="1740" spans="1:17" x14ac:dyDescent="0.25">
      <c r="A1740" s="9" t="s">
        <v>2743</v>
      </c>
      <c r="B1740" s="2">
        <v>45383</v>
      </c>
      <c r="C1740" s="1" t="s">
        <v>2744</v>
      </c>
      <c r="D1740" s="1" t="s">
        <v>71</v>
      </c>
      <c r="E1740" s="1" t="s">
        <v>17</v>
      </c>
      <c r="F1740" s="1" t="s">
        <v>49</v>
      </c>
      <c r="G1740" s="1" t="s">
        <v>83</v>
      </c>
      <c r="H1740" s="1" t="s">
        <v>43</v>
      </c>
      <c r="I1740" s="1" t="s">
        <v>336</v>
      </c>
      <c r="J1740" s="1">
        <v>3</v>
      </c>
      <c r="K1740" s="3">
        <v>6306.15</v>
      </c>
      <c r="L1740" s="1">
        <v>10</v>
      </c>
      <c r="M1740" s="1" t="s">
        <v>22</v>
      </c>
      <c r="N1740" s="10" t="s">
        <v>64</v>
      </c>
      <c r="Q1740"/>
    </row>
    <row r="1741" spans="1:17" x14ac:dyDescent="0.25">
      <c r="A1741" s="9" t="s">
        <v>2745</v>
      </c>
      <c r="B1741" s="2">
        <v>45183</v>
      </c>
      <c r="C1741" s="1" t="s">
        <v>1665</v>
      </c>
      <c r="D1741" s="1" t="s">
        <v>52</v>
      </c>
      <c r="E1741" s="1" t="s">
        <v>34</v>
      </c>
      <c r="F1741" s="1" t="s">
        <v>60</v>
      </c>
      <c r="G1741" s="1" t="s">
        <v>19</v>
      </c>
      <c r="H1741" s="1" t="s">
        <v>29</v>
      </c>
      <c r="I1741" s="1" t="s">
        <v>35</v>
      </c>
      <c r="J1741" s="1">
        <v>8</v>
      </c>
      <c r="K1741" s="3">
        <v>22208.47</v>
      </c>
      <c r="L1741" s="1">
        <v>0</v>
      </c>
      <c r="M1741" s="1" t="s">
        <v>56</v>
      </c>
      <c r="N1741" s="10" t="s">
        <v>74</v>
      </c>
      <c r="Q1741"/>
    </row>
    <row r="1742" spans="1:17" x14ac:dyDescent="0.25">
      <c r="A1742" s="9" t="s">
        <v>2746</v>
      </c>
      <c r="B1742" s="2">
        <v>45380</v>
      </c>
      <c r="C1742" s="1" t="s">
        <v>464</v>
      </c>
      <c r="D1742" s="1" t="s">
        <v>87</v>
      </c>
      <c r="E1742" s="1" t="s">
        <v>59</v>
      </c>
      <c r="F1742" s="1" t="s">
        <v>82</v>
      </c>
      <c r="G1742" s="1" t="s">
        <v>42</v>
      </c>
      <c r="H1742" s="1" t="s">
        <v>61</v>
      </c>
      <c r="I1742" s="1" t="s">
        <v>62</v>
      </c>
      <c r="J1742" s="1">
        <v>10</v>
      </c>
      <c r="K1742" s="3">
        <v>42957.65</v>
      </c>
      <c r="L1742" s="1">
        <v>20</v>
      </c>
      <c r="M1742" s="1" t="s">
        <v>93</v>
      </c>
      <c r="N1742" s="10" t="s">
        <v>64</v>
      </c>
      <c r="Q1742"/>
    </row>
    <row r="1743" spans="1:17" x14ac:dyDescent="0.25">
      <c r="A1743" s="9" t="s">
        <v>2747</v>
      </c>
      <c r="B1743" s="2">
        <v>45154</v>
      </c>
      <c r="C1743" s="1" t="s">
        <v>2013</v>
      </c>
      <c r="D1743" s="1" t="s">
        <v>71</v>
      </c>
      <c r="E1743" s="1" t="s">
        <v>41</v>
      </c>
      <c r="F1743" s="1" t="s">
        <v>82</v>
      </c>
      <c r="G1743" s="1" t="s">
        <v>42</v>
      </c>
      <c r="H1743" s="1" t="s">
        <v>61</v>
      </c>
      <c r="I1743" s="1" t="s">
        <v>247</v>
      </c>
      <c r="J1743" s="1">
        <v>7</v>
      </c>
      <c r="K1743" s="3">
        <v>8120.7</v>
      </c>
      <c r="L1743" s="1">
        <v>10</v>
      </c>
      <c r="M1743" s="1" t="s">
        <v>93</v>
      </c>
      <c r="N1743" s="10" t="s">
        <v>64</v>
      </c>
      <c r="Q1743"/>
    </row>
    <row r="1744" spans="1:17" x14ac:dyDescent="0.25">
      <c r="A1744" s="9" t="s">
        <v>2748</v>
      </c>
      <c r="B1744" s="2">
        <v>44946</v>
      </c>
      <c r="C1744" s="1" t="s">
        <v>2749</v>
      </c>
      <c r="D1744" s="1" t="s">
        <v>40</v>
      </c>
      <c r="E1744" s="1" t="s">
        <v>59</v>
      </c>
      <c r="F1744" s="1" t="s">
        <v>99</v>
      </c>
      <c r="G1744" s="1" t="s">
        <v>53</v>
      </c>
      <c r="H1744" s="1" t="s">
        <v>54</v>
      </c>
      <c r="I1744" s="1" t="s">
        <v>1272</v>
      </c>
      <c r="J1744" s="1">
        <v>5</v>
      </c>
      <c r="K1744" s="3">
        <v>19591.25</v>
      </c>
      <c r="L1744" s="1">
        <v>0</v>
      </c>
      <c r="M1744" s="1" t="s">
        <v>93</v>
      </c>
      <c r="N1744" s="10" t="s">
        <v>31</v>
      </c>
      <c r="Q1744"/>
    </row>
    <row r="1745" spans="1:17" x14ac:dyDescent="0.25">
      <c r="A1745" s="9" t="s">
        <v>2750</v>
      </c>
      <c r="B1745" s="2">
        <v>45409</v>
      </c>
      <c r="C1745" s="1" t="s">
        <v>203</v>
      </c>
      <c r="D1745" s="1" t="s">
        <v>67</v>
      </c>
      <c r="E1745" s="1" t="s">
        <v>27</v>
      </c>
      <c r="F1745" s="1" t="s">
        <v>28</v>
      </c>
      <c r="G1745" s="1" t="s">
        <v>42</v>
      </c>
      <c r="H1745" s="1" t="s">
        <v>61</v>
      </c>
      <c r="I1745" s="1" t="s">
        <v>667</v>
      </c>
      <c r="J1745" s="1">
        <v>5</v>
      </c>
      <c r="K1745" s="3">
        <v>12401.34</v>
      </c>
      <c r="L1745" s="1">
        <v>0</v>
      </c>
      <c r="M1745" s="1" t="s">
        <v>69</v>
      </c>
      <c r="N1745" s="10" t="s">
        <v>37</v>
      </c>
      <c r="Q1745"/>
    </row>
    <row r="1746" spans="1:17" x14ac:dyDescent="0.25">
      <c r="A1746" s="9" t="s">
        <v>2751</v>
      </c>
      <c r="B1746" s="2">
        <v>45583</v>
      </c>
      <c r="C1746" s="1" t="s">
        <v>278</v>
      </c>
      <c r="D1746" s="1" t="s">
        <v>87</v>
      </c>
      <c r="E1746" s="1" t="s">
        <v>41</v>
      </c>
      <c r="F1746" s="1" t="s">
        <v>18</v>
      </c>
      <c r="G1746" s="1" t="s">
        <v>42</v>
      </c>
      <c r="H1746" s="1" t="s">
        <v>43</v>
      </c>
      <c r="I1746" s="1" t="s">
        <v>336</v>
      </c>
      <c r="J1746" s="1">
        <v>4</v>
      </c>
      <c r="K1746" s="3">
        <v>687.18</v>
      </c>
      <c r="L1746" s="1">
        <v>15</v>
      </c>
      <c r="M1746" s="1" t="s">
        <v>56</v>
      </c>
      <c r="N1746" s="10" t="s">
        <v>45</v>
      </c>
      <c r="Q1746"/>
    </row>
    <row r="1747" spans="1:17" x14ac:dyDescent="0.25">
      <c r="A1747" s="9" t="s">
        <v>2753</v>
      </c>
      <c r="B1747" s="2">
        <v>45168</v>
      </c>
      <c r="C1747" s="1" t="s">
        <v>795</v>
      </c>
      <c r="D1747" s="1" t="s">
        <v>81</v>
      </c>
      <c r="E1747" s="1" t="s">
        <v>27</v>
      </c>
      <c r="F1747" s="1" t="s">
        <v>60</v>
      </c>
      <c r="G1747" s="1" t="s">
        <v>53</v>
      </c>
      <c r="H1747" s="1" t="s">
        <v>54</v>
      </c>
      <c r="I1747" s="1" t="s">
        <v>1334</v>
      </c>
      <c r="J1747" s="1">
        <v>3</v>
      </c>
      <c r="K1747" s="3">
        <v>4007.92</v>
      </c>
      <c r="L1747" s="1" t="s">
        <v>110</v>
      </c>
      <c r="M1747" s="1" t="s">
        <v>22</v>
      </c>
      <c r="N1747" s="10" t="s">
        <v>74</v>
      </c>
      <c r="Q1747"/>
    </row>
    <row r="1748" spans="1:17" x14ac:dyDescent="0.25">
      <c r="A1748" s="9" t="s">
        <v>2754</v>
      </c>
      <c r="B1748" s="2">
        <v>45624</v>
      </c>
      <c r="C1748" s="1" t="s">
        <v>134</v>
      </c>
      <c r="D1748" s="1" t="s">
        <v>81</v>
      </c>
      <c r="E1748" s="1" t="s">
        <v>27</v>
      </c>
      <c r="F1748" s="1" t="s">
        <v>88</v>
      </c>
      <c r="G1748" s="1" t="s">
        <v>19</v>
      </c>
      <c r="H1748" s="1" t="s">
        <v>20</v>
      </c>
      <c r="I1748" s="1" t="s">
        <v>254</v>
      </c>
      <c r="J1748" s="1">
        <v>1</v>
      </c>
      <c r="K1748" s="3">
        <v>2155.98</v>
      </c>
      <c r="L1748" s="1">
        <v>20</v>
      </c>
      <c r="M1748" s="1" t="s">
        <v>56</v>
      </c>
      <c r="N1748" s="10" t="s">
        <v>37</v>
      </c>
      <c r="Q1748"/>
    </row>
    <row r="1749" spans="1:17" x14ac:dyDescent="0.25">
      <c r="A1749" s="9" t="s">
        <v>2755</v>
      </c>
      <c r="B1749" s="2">
        <v>45478</v>
      </c>
      <c r="C1749" s="1" t="s">
        <v>1342</v>
      </c>
      <c r="D1749" s="1" t="s">
        <v>87</v>
      </c>
      <c r="E1749" s="1" t="s">
        <v>59</v>
      </c>
      <c r="F1749" s="1" t="s">
        <v>82</v>
      </c>
      <c r="G1749" s="1" t="s">
        <v>19</v>
      </c>
      <c r="H1749" s="1" t="s">
        <v>20</v>
      </c>
      <c r="I1749" s="1" t="s">
        <v>326</v>
      </c>
      <c r="J1749" s="1">
        <v>5</v>
      </c>
      <c r="K1749" s="3">
        <v>16681.560000000001</v>
      </c>
      <c r="L1749" s="1">
        <v>20</v>
      </c>
      <c r="M1749" s="1" t="s">
        <v>36</v>
      </c>
      <c r="N1749" s="10" t="s">
        <v>23</v>
      </c>
      <c r="Q1749"/>
    </row>
    <row r="1750" spans="1:17" x14ac:dyDescent="0.25">
      <c r="A1750" s="9" t="s">
        <v>2756</v>
      </c>
      <c r="B1750" s="2">
        <v>44972</v>
      </c>
      <c r="C1750" s="1" t="s">
        <v>815</v>
      </c>
      <c r="D1750" s="1" t="s">
        <v>33</v>
      </c>
      <c r="E1750" s="1" t="s">
        <v>27</v>
      </c>
      <c r="F1750" s="1" t="s">
        <v>82</v>
      </c>
      <c r="G1750" s="1" t="s">
        <v>83</v>
      </c>
      <c r="H1750" s="1" t="s">
        <v>43</v>
      </c>
      <c r="I1750" s="1" t="s">
        <v>244</v>
      </c>
      <c r="J1750" s="1">
        <v>1</v>
      </c>
      <c r="K1750" s="3">
        <v>3810.31</v>
      </c>
      <c r="L1750" s="1">
        <v>10</v>
      </c>
      <c r="M1750" s="1" t="s">
        <v>63</v>
      </c>
      <c r="N1750" s="10" t="s">
        <v>64</v>
      </c>
      <c r="Q1750"/>
    </row>
    <row r="1751" spans="1:17" x14ac:dyDescent="0.25">
      <c r="A1751" s="9" t="s">
        <v>2757</v>
      </c>
      <c r="B1751" s="2">
        <v>45304</v>
      </c>
      <c r="C1751" s="1" t="s">
        <v>755</v>
      </c>
      <c r="D1751" s="1" t="s">
        <v>16</v>
      </c>
      <c r="E1751" s="1" t="s">
        <v>72</v>
      </c>
      <c r="F1751" s="1" t="s">
        <v>49</v>
      </c>
      <c r="G1751" s="1" t="s">
        <v>42</v>
      </c>
      <c r="H1751" s="1" t="s">
        <v>43</v>
      </c>
      <c r="I1751" s="1" t="s">
        <v>288</v>
      </c>
      <c r="J1751" s="1">
        <v>5</v>
      </c>
      <c r="K1751" s="3">
        <v>20372.57</v>
      </c>
      <c r="L1751" s="1">
        <v>5</v>
      </c>
      <c r="M1751" s="1" t="s">
        <v>22</v>
      </c>
      <c r="N1751" s="10" t="s">
        <v>37</v>
      </c>
      <c r="Q1751"/>
    </row>
    <row r="1752" spans="1:17" x14ac:dyDescent="0.25">
      <c r="A1752" s="9" t="s">
        <v>2758</v>
      </c>
      <c r="B1752" s="2">
        <v>45170</v>
      </c>
      <c r="C1752" s="1" t="s">
        <v>1752</v>
      </c>
      <c r="D1752" s="1" t="s">
        <v>87</v>
      </c>
      <c r="E1752" s="1" t="s">
        <v>34</v>
      </c>
      <c r="F1752" s="1" t="s">
        <v>88</v>
      </c>
      <c r="G1752" s="1" t="s">
        <v>83</v>
      </c>
      <c r="H1752" s="1" t="s">
        <v>43</v>
      </c>
      <c r="I1752" s="1" t="s">
        <v>50</v>
      </c>
      <c r="J1752" s="1">
        <v>9</v>
      </c>
      <c r="K1752" s="3">
        <v>35638.65</v>
      </c>
      <c r="L1752" s="1">
        <v>10</v>
      </c>
      <c r="M1752" s="1" t="s">
        <v>93</v>
      </c>
      <c r="N1752" s="10" t="s">
        <v>45</v>
      </c>
      <c r="Q1752"/>
    </row>
    <row r="1753" spans="1:17" x14ac:dyDescent="0.25">
      <c r="A1753" s="9" t="s">
        <v>2759</v>
      </c>
      <c r="B1753" s="2">
        <v>45024</v>
      </c>
      <c r="C1753" s="1" t="s">
        <v>542</v>
      </c>
      <c r="D1753" s="1" t="s">
        <v>87</v>
      </c>
      <c r="E1753" s="1" t="s">
        <v>72</v>
      </c>
      <c r="F1753" s="1" t="s">
        <v>88</v>
      </c>
      <c r="G1753" s="1" t="s">
        <v>53</v>
      </c>
      <c r="H1753" s="1" t="s">
        <v>54</v>
      </c>
      <c r="I1753" s="1" t="s">
        <v>121</v>
      </c>
      <c r="J1753" s="1">
        <v>2</v>
      </c>
      <c r="K1753" s="3">
        <v>5664.12</v>
      </c>
      <c r="L1753" s="1">
        <v>0</v>
      </c>
      <c r="M1753" s="1" t="s">
        <v>93</v>
      </c>
      <c r="N1753" s="10" t="s">
        <v>74</v>
      </c>
      <c r="Q1753"/>
    </row>
    <row r="1754" spans="1:17" x14ac:dyDescent="0.25">
      <c r="A1754" s="9" t="s">
        <v>2760</v>
      </c>
      <c r="B1754" s="2">
        <v>45626</v>
      </c>
      <c r="C1754" s="1" t="s">
        <v>585</v>
      </c>
      <c r="D1754" s="1" t="s">
        <v>147</v>
      </c>
      <c r="E1754" s="1" t="s">
        <v>34</v>
      </c>
      <c r="F1754" s="1" t="s">
        <v>88</v>
      </c>
      <c r="G1754" s="1" t="s">
        <v>42</v>
      </c>
      <c r="H1754" s="1" t="s">
        <v>43</v>
      </c>
      <c r="I1754" s="1" t="s">
        <v>467</v>
      </c>
      <c r="J1754" s="1">
        <v>9</v>
      </c>
      <c r="K1754" s="3">
        <v>24740.9</v>
      </c>
      <c r="L1754" s="1">
        <v>15</v>
      </c>
      <c r="M1754" s="1" t="s">
        <v>36</v>
      </c>
      <c r="N1754" s="10" t="s">
        <v>45</v>
      </c>
      <c r="Q1754"/>
    </row>
    <row r="1755" spans="1:17" x14ac:dyDescent="0.25">
      <c r="A1755" s="9" t="s">
        <v>2761</v>
      </c>
      <c r="B1755" s="2">
        <v>45033</v>
      </c>
      <c r="C1755" s="1" t="s">
        <v>2678</v>
      </c>
      <c r="D1755" s="1" t="s">
        <v>118</v>
      </c>
      <c r="E1755" s="1" t="s">
        <v>34</v>
      </c>
      <c r="F1755" s="1" t="s">
        <v>60</v>
      </c>
      <c r="G1755" s="1" t="s">
        <v>42</v>
      </c>
      <c r="H1755" s="1" t="s">
        <v>61</v>
      </c>
      <c r="I1755" s="1" t="s">
        <v>68</v>
      </c>
      <c r="J1755" s="1">
        <v>3</v>
      </c>
      <c r="K1755" s="3">
        <v>14608.68</v>
      </c>
      <c r="L1755" s="1">
        <v>10</v>
      </c>
      <c r="M1755" s="1" t="s">
        <v>56</v>
      </c>
      <c r="N1755" s="10" t="s">
        <v>64</v>
      </c>
      <c r="Q1755"/>
    </row>
    <row r="1756" spans="1:17" x14ac:dyDescent="0.25">
      <c r="A1756" s="9" t="s">
        <v>2762</v>
      </c>
      <c r="B1756" s="2">
        <v>45651</v>
      </c>
      <c r="C1756" s="1" t="s">
        <v>1941</v>
      </c>
      <c r="D1756" s="1" t="s">
        <v>147</v>
      </c>
      <c r="E1756" s="1" t="s">
        <v>72</v>
      </c>
      <c r="F1756" s="1" t="s">
        <v>49</v>
      </c>
      <c r="G1756" s="1" t="s">
        <v>53</v>
      </c>
      <c r="H1756" s="1" t="s">
        <v>54</v>
      </c>
      <c r="I1756" s="1" t="s">
        <v>427</v>
      </c>
      <c r="J1756" s="1">
        <v>5</v>
      </c>
      <c r="K1756" s="3">
        <v>4559.18</v>
      </c>
      <c r="L1756" s="1">
        <v>15</v>
      </c>
      <c r="M1756" s="1" t="s">
        <v>69</v>
      </c>
      <c r="N1756" s="10" t="s">
        <v>74</v>
      </c>
      <c r="Q1756"/>
    </row>
    <row r="1757" spans="1:17" x14ac:dyDescent="0.25">
      <c r="A1757" s="9" t="s">
        <v>2763</v>
      </c>
      <c r="B1757" s="2">
        <v>45499</v>
      </c>
      <c r="C1757" s="1" t="s">
        <v>160</v>
      </c>
      <c r="D1757" s="1" t="s">
        <v>26</v>
      </c>
      <c r="E1757" s="1" t="s">
        <v>41</v>
      </c>
      <c r="F1757" s="1" t="s">
        <v>28</v>
      </c>
      <c r="G1757" s="1" t="s">
        <v>42</v>
      </c>
      <c r="H1757" s="1" t="s">
        <v>61</v>
      </c>
      <c r="I1757" s="1" t="s">
        <v>1020</v>
      </c>
      <c r="J1757" s="1">
        <v>7</v>
      </c>
      <c r="K1757" s="3">
        <v>8113.9</v>
      </c>
      <c r="L1757" s="1">
        <v>20</v>
      </c>
      <c r="M1757" s="1" t="s">
        <v>36</v>
      </c>
      <c r="N1757" s="10" t="s">
        <v>45</v>
      </c>
      <c r="Q1757"/>
    </row>
    <row r="1758" spans="1:17" x14ac:dyDescent="0.25">
      <c r="A1758" s="9" t="s">
        <v>2764</v>
      </c>
      <c r="B1758" s="2">
        <v>45325</v>
      </c>
      <c r="C1758" s="1" t="s">
        <v>1603</v>
      </c>
      <c r="D1758" s="1" t="s">
        <v>67</v>
      </c>
      <c r="E1758" s="1" t="s">
        <v>41</v>
      </c>
      <c r="F1758" s="1" t="s">
        <v>99</v>
      </c>
      <c r="G1758" s="1" t="s">
        <v>42</v>
      </c>
      <c r="H1758" s="1" t="s">
        <v>43</v>
      </c>
      <c r="I1758" s="1" t="s">
        <v>488</v>
      </c>
      <c r="J1758" s="1">
        <v>7</v>
      </c>
      <c r="K1758" s="3">
        <v>12958.2</v>
      </c>
      <c r="L1758" s="1">
        <v>20</v>
      </c>
      <c r="M1758" s="1" t="s">
        <v>56</v>
      </c>
      <c r="N1758" s="10" t="s">
        <v>23</v>
      </c>
      <c r="Q1758"/>
    </row>
    <row r="1759" spans="1:17" x14ac:dyDescent="0.25">
      <c r="A1759" s="9" t="s">
        <v>2765</v>
      </c>
      <c r="B1759" s="2">
        <v>45551</v>
      </c>
      <c r="C1759" s="1" t="s">
        <v>531</v>
      </c>
      <c r="D1759" s="1" t="s">
        <v>71</v>
      </c>
      <c r="E1759" s="1" t="s">
        <v>72</v>
      </c>
      <c r="F1759" s="1" t="s">
        <v>82</v>
      </c>
      <c r="G1759" s="1" t="s">
        <v>83</v>
      </c>
      <c r="H1759" s="1" t="s">
        <v>43</v>
      </c>
      <c r="I1759" s="1" t="s">
        <v>100</v>
      </c>
      <c r="J1759" s="1">
        <v>1</v>
      </c>
      <c r="K1759" s="3">
        <v>2227.77</v>
      </c>
      <c r="L1759" s="1">
        <v>10</v>
      </c>
      <c r="M1759" s="1" t="s">
        <v>22</v>
      </c>
      <c r="N1759" s="10" t="s">
        <v>37</v>
      </c>
      <c r="Q1759"/>
    </row>
    <row r="1760" spans="1:17" x14ac:dyDescent="0.25">
      <c r="A1760" s="9" t="s">
        <v>2766</v>
      </c>
      <c r="B1760" s="2">
        <v>45338</v>
      </c>
      <c r="C1760" s="1" t="s">
        <v>1250</v>
      </c>
      <c r="D1760" s="1" t="s">
        <v>67</v>
      </c>
      <c r="E1760" s="1" t="s">
        <v>34</v>
      </c>
      <c r="F1760" s="1" t="s">
        <v>18</v>
      </c>
      <c r="G1760" s="1" t="s">
        <v>42</v>
      </c>
      <c r="H1760" s="1" t="s">
        <v>43</v>
      </c>
      <c r="I1760" s="1" t="s">
        <v>154</v>
      </c>
      <c r="J1760" s="1">
        <v>1</v>
      </c>
      <c r="K1760" s="3">
        <v>2124.11</v>
      </c>
      <c r="L1760" s="1">
        <v>15</v>
      </c>
      <c r="M1760" s="1" t="s">
        <v>36</v>
      </c>
      <c r="N1760" s="10" t="s">
        <v>23</v>
      </c>
      <c r="Q1760"/>
    </row>
    <row r="1761" spans="1:17" x14ac:dyDescent="0.25">
      <c r="A1761" s="9" t="s">
        <v>2767</v>
      </c>
      <c r="B1761" s="2">
        <v>45638</v>
      </c>
      <c r="C1761" s="1" t="s">
        <v>553</v>
      </c>
      <c r="D1761" s="1" t="s">
        <v>147</v>
      </c>
      <c r="E1761" s="1" t="s">
        <v>59</v>
      </c>
      <c r="F1761" s="1" t="s">
        <v>49</v>
      </c>
      <c r="G1761" s="1" t="s">
        <v>42</v>
      </c>
      <c r="H1761" s="1" t="s">
        <v>43</v>
      </c>
      <c r="I1761" s="1" t="s">
        <v>258</v>
      </c>
      <c r="J1761" s="1">
        <v>9</v>
      </c>
      <c r="K1761" s="3">
        <v>16922.48</v>
      </c>
      <c r="L1761" s="1">
        <v>20</v>
      </c>
      <c r="M1761" s="1" t="s">
        <v>22</v>
      </c>
      <c r="N1761" s="10" t="s">
        <v>37</v>
      </c>
      <c r="Q1761"/>
    </row>
    <row r="1762" spans="1:17" x14ac:dyDescent="0.25">
      <c r="A1762" s="9" t="s">
        <v>2768</v>
      </c>
      <c r="B1762" s="2">
        <v>45196</v>
      </c>
      <c r="C1762" s="1" t="s">
        <v>825</v>
      </c>
      <c r="D1762" s="1" t="s">
        <v>71</v>
      </c>
      <c r="E1762" s="1" t="s">
        <v>59</v>
      </c>
      <c r="F1762" s="1" t="s">
        <v>28</v>
      </c>
      <c r="G1762" s="1" t="s">
        <v>83</v>
      </c>
      <c r="H1762" s="1" t="s">
        <v>43</v>
      </c>
      <c r="I1762" s="1" t="s">
        <v>380</v>
      </c>
      <c r="J1762" s="1">
        <v>7</v>
      </c>
      <c r="K1762" s="3">
        <v>23141.119999999999</v>
      </c>
      <c r="L1762" s="1">
        <v>10</v>
      </c>
      <c r="M1762" s="1" t="s">
        <v>36</v>
      </c>
      <c r="N1762" s="10" t="s">
        <v>74</v>
      </c>
      <c r="Q1762"/>
    </row>
    <row r="1763" spans="1:17" x14ac:dyDescent="0.25">
      <c r="A1763" s="9" t="s">
        <v>2769</v>
      </c>
      <c r="B1763" s="2">
        <v>45106</v>
      </c>
      <c r="C1763" s="1" t="s">
        <v>2770</v>
      </c>
      <c r="D1763" s="1" t="s">
        <v>26</v>
      </c>
      <c r="E1763" s="1" t="s">
        <v>17</v>
      </c>
      <c r="F1763" s="1" t="s">
        <v>49</v>
      </c>
      <c r="G1763" s="1" t="s">
        <v>19</v>
      </c>
      <c r="H1763" s="1" t="s">
        <v>29</v>
      </c>
      <c r="I1763" s="1" t="s">
        <v>646</v>
      </c>
      <c r="J1763" s="1">
        <v>7</v>
      </c>
      <c r="K1763" s="3">
        <v>6325.68</v>
      </c>
      <c r="L1763" s="1">
        <v>5</v>
      </c>
      <c r="M1763" s="1" t="s">
        <v>69</v>
      </c>
      <c r="N1763" s="10" t="s">
        <v>37</v>
      </c>
      <c r="Q1763"/>
    </row>
    <row r="1764" spans="1:17" x14ac:dyDescent="0.25">
      <c r="A1764" s="9" t="s">
        <v>2771</v>
      </c>
      <c r="B1764" s="2">
        <v>45177</v>
      </c>
      <c r="C1764" s="1" t="s">
        <v>1479</v>
      </c>
      <c r="D1764" s="1" t="s">
        <v>33</v>
      </c>
      <c r="E1764" s="1" t="s">
        <v>34</v>
      </c>
      <c r="F1764" s="1" t="s">
        <v>18</v>
      </c>
      <c r="G1764" s="1" t="s">
        <v>19</v>
      </c>
      <c r="H1764" s="1" t="s">
        <v>20</v>
      </c>
      <c r="I1764" s="1" t="s">
        <v>239</v>
      </c>
      <c r="J1764" s="1">
        <v>5</v>
      </c>
      <c r="K1764" s="3">
        <v>24182.84</v>
      </c>
      <c r="L1764" s="1">
        <v>10</v>
      </c>
      <c r="M1764" s="1" t="s">
        <v>22</v>
      </c>
      <c r="N1764" s="10" t="s">
        <v>74</v>
      </c>
      <c r="Q1764"/>
    </row>
    <row r="1765" spans="1:17" x14ac:dyDescent="0.25">
      <c r="A1765" s="9" t="s">
        <v>2772</v>
      </c>
      <c r="B1765" s="2">
        <v>45032</v>
      </c>
      <c r="C1765" s="1" t="s">
        <v>1198</v>
      </c>
      <c r="D1765" s="1" t="s">
        <v>147</v>
      </c>
      <c r="E1765" s="1" t="s">
        <v>17</v>
      </c>
      <c r="F1765" s="1" t="s">
        <v>28</v>
      </c>
      <c r="G1765" s="1" t="s">
        <v>42</v>
      </c>
      <c r="H1765" s="1" t="s">
        <v>43</v>
      </c>
      <c r="I1765" s="1" t="s">
        <v>380</v>
      </c>
      <c r="J1765" s="1">
        <v>5</v>
      </c>
      <c r="K1765" s="3">
        <v>729.49</v>
      </c>
      <c r="L1765" s="1">
        <v>15</v>
      </c>
      <c r="M1765" s="1" t="s">
        <v>56</v>
      </c>
      <c r="N1765" s="10" t="s">
        <v>31</v>
      </c>
      <c r="Q1765"/>
    </row>
    <row r="1766" spans="1:17" x14ac:dyDescent="0.25">
      <c r="A1766" s="9" t="s">
        <v>2773</v>
      </c>
      <c r="B1766" s="2">
        <v>45400</v>
      </c>
      <c r="C1766" s="1" t="s">
        <v>2723</v>
      </c>
      <c r="D1766" s="1" t="s">
        <v>16</v>
      </c>
      <c r="E1766" s="1" t="s">
        <v>17</v>
      </c>
      <c r="F1766" s="1" t="s">
        <v>60</v>
      </c>
      <c r="G1766" s="1" t="s">
        <v>19</v>
      </c>
      <c r="H1766" s="1" t="s">
        <v>20</v>
      </c>
      <c r="I1766" s="1" t="s">
        <v>563</v>
      </c>
      <c r="J1766" s="1">
        <v>8</v>
      </c>
      <c r="K1766" s="3">
        <v>14013.61</v>
      </c>
      <c r="L1766" s="1">
        <v>5</v>
      </c>
      <c r="M1766" s="1" t="s">
        <v>93</v>
      </c>
      <c r="N1766" s="10" t="s">
        <v>31</v>
      </c>
      <c r="Q1766"/>
    </row>
    <row r="1767" spans="1:17" x14ac:dyDescent="0.25">
      <c r="A1767" s="9" t="s">
        <v>2774</v>
      </c>
      <c r="B1767" s="2">
        <v>45139</v>
      </c>
      <c r="C1767" s="1" t="s">
        <v>255</v>
      </c>
      <c r="D1767" s="1" t="s">
        <v>33</v>
      </c>
      <c r="E1767" s="1" t="s">
        <v>41</v>
      </c>
      <c r="F1767" s="1" t="s">
        <v>28</v>
      </c>
      <c r="G1767" s="1" t="s">
        <v>83</v>
      </c>
      <c r="H1767" s="1" t="s">
        <v>43</v>
      </c>
      <c r="I1767" s="1" t="s">
        <v>652</v>
      </c>
      <c r="J1767" s="1">
        <v>8</v>
      </c>
      <c r="K1767" s="3">
        <v>2663.8</v>
      </c>
      <c r="L1767" s="1">
        <v>10</v>
      </c>
      <c r="M1767" s="1" t="s">
        <v>36</v>
      </c>
      <c r="N1767" s="10" t="s">
        <v>31</v>
      </c>
      <c r="Q1767"/>
    </row>
    <row r="1768" spans="1:17" x14ac:dyDescent="0.25">
      <c r="A1768" s="9" t="s">
        <v>2775</v>
      </c>
      <c r="B1768" s="2">
        <v>45424</v>
      </c>
      <c r="C1768" s="1" t="s">
        <v>1520</v>
      </c>
      <c r="D1768" s="1" t="s">
        <v>52</v>
      </c>
      <c r="E1768" s="1" t="s">
        <v>17</v>
      </c>
      <c r="F1768" s="1" t="s">
        <v>99</v>
      </c>
      <c r="G1768" s="1" t="s">
        <v>19</v>
      </c>
      <c r="H1768" s="1" t="s">
        <v>20</v>
      </c>
      <c r="I1768" s="1" t="s">
        <v>312</v>
      </c>
      <c r="J1768" s="1">
        <v>5</v>
      </c>
      <c r="K1768" s="3">
        <v>2115.31</v>
      </c>
      <c r="L1768" s="1">
        <v>15</v>
      </c>
      <c r="M1768" s="1" t="s">
        <v>63</v>
      </c>
      <c r="N1768" s="10" t="s">
        <v>64</v>
      </c>
      <c r="Q1768"/>
    </row>
    <row r="1769" spans="1:17" x14ac:dyDescent="0.25">
      <c r="A1769" s="9" t="s">
        <v>2776</v>
      </c>
      <c r="B1769" s="2">
        <v>45141</v>
      </c>
      <c r="C1769" s="1" t="s">
        <v>2565</v>
      </c>
      <c r="D1769" s="1" t="s">
        <v>16</v>
      </c>
      <c r="E1769" s="1" t="s">
        <v>59</v>
      </c>
      <c r="F1769" s="1" t="s">
        <v>99</v>
      </c>
      <c r="G1769" s="1" t="s">
        <v>83</v>
      </c>
      <c r="H1769" s="1" t="s">
        <v>43</v>
      </c>
      <c r="I1769" s="1" t="s">
        <v>50</v>
      </c>
      <c r="J1769" s="1">
        <v>8</v>
      </c>
      <c r="K1769" s="3">
        <v>4669.92</v>
      </c>
      <c r="L1769" s="1">
        <v>10</v>
      </c>
      <c r="M1769" s="1" t="s">
        <v>22</v>
      </c>
      <c r="N1769" s="10" t="s">
        <v>23</v>
      </c>
      <c r="Q1769"/>
    </row>
    <row r="1770" spans="1:17" x14ac:dyDescent="0.25">
      <c r="A1770" s="9" t="s">
        <v>2777</v>
      </c>
      <c r="B1770" s="2">
        <v>45499</v>
      </c>
      <c r="C1770" s="1" t="s">
        <v>2778</v>
      </c>
      <c r="D1770" s="1" t="s">
        <v>67</v>
      </c>
      <c r="E1770" s="1" t="s">
        <v>59</v>
      </c>
      <c r="F1770" s="1" t="s">
        <v>28</v>
      </c>
      <c r="G1770" s="1" t="s">
        <v>19</v>
      </c>
      <c r="H1770" s="1" t="s">
        <v>29</v>
      </c>
      <c r="I1770" s="1" t="s">
        <v>30</v>
      </c>
      <c r="J1770" s="1">
        <v>8</v>
      </c>
      <c r="K1770" s="3">
        <v>2124.4</v>
      </c>
      <c r="L1770" s="1">
        <v>20</v>
      </c>
      <c r="M1770" s="1" t="s">
        <v>63</v>
      </c>
      <c r="N1770" s="10" t="s">
        <v>45</v>
      </c>
      <c r="Q1770"/>
    </row>
    <row r="1771" spans="1:17" x14ac:dyDescent="0.25">
      <c r="A1771" s="9" t="s">
        <v>2779</v>
      </c>
      <c r="B1771" s="2">
        <v>44929</v>
      </c>
      <c r="C1771" s="1" t="s">
        <v>679</v>
      </c>
      <c r="D1771" s="1" t="s">
        <v>16</v>
      </c>
      <c r="E1771" s="1" t="s">
        <v>72</v>
      </c>
      <c r="F1771" s="1" t="s">
        <v>28</v>
      </c>
      <c r="G1771" s="1" t="s">
        <v>42</v>
      </c>
      <c r="H1771" s="1" t="s">
        <v>43</v>
      </c>
      <c r="I1771" s="1" t="s">
        <v>652</v>
      </c>
      <c r="J1771" s="1">
        <v>1</v>
      </c>
      <c r="K1771" s="3">
        <v>3757.95</v>
      </c>
      <c r="L1771" s="1">
        <v>10</v>
      </c>
      <c r="M1771" s="1" t="s">
        <v>36</v>
      </c>
      <c r="N1771" s="10" t="s">
        <v>37</v>
      </c>
      <c r="Q1771"/>
    </row>
    <row r="1772" spans="1:17" x14ac:dyDescent="0.25">
      <c r="A1772" s="9" t="s">
        <v>2780</v>
      </c>
      <c r="B1772" s="2">
        <v>45063</v>
      </c>
      <c r="C1772" s="1" t="s">
        <v>1253</v>
      </c>
      <c r="D1772" s="1" t="s">
        <v>40</v>
      </c>
      <c r="E1772" s="1" t="s">
        <v>17</v>
      </c>
      <c r="F1772" s="1" t="s">
        <v>49</v>
      </c>
      <c r="G1772" s="1" t="s">
        <v>19</v>
      </c>
      <c r="H1772" s="1" t="s">
        <v>20</v>
      </c>
      <c r="I1772" s="1" t="s">
        <v>193</v>
      </c>
      <c r="J1772" s="1">
        <v>1</v>
      </c>
      <c r="K1772" s="3">
        <v>1754.22</v>
      </c>
      <c r="L1772" s="1" t="s">
        <v>110</v>
      </c>
      <c r="M1772" s="1" t="s">
        <v>63</v>
      </c>
      <c r="N1772" s="10" t="s">
        <v>23</v>
      </c>
      <c r="Q1772"/>
    </row>
    <row r="1773" spans="1:17" x14ac:dyDescent="0.25">
      <c r="A1773" s="9" t="s">
        <v>2781</v>
      </c>
      <c r="B1773" s="2">
        <v>45251</v>
      </c>
      <c r="C1773" s="1" t="s">
        <v>2782</v>
      </c>
      <c r="D1773" s="1" t="s">
        <v>87</v>
      </c>
      <c r="E1773" s="1" t="s">
        <v>34</v>
      </c>
      <c r="F1773" s="1" t="s">
        <v>60</v>
      </c>
      <c r="G1773" s="1" t="s">
        <v>42</v>
      </c>
      <c r="H1773" s="1" t="s">
        <v>43</v>
      </c>
      <c r="I1773" s="1" t="s">
        <v>339</v>
      </c>
      <c r="J1773" s="1">
        <v>9</v>
      </c>
      <c r="K1773" s="3">
        <v>44333.599999999999</v>
      </c>
      <c r="L1773" s="1">
        <v>20</v>
      </c>
      <c r="M1773" s="1" t="s">
        <v>56</v>
      </c>
      <c r="N1773" s="10" t="s">
        <v>74</v>
      </c>
      <c r="Q1773"/>
    </row>
    <row r="1774" spans="1:17" x14ac:dyDescent="0.25">
      <c r="A1774" s="9" t="s">
        <v>2783</v>
      </c>
      <c r="B1774" s="2">
        <v>45190</v>
      </c>
      <c r="C1774" s="1" t="s">
        <v>2401</v>
      </c>
      <c r="D1774" s="1" t="s">
        <v>81</v>
      </c>
      <c r="E1774" s="1" t="s">
        <v>27</v>
      </c>
      <c r="F1774" s="1" t="s">
        <v>18</v>
      </c>
      <c r="G1774" s="1" t="s">
        <v>19</v>
      </c>
      <c r="H1774" s="1" t="s">
        <v>29</v>
      </c>
      <c r="I1774" s="1" t="s">
        <v>475</v>
      </c>
      <c r="J1774" s="1">
        <v>3</v>
      </c>
      <c r="K1774" s="3">
        <v>6755.46</v>
      </c>
      <c r="L1774" s="1">
        <v>0</v>
      </c>
      <c r="M1774" s="1" t="s">
        <v>56</v>
      </c>
      <c r="N1774" s="10" t="s">
        <v>74</v>
      </c>
      <c r="Q1774"/>
    </row>
    <row r="1775" spans="1:17" x14ac:dyDescent="0.25">
      <c r="A1775" s="9" t="s">
        <v>2784</v>
      </c>
      <c r="B1775" s="2">
        <v>45304</v>
      </c>
      <c r="C1775" s="1" t="s">
        <v>290</v>
      </c>
      <c r="D1775" s="1" t="s">
        <v>147</v>
      </c>
      <c r="E1775" s="1" t="s">
        <v>27</v>
      </c>
      <c r="F1775" s="1" t="s">
        <v>99</v>
      </c>
      <c r="G1775" s="1" t="s">
        <v>53</v>
      </c>
      <c r="H1775" s="1" t="s">
        <v>54</v>
      </c>
      <c r="I1775" s="1" t="s">
        <v>608</v>
      </c>
      <c r="J1775" s="1">
        <v>2</v>
      </c>
      <c r="K1775" s="3">
        <v>3792.8</v>
      </c>
      <c r="L1775" s="1">
        <v>10</v>
      </c>
      <c r="M1775" s="1" t="s">
        <v>93</v>
      </c>
      <c r="N1775" s="10" t="s">
        <v>64</v>
      </c>
      <c r="Q1775"/>
    </row>
    <row r="1776" spans="1:17" x14ac:dyDescent="0.25">
      <c r="A1776" s="9" t="s">
        <v>2785</v>
      </c>
      <c r="B1776" s="2">
        <v>45181</v>
      </c>
      <c r="C1776" s="1" t="s">
        <v>536</v>
      </c>
      <c r="D1776" s="1" t="s">
        <v>67</v>
      </c>
      <c r="E1776" s="1" t="s">
        <v>17</v>
      </c>
      <c r="F1776" s="1" t="s">
        <v>88</v>
      </c>
      <c r="G1776" s="1" t="s">
        <v>19</v>
      </c>
      <c r="H1776" s="1" t="s">
        <v>20</v>
      </c>
      <c r="I1776" s="1" t="s">
        <v>78</v>
      </c>
      <c r="J1776" s="1">
        <v>9</v>
      </c>
      <c r="K1776" s="3">
        <v>42134.879999999997</v>
      </c>
      <c r="L1776" s="1">
        <v>5</v>
      </c>
      <c r="M1776" s="1" t="s">
        <v>69</v>
      </c>
      <c r="N1776" s="10" t="s">
        <v>64</v>
      </c>
      <c r="Q1776"/>
    </row>
    <row r="1777" spans="1:17" x14ac:dyDescent="0.25">
      <c r="A1777" s="9" t="s">
        <v>2786</v>
      </c>
      <c r="B1777" s="2">
        <v>45269</v>
      </c>
      <c r="C1777" s="1" t="s">
        <v>1218</v>
      </c>
      <c r="D1777" s="1" t="s">
        <v>33</v>
      </c>
      <c r="E1777" s="1" t="s">
        <v>72</v>
      </c>
      <c r="F1777" s="1" t="s">
        <v>49</v>
      </c>
      <c r="G1777" s="1" t="s">
        <v>42</v>
      </c>
      <c r="H1777" s="1" t="s">
        <v>43</v>
      </c>
      <c r="I1777" s="1" t="s">
        <v>652</v>
      </c>
      <c r="J1777" s="1">
        <v>9</v>
      </c>
      <c r="K1777" s="3">
        <v>33215.42</v>
      </c>
      <c r="L1777" s="1">
        <v>20</v>
      </c>
      <c r="M1777" s="1" t="s">
        <v>69</v>
      </c>
      <c r="N1777" s="10" t="s">
        <v>37</v>
      </c>
      <c r="Q1777"/>
    </row>
    <row r="1778" spans="1:17" x14ac:dyDescent="0.25">
      <c r="A1778" s="9" t="s">
        <v>2787</v>
      </c>
      <c r="B1778" s="2">
        <v>45146</v>
      </c>
      <c r="C1778" s="1" t="s">
        <v>2296</v>
      </c>
      <c r="D1778" s="1" t="s">
        <v>87</v>
      </c>
      <c r="E1778" s="1" t="s">
        <v>17</v>
      </c>
      <c r="F1778" s="1" t="s">
        <v>49</v>
      </c>
      <c r="G1778" s="1" t="s">
        <v>19</v>
      </c>
      <c r="H1778" s="1" t="s">
        <v>29</v>
      </c>
      <c r="I1778" s="1" t="s">
        <v>515</v>
      </c>
      <c r="J1778" s="1">
        <v>5</v>
      </c>
      <c r="K1778" s="3">
        <v>661.32</v>
      </c>
      <c r="L1778" s="1">
        <v>20</v>
      </c>
      <c r="M1778" s="1" t="s">
        <v>36</v>
      </c>
      <c r="N1778" s="10" t="s">
        <v>23</v>
      </c>
      <c r="Q1778"/>
    </row>
    <row r="1779" spans="1:17" x14ac:dyDescent="0.25">
      <c r="A1779" s="9" t="s">
        <v>2788</v>
      </c>
      <c r="B1779" s="2">
        <v>45345</v>
      </c>
      <c r="C1779" s="1" t="s">
        <v>499</v>
      </c>
      <c r="D1779" s="1" t="s">
        <v>16</v>
      </c>
      <c r="E1779" s="1" t="s">
        <v>34</v>
      </c>
      <c r="F1779" s="1" t="s">
        <v>60</v>
      </c>
      <c r="G1779" s="1" t="s">
        <v>42</v>
      </c>
      <c r="H1779" s="1" t="s">
        <v>61</v>
      </c>
      <c r="I1779" s="1" t="s">
        <v>185</v>
      </c>
      <c r="J1779" s="1">
        <v>3</v>
      </c>
      <c r="K1779" s="3">
        <v>6135.24</v>
      </c>
      <c r="L1779" s="1">
        <v>0</v>
      </c>
      <c r="M1779" s="1" t="s">
        <v>36</v>
      </c>
      <c r="N1779" s="10" t="s">
        <v>37</v>
      </c>
      <c r="Q1779"/>
    </row>
    <row r="1780" spans="1:17" x14ac:dyDescent="0.25">
      <c r="A1780" s="9" t="s">
        <v>2789</v>
      </c>
      <c r="B1780" s="2">
        <v>45655</v>
      </c>
      <c r="C1780" s="1" t="s">
        <v>233</v>
      </c>
      <c r="D1780" s="1" t="s">
        <v>147</v>
      </c>
      <c r="E1780" s="1" t="s">
        <v>27</v>
      </c>
      <c r="F1780" s="1" t="s">
        <v>60</v>
      </c>
      <c r="G1780" s="1" t="s">
        <v>42</v>
      </c>
      <c r="H1780" s="1" t="s">
        <v>61</v>
      </c>
      <c r="I1780" s="1" t="s">
        <v>106</v>
      </c>
      <c r="J1780" s="1">
        <v>9</v>
      </c>
      <c r="K1780" s="3">
        <v>40154.51</v>
      </c>
      <c r="L1780" s="1">
        <v>20</v>
      </c>
      <c r="M1780" s="1" t="s">
        <v>63</v>
      </c>
      <c r="N1780" s="10" t="s">
        <v>45</v>
      </c>
      <c r="Q1780"/>
    </row>
    <row r="1781" spans="1:17" x14ac:dyDescent="0.25">
      <c r="A1781" s="9" t="s">
        <v>2790</v>
      </c>
      <c r="B1781" s="2">
        <v>45628</v>
      </c>
      <c r="C1781" s="1" t="s">
        <v>1526</v>
      </c>
      <c r="D1781" s="1" t="s">
        <v>67</v>
      </c>
      <c r="E1781" s="1" t="s">
        <v>17</v>
      </c>
      <c r="F1781" s="1" t="s">
        <v>18</v>
      </c>
      <c r="G1781" s="1" t="s">
        <v>83</v>
      </c>
      <c r="H1781" s="1" t="s">
        <v>43</v>
      </c>
      <c r="I1781" s="1" t="s">
        <v>258</v>
      </c>
      <c r="J1781" s="1">
        <v>9</v>
      </c>
      <c r="K1781" s="3">
        <v>13744.22</v>
      </c>
      <c r="L1781" s="1">
        <v>20</v>
      </c>
      <c r="M1781" s="1" t="s">
        <v>63</v>
      </c>
      <c r="N1781" s="10" t="s">
        <v>64</v>
      </c>
      <c r="Q1781"/>
    </row>
    <row r="1782" spans="1:17" x14ac:dyDescent="0.25">
      <c r="A1782" s="9" t="s">
        <v>2791</v>
      </c>
      <c r="B1782" s="2">
        <v>45100</v>
      </c>
      <c r="C1782" s="1" t="s">
        <v>585</v>
      </c>
      <c r="D1782" s="1" t="s">
        <v>81</v>
      </c>
      <c r="E1782" s="1" t="s">
        <v>72</v>
      </c>
      <c r="F1782" s="1" t="s">
        <v>60</v>
      </c>
      <c r="G1782" s="1" t="s">
        <v>19</v>
      </c>
      <c r="H1782" s="1" t="s">
        <v>29</v>
      </c>
      <c r="I1782" s="1" t="s">
        <v>141</v>
      </c>
      <c r="J1782" s="1">
        <v>8</v>
      </c>
      <c r="K1782" s="3">
        <v>15024.68</v>
      </c>
      <c r="L1782" s="1" t="s">
        <v>110</v>
      </c>
      <c r="M1782" s="1" t="s">
        <v>36</v>
      </c>
      <c r="N1782" s="10" t="s">
        <v>64</v>
      </c>
      <c r="Q1782"/>
    </row>
    <row r="1783" spans="1:17" x14ac:dyDescent="0.25">
      <c r="A1783" s="9" t="s">
        <v>2792</v>
      </c>
      <c r="B1783" s="2">
        <v>45465</v>
      </c>
      <c r="C1783" s="1" t="s">
        <v>2513</v>
      </c>
      <c r="D1783" s="1" t="s">
        <v>67</v>
      </c>
      <c r="E1783" s="1" t="s">
        <v>72</v>
      </c>
      <c r="F1783" s="1" t="s">
        <v>88</v>
      </c>
      <c r="G1783" s="1" t="s">
        <v>42</v>
      </c>
      <c r="H1783" s="1" t="s">
        <v>61</v>
      </c>
      <c r="I1783" s="1" t="s">
        <v>204</v>
      </c>
      <c r="J1783" s="1">
        <v>3</v>
      </c>
      <c r="K1783" s="3">
        <v>5805.75</v>
      </c>
      <c r="L1783" s="1" t="s">
        <v>110</v>
      </c>
      <c r="M1783" s="1" t="s">
        <v>93</v>
      </c>
      <c r="N1783" s="10" t="s">
        <v>74</v>
      </c>
      <c r="Q1783"/>
    </row>
    <row r="1784" spans="1:17" x14ac:dyDescent="0.25">
      <c r="A1784" s="9" t="s">
        <v>2793</v>
      </c>
      <c r="B1784" s="2">
        <v>45502</v>
      </c>
      <c r="C1784" s="1" t="s">
        <v>1616</v>
      </c>
      <c r="D1784" s="1" t="s">
        <v>26</v>
      </c>
      <c r="E1784" s="1" t="s">
        <v>41</v>
      </c>
      <c r="F1784" s="1" t="s">
        <v>60</v>
      </c>
      <c r="G1784" s="1" t="s">
        <v>19</v>
      </c>
      <c r="H1784" s="1" t="s">
        <v>29</v>
      </c>
      <c r="I1784" s="1" t="s">
        <v>424</v>
      </c>
      <c r="J1784" s="1">
        <v>3</v>
      </c>
      <c r="K1784" s="3">
        <v>5787.44</v>
      </c>
      <c r="L1784" s="1">
        <v>10</v>
      </c>
      <c r="M1784" s="1" t="s">
        <v>56</v>
      </c>
      <c r="N1784" s="10" t="s">
        <v>31</v>
      </c>
      <c r="Q1784"/>
    </row>
    <row r="1785" spans="1:17" x14ac:dyDescent="0.25">
      <c r="A1785" s="9" t="s">
        <v>2794</v>
      </c>
      <c r="B1785" s="2">
        <v>44933</v>
      </c>
      <c r="C1785" s="1" t="s">
        <v>1333</v>
      </c>
      <c r="D1785" s="1" t="s">
        <v>16</v>
      </c>
      <c r="E1785" s="1" t="s">
        <v>27</v>
      </c>
      <c r="F1785" s="1" t="s">
        <v>82</v>
      </c>
      <c r="G1785" s="1" t="s">
        <v>42</v>
      </c>
      <c r="H1785" s="1" t="s">
        <v>43</v>
      </c>
      <c r="I1785" s="1" t="s">
        <v>704</v>
      </c>
      <c r="J1785" s="1">
        <v>10</v>
      </c>
      <c r="K1785" s="3">
        <v>27335.13</v>
      </c>
      <c r="L1785" s="1">
        <v>0</v>
      </c>
      <c r="M1785" s="1" t="s">
        <v>36</v>
      </c>
      <c r="N1785" s="10" t="s">
        <v>31</v>
      </c>
      <c r="Q1785"/>
    </row>
    <row r="1786" spans="1:17" x14ac:dyDescent="0.25">
      <c r="A1786" s="9" t="s">
        <v>2795</v>
      </c>
      <c r="B1786" s="2">
        <v>45348</v>
      </c>
      <c r="C1786" s="1" t="s">
        <v>325</v>
      </c>
      <c r="D1786" s="1" t="s">
        <v>33</v>
      </c>
      <c r="E1786" s="1" t="s">
        <v>72</v>
      </c>
      <c r="F1786" s="1" t="s">
        <v>88</v>
      </c>
      <c r="G1786" s="1" t="s">
        <v>83</v>
      </c>
      <c r="H1786" s="1" t="s">
        <v>43</v>
      </c>
      <c r="I1786" s="1" t="s">
        <v>157</v>
      </c>
      <c r="J1786" s="1">
        <v>2</v>
      </c>
      <c r="K1786" s="3">
        <v>6645.42</v>
      </c>
      <c r="L1786" s="1">
        <v>0</v>
      </c>
      <c r="M1786" s="1" t="s">
        <v>56</v>
      </c>
      <c r="N1786" s="10" t="s">
        <v>37</v>
      </c>
      <c r="Q1786"/>
    </row>
    <row r="1787" spans="1:17" x14ac:dyDescent="0.25">
      <c r="A1787" s="9" t="s">
        <v>2796</v>
      </c>
      <c r="B1787" s="2">
        <v>45333</v>
      </c>
      <c r="C1787" s="1" t="s">
        <v>1143</v>
      </c>
      <c r="D1787" s="1" t="s">
        <v>81</v>
      </c>
      <c r="E1787" s="1" t="s">
        <v>72</v>
      </c>
      <c r="F1787" s="1" t="s">
        <v>49</v>
      </c>
      <c r="G1787" s="1" t="s">
        <v>42</v>
      </c>
      <c r="H1787" s="1" t="s">
        <v>61</v>
      </c>
      <c r="I1787" s="1" t="s">
        <v>388</v>
      </c>
      <c r="J1787" s="1">
        <v>10</v>
      </c>
      <c r="K1787" s="3">
        <v>32340.79</v>
      </c>
      <c r="L1787" s="1">
        <v>0</v>
      </c>
      <c r="M1787" s="1" t="s">
        <v>56</v>
      </c>
      <c r="N1787" s="10" t="s">
        <v>64</v>
      </c>
      <c r="Q1787"/>
    </row>
    <row r="1788" spans="1:17" x14ac:dyDescent="0.25">
      <c r="A1788" s="9" t="s">
        <v>2797</v>
      </c>
      <c r="B1788" s="2">
        <v>45052</v>
      </c>
      <c r="C1788" s="1" t="s">
        <v>806</v>
      </c>
      <c r="D1788" s="1" t="s">
        <v>40</v>
      </c>
      <c r="E1788" s="1" t="s">
        <v>72</v>
      </c>
      <c r="F1788" s="1" t="s">
        <v>60</v>
      </c>
      <c r="G1788" s="1" t="s">
        <v>19</v>
      </c>
      <c r="H1788" s="1" t="s">
        <v>20</v>
      </c>
      <c r="I1788" s="1" t="s">
        <v>801</v>
      </c>
      <c r="J1788" s="1">
        <v>6</v>
      </c>
      <c r="K1788" s="3">
        <v>25840.1</v>
      </c>
      <c r="L1788" s="1">
        <v>0</v>
      </c>
      <c r="M1788" s="1" t="s">
        <v>36</v>
      </c>
      <c r="N1788" s="10" t="s">
        <v>23</v>
      </c>
      <c r="Q1788"/>
    </row>
    <row r="1789" spans="1:17" x14ac:dyDescent="0.25">
      <c r="A1789" s="9" t="s">
        <v>2798</v>
      </c>
      <c r="B1789" s="2">
        <v>45377</v>
      </c>
      <c r="C1789" s="1" t="s">
        <v>757</v>
      </c>
      <c r="D1789" s="1" t="s">
        <v>147</v>
      </c>
      <c r="E1789" s="1" t="s">
        <v>41</v>
      </c>
      <c r="F1789" s="1" t="s">
        <v>28</v>
      </c>
      <c r="G1789" s="1" t="s">
        <v>19</v>
      </c>
      <c r="H1789" s="1" t="s">
        <v>20</v>
      </c>
      <c r="I1789" s="1" t="s">
        <v>176</v>
      </c>
      <c r="J1789" s="1">
        <v>4</v>
      </c>
      <c r="K1789" s="3">
        <v>12641.06</v>
      </c>
      <c r="L1789" s="1">
        <v>20</v>
      </c>
      <c r="M1789" s="1" t="s">
        <v>69</v>
      </c>
      <c r="N1789" s="10" t="s">
        <v>37</v>
      </c>
      <c r="Q1789"/>
    </row>
    <row r="1790" spans="1:17" x14ac:dyDescent="0.25">
      <c r="A1790" s="9" t="s">
        <v>2799</v>
      </c>
      <c r="B1790" s="2">
        <v>44997</v>
      </c>
      <c r="C1790" s="1" t="s">
        <v>735</v>
      </c>
      <c r="D1790" s="1" t="s">
        <v>378</v>
      </c>
      <c r="E1790" s="1" t="s">
        <v>72</v>
      </c>
      <c r="F1790" s="1" t="s">
        <v>18</v>
      </c>
      <c r="G1790" s="1" t="s">
        <v>19</v>
      </c>
      <c r="H1790" s="1" t="s">
        <v>20</v>
      </c>
      <c r="I1790" s="1" t="s">
        <v>138</v>
      </c>
      <c r="J1790" s="1">
        <v>4</v>
      </c>
      <c r="K1790" s="3">
        <v>15821.57</v>
      </c>
      <c r="L1790" s="1">
        <v>15</v>
      </c>
      <c r="M1790" s="1" t="s">
        <v>36</v>
      </c>
      <c r="N1790" s="10" t="s">
        <v>23</v>
      </c>
      <c r="Q1790"/>
    </row>
    <row r="1791" spans="1:17" x14ac:dyDescent="0.25">
      <c r="A1791" s="9" t="s">
        <v>2800</v>
      </c>
      <c r="B1791" s="2">
        <v>45059</v>
      </c>
      <c r="C1791" s="1" t="s">
        <v>2101</v>
      </c>
      <c r="D1791" s="1" t="s">
        <v>67</v>
      </c>
      <c r="E1791" s="1" t="s">
        <v>17</v>
      </c>
      <c r="F1791" s="1" t="s">
        <v>99</v>
      </c>
      <c r="G1791" s="1" t="s">
        <v>19</v>
      </c>
      <c r="H1791" s="1" t="s">
        <v>20</v>
      </c>
      <c r="I1791" s="1" t="s">
        <v>193</v>
      </c>
      <c r="J1791" s="1">
        <v>4</v>
      </c>
      <c r="K1791" s="3">
        <v>2798.75</v>
      </c>
      <c r="L1791" s="1">
        <v>15</v>
      </c>
      <c r="M1791" s="1" t="s">
        <v>56</v>
      </c>
      <c r="N1791" s="10" t="s">
        <v>31</v>
      </c>
      <c r="Q1791"/>
    </row>
    <row r="1792" spans="1:17" x14ac:dyDescent="0.25">
      <c r="A1792" s="9" t="s">
        <v>2801</v>
      </c>
      <c r="B1792" s="2">
        <v>45607</v>
      </c>
      <c r="C1792" s="1" t="s">
        <v>1353</v>
      </c>
      <c r="D1792" s="1" t="s">
        <v>16</v>
      </c>
      <c r="E1792" s="1" t="s">
        <v>34</v>
      </c>
      <c r="F1792" s="1" t="s">
        <v>49</v>
      </c>
      <c r="G1792" s="1" t="s">
        <v>19</v>
      </c>
      <c r="H1792" s="1" t="s">
        <v>29</v>
      </c>
      <c r="I1792" s="1" t="s">
        <v>135</v>
      </c>
      <c r="J1792" s="1">
        <v>10</v>
      </c>
      <c r="K1792" s="3">
        <v>11689.5</v>
      </c>
      <c r="L1792" s="1">
        <v>5</v>
      </c>
      <c r="M1792" s="1" t="s">
        <v>56</v>
      </c>
      <c r="N1792" s="10" t="s">
        <v>64</v>
      </c>
      <c r="Q1792"/>
    </row>
    <row r="1793" spans="1:17" x14ac:dyDescent="0.25">
      <c r="A1793" s="9" t="s">
        <v>2802</v>
      </c>
      <c r="B1793" s="2">
        <v>44980</v>
      </c>
      <c r="C1793" s="1" t="s">
        <v>105</v>
      </c>
      <c r="D1793" s="1" t="s">
        <v>81</v>
      </c>
      <c r="E1793" s="1" t="s">
        <v>34</v>
      </c>
      <c r="F1793" s="1" t="s">
        <v>99</v>
      </c>
      <c r="G1793" s="1" t="s">
        <v>83</v>
      </c>
      <c r="H1793" s="1" t="s">
        <v>43</v>
      </c>
      <c r="I1793" s="1" t="s">
        <v>704</v>
      </c>
      <c r="J1793" s="1">
        <v>1</v>
      </c>
      <c r="K1793" s="3">
        <v>2824.4</v>
      </c>
      <c r="L1793" s="1">
        <v>20</v>
      </c>
      <c r="M1793" s="1" t="s">
        <v>22</v>
      </c>
      <c r="N1793" s="10" t="s">
        <v>31</v>
      </c>
      <c r="Q1793"/>
    </row>
    <row r="1794" spans="1:17" x14ac:dyDescent="0.25">
      <c r="A1794" s="9" t="s">
        <v>2803</v>
      </c>
      <c r="B1794" s="2">
        <v>45472</v>
      </c>
      <c r="C1794" s="1" t="s">
        <v>362</v>
      </c>
      <c r="D1794" s="1" t="s">
        <v>147</v>
      </c>
      <c r="E1794" s="1" t="s">
        <v>27</v>
      </c>
      <c r="F1794" s="1" t="s">
        <v>49</v>
      </c>
      <c r="G1794" s="1" t="s">
        <v>83</v>
      </c>
      <c r="H1794" s="1" t="s">
        <v>43</v>
      </c>
      <c r="I1794" s="1" t="s">
        <v>244</v>
      </c>
      <c r="J1794" s="1">
        <v>8</v>
      </c>
      <c r="K1794" s="3">
        <v>14995.98</v>
      </c>
      <c r="L1794" s="1" t="s">
        <v>110</v>
      </c>
      <c r="M1794" s="1" t="s">
        <v>63</v>
      </c>
      <c r="N1794" s="10" t="s">
        <v>23</v>
      </c>
      <c r="Q1794"/>
    </row>
    <row r="1795" spans="1:17" x14ac:dyDescent="0.25">
      <c r="A1795" s="9" t="s">
        <v>2804</v>
      </c>
      <c r="B1795" s="2">
        <v>45062</v>
      </c>
      <c r="C1795" s="1" t="s">
        <v>661</v>
      </c>
      <c r="D1795" s="1" t="s">
        <v>147</v>
      </c>
      <c r="E1795" s="1" t="s">
        <v>34</v>
      </c>
      <c r="F1795" s="1" t="s">
        <v>60</v>
      </c>
      <c r="G1795" s="1" t="s">
        <v>83</v>
      </c>
      <c r="H1795" s="1" t="s">
        <v>43</v>
      </c>
      <c r="I1795" s="1" t="s">
        <v>84</v>
      </c>
      <c r="J1795" s="1">
        <v>10</v>
      </c>
      <c r="K1795" s="3">
        <v>5030.08</v>
      </c>
      <c r="L1795" s="1">
        <v>10</v>
      </c>
      <c r="M1795" s="1" t="s">
        <v>22</v>
      </c>
      <c r="N1795" s="10" t="s">
        <v>37</v>
      </c>
      <c r="Q1795"/>
    </row>
    <row r="1796" spans="1:17" x14ac:dyDescent="0.25">
      <c r="A1796" s="9" t="s">
        <v>2805</v>
      </c>
      <c r="B1796" s="2">
        <v>45440</v>
      </c>
      <c r="C1796" s="1" t="s">
        <v>1986</v>
      </c>
      <c r="D1796" s="1" t="s">
        <v>81</v>
      </c>
      <c r="E1796" s="1" t="s">
        <v>34</v>
      </c>
      <c r="F1796" s="1" t="s">
        <v>99</v>
      </c>
      <c r="G1796" s="1" t="s">
        <v>83</v>
      </c>
      <c r="H1796" s="1" t="s">
        <v>43</v>
      </c>
      <c r="I1796" s="1" t="s">
        <v>50</v>
      </c>
      <c r="J1796" s="1">
        <v>1</v>
      </c>
      <c r="K1796" s="3">
        <v>1638.97</v>
      </c>
      <c r="L1796" s="1">
        <v>10</v>
      </c>
      <c r="M1796" s="1" t="s">
        <v>56</v>
      </c>
      <c r="N1796" s="10" t="s">
        <v>45</v>
      </c>
      <c r="Q1796"/>
    </row>
    <row r="1797" spans="1:17" x14ac:dyDescent="0.25">
      <c r="A1797" s="9" t="s">
        <v>2806</v>
      </c>
      <c r="B1797" s="2">
        <v>45440</v>
      </c>
      <c r="C1797" s="1" t="s">
        <v>2486</v>
      </c>
      <c r="D1797" s="1" t="s">
        <v>147</v>
      </c>
      <c r="E1797" s="1" t="s">
        <v>59</v>
      </c>
      <c r="F1797" s="1" t="s">
        <v>18</v>
      </c>
      <c r="G1797" s="1" t="s">
        <v>19</v>
      </c>
      <c r="H1797" s="1" t="s">
        <v>29</v>
      </c>
      <c r="I1797" s="1" t="s">
        <v>445</v>
      </c>
      <c r="J1797" s="1">
        <v>9</v>
      </c>
      <c r="K1797" s="3">
        <v>7342.09</v>
      </c>
      <c r="L1797" s="1">
        <v>20</v>
      </c>
      <c r="M1797" s="1" t="s">
        <v>69</v>
      </c>
      <c r="N1797" s="10" t="s">
        <v>74</v>
      </c>
      <c r="Q1797"/>
    </row>
    <row r="1798" spans="1:17" x14ac:dyDescent="0.25">
      <c r="A1798" s="9" t="s">
        <v>2807</v>
      </c>
      <c r="B1798" s="2">
        <v>44975</v>
      </c>
      <c r="C1798" s="1" t="s">
        <v>2808</v>
      </c>
      <c r="D1798" s="1" t="s">
        <v>33</v>
      </c>
      <c r="E1798" s="1" t="s">
        <v>27</v>
      </c>
      <c r="F1798" s="1" t="s">
        <v>49</v>
      </c>
      <c r="G1798" s="1" t="s">
        <v>19</v>
      </c>
      <c r="H1798" s="1" t="s">
        <v>20</v>
      </c>
      <c r="I1798" s="1" t="s">
        <v>176</v>
      </c>
      <c r="J1798" s="1">
        <v>10</v>
      </c>
      <c r="K1798" s="3">
        <v>14019.42</v>
      </c>
      <c r="L1798" s="1">
        <v>5</v>
      </c>
      <c r="M1798" s="1" t="s">
        <v>36</v>
      </c>
      <c r="N1798" s="10" t="s">
        <v>64</v>
      </c>
      <c r="Q1798"/>
    </row>
    <row r="1799" spans="1:17" x14ac:dyDescent="0.25">
      <c r="A1799" s="9" t="s">
        <v>2809</v>
      </c>
      <c r="B1799" s="2">
        <v>45604</v>
      </c>
      <c r="C1799" s="1" t="s">
        <v>1145</v>
      </c>
      <c r="D1799" s="1" t="s">
        <v>87</v>
      </c>
      <c r="E1799" s="1" t="s">
        <v>17</v>
      </c>
      <c r="F1799" s="1" t="s">
        <v>49</v>
      </c>
      <c r="G1799" s="1" t="s">
        <v>53</v>
      </c>
      <c r="H1799" s="1" t="s">
        <v>54</v>
      </c>
      <c r="I1799" s="1" t="s">
        <v>308</v>
      </c>
      <c r="J1799" s="1">
        <v>3</v>
      </c>
      <c r="K1799" s="3">
        <v>8075.98</v>
      </c>
      <c r="L1799" s="1">
        <v>10</v>
      </c>
      <c r="M1799" s="1" t="s">
        <v>93</v>
      </c>
      <c r="N1799" s="10" t="s">
        <v>31</v>
      </c>
      <c r="Q1799"/>
    </row>
    <row r="1800" spans="1:17" x14ac:dyDescent="0.25">
      <c r="A1800" s="9" t="s">
        <v>2810</v>
      </c>
      <c r="B1800" s="2">
        <v>45213</v>
      </c>
      <c r="C1800" s="1" t="s">
        <v>514</v>
      </c>
      <c r="D1800" s="1" t="s">
        <v>360</v>
      </c>
      <c r="E1800" s="1" t="s">
        <v>72</v>
      </c>
      <c r="F1800" s="1" t="s">
        <v>60</v>
      </c>
      <c r="G1800" s="1" t="s">
        <v>42</v>
      </c>
      <c r="H1800" s="1" t="s">
        <v>43</v>
      </c>
      <c r="I1800" s="1" t="s">
        <v>467</v>
      </c>
      <c r="J1800" s="1">
        <v>1</v>
      </c>
      <c r="K1800" s="3">
        <v>1577.99</v>
      </c>
      <c r="L1800" s="1">
        <v>0</v>
      </c>
      <c r="M1800" s="1" t="s">
        <v>69</v>
      </c>
      <c r="N1800" s="10" t="s">
        <v>23</v>
      </c>
      <c r="Q1800"/>
    </row>
    <row r="1801" spans="1:17" x14ac:dyDescent="0.25">
      <c r="A1801" s="9" t="s">
        <v>2811</v>
      </c>
      <c r="B1801" s="2">
        <v>45488</v>
      </c>
      <c r="C1801" s="1" t="s">
        <v>953</v>
      </c>
      <c r="D1801" s="1" t="s">
        <v>378</v>
      </c>
      <c r="E1801" s="1" t="s">
        <v>41</v>
      </c>
      <c r="F1801" s="1" t="s">
        <v>99</v>
      </c>
      <c r="G1801" s="1" t="s">
        <v>53</v>
      </c>
      <c r="H1801" s="1" t="s">
        <v>54</v>
      </c>
      <c r="I1801" s="1" t="s">
        <v>121</v>
      </c>
      <c r="J1801" s="1">
        <v>1</v>
      </c>
      <c r="K1801" s="3">
        <v>498.41</v>
      </c>
      <c r="L1801" s="1">
        <v>15</v>
      </c>
      <c r="M1801" s="1" t="s">
        <v>56</v>
      </c>
      <c r="N1801" s="10" t="s">
        <v>37</v>
      </c>
      <c r="Q1801"/>
    </row>
    <row r="1802" spans="1:17" x14ac:dyDescent="0.25">
      <c r="A1802" s="9" t="s">
        <v>2812</v>
      </c>
      <c r="B1802" s="2">
        <v>45066</v>
      </c>
      <c r="C1802" s="1" t="s">
        <v>1071</v>
      </c>
      <c r="D1802" s="1" t="s">
        <v>67</v>
      </c>
      <c r="E1802" s="1" t="s">
        <v>34</v>
      </c>
      <c r="F1802" s="1" t="s">
        <v>82</v>
      </c>
      <c r="G1802" s="1" t="s">
        <v>83</v>
      </c>
      <c r="H1802" s="1" t="s">
        <v>43</v>
      </c>
      <c r="I1802" s="1" t="s">
        <v>50</v>
      </c>
      <c r="J1802" s="1">
        <v>2</v>
      </c>
      <c r="K1802" s="3">
        <v>4181.67</v>
      </c>
      <c r="L1802" s="1">
        <v>5</v>
      </c>
      <c r="M1802" s="1" t="s">
        <v>63</v>
      </c>
      <c r="N1802" s="10" t="s">
        <v>31</v>
      </c>
      <c r="Q1802"/>
    </row>
    <row r="1803" spans="1:17" x14ac:dyDescent="0.25">
      <c r="A1803" s="9" t="s">
        <v>2813</v>
      </c>
      <c r="B1803" s="2">
        <v>45358</v>
      </c>
      <c r="C1803" s="1" t="s">
        <v>933</v>
      </c>
      <c r="D1803" s="1" t="s">
        <v>40</v>
      </c>
      <c r="E1803" s="1" t="s">
        <v>17</v>
      </c>
      <c r="F1803" s="1" t="s">
        <v>60</v>
      </c>
      <c r="G1803" s="1" t="s">
        <v>53</v>
      </c>
      <c r="H1803" s="1" t="s">
        <v>54</v>
      </c>
      <c r="I1803" s="1" t="s">
        <v>236</v>
      </c>
      <c r="J1803" s="1">
        <v>6</v>
      </c>
      <c r="K1803" s="3">
        <v>6763.48</v>
      </c>
      <c r="L1803" s="1" t="s">
        <v>110</v>
      </c>
      <c r="M1803" s="1" t="s">
        <v>56</v>
      </c>
      <c r="N1803" s="10" t="s">
        <v>37</v>
      </c>
      <c r="Q1803"/>
    </row>
    <row r="1804" spans="1:17" x14ac:dyDescent="0.25">
      <c r="A1804" s="9" t="s">
        <v>2814</v>
      </c>
      <c r="B1804" s="2">
        <v>44979</v>
      </c>
      <c r="C1804" s="1" t="s">
        <v>2080</v>
      </c>
      <c r="D1804" s="1" t="s">
        <v>52</v>
      </c>
      <c r="E1804" s="1" t="s">
        <v>17</v>
      </c>
      <c r="F1804" s="1" t="s">
        <v>18</v>
      </c>
      <c r="G1804" s="1" t="s">
        <v>42</v>
      </c>
      <c r="H1804" s="1" t="s">
        <v>43</v>
      </c>
      <c r="I1804" s="1" t="s">
        <v>144</v>
      </c>
      <c r="J1804" s="1">
        <v>2</v>
      </c>
      <c r="K1804" s="3">
        <v>8705.58</v>
      </c>
      <c r="L1804" s="1">
        <v>0</v>
      </c>
      <c r="M1804" s="1" t="s">
        <v>36</v>
      </c>
      <c r="N1804" s="10" t="s">
        <v>31</v>
      </c>
      <c r="Q1804"/>
    </row>
    <row r="1805" spans="1:17" x14ac:dyDescent="0.25">
      <c r="A1805" s="9" t="s">
        <v>2815</v>
      </c>
      <c r="B1805" s="2">
        <v>45586</v>
      </c>
      <c r="C1805" s="1" t="s">
        <v>1715</v>
      </c>
      <c r="D1805" s="1" t="s">
        <v>52</v>
      </c>
      <c r="E1805" s="1" t="s">
        <v>72</v>
      </c>
      <c r="F1805" s="1" t="s">
        <v>49</v>
      </c>
      <c r="G1805" s="1" t="s">
        <v>53</v>
      </c>
      <c r="H1805" s="1" t="s">
        <v>54</v>
      </c>
      <c r="I1805" s="1" t="s">
        <v>170</v>
      </c>
      <c r="J1805" s="1">
        <v>1</v>
      </c>
      <c r="K1805" s="3">
        <v>540.66</v>
      </c>
      <c r="L1805" s="1">
        <v>15</v>
      </c>
      <c r="M1805" s="1" t="s">
        <v>63</v>
      </c>
      <c r="N1805" s="10" t="s">
        <v>74</v>
      </c>
      <c r="Q1805"/>
    </row>
    <row r="1806" spans="1:17" x14ac:dyDescent="0.25">
      <c r="A1806" s="9" t="s">
        <v>2816</v>
      </c>
      <c r="B1806" s="2">
        <v>45009</v>
      </c>
      <c r="C1806" s="1" t="s">
        <v>679</v>
      </c>
      <c r="D1806" s="1" t="s">
        <v>33</v>
      </c>
      <c r="E1806" s="1" t="s">
        <v>41</v>
      </c>
      <c r="F1806" s="1" t="s">
        <v>88</v>
      </c>
      <c r="G1806" s="1" t="s">
        <v>19</v>
      </c>
      <c r="H1806" s="1" t="s">
        <v>20</v>
      </c>
      <c r="I1806" s="1" t="s">
        <v>261</v>
      </c>
      <c r="J1806" s="1">
        <v>6</v>
      </c>
      <c r="K1806" s="3">
        <v>25904.45</v>
      </c>
      <c r="L1806" s="1">
        <v>10</v>
      </c>
      <c r="M1806" s="1" t="s">
        <v>56</v>
      </c>
      <c r="N1806" s="10" t="s">
        <v>45</v>
      </c>
      <c r="Q1806"/>
    </row>
    <row r="1807" spans="1:17" x14ac:dyDescent="0.25">
      <c r="A1807" s="9" t="s">
        <v>2817</v>
      </c>
      <c r="B1807" s="2">
        <v>45187</v>
      </c>
      <c r="C1807" s="1" t="s">
        <v>1200</v>
      </c>
      <c r="D1807" s="1" t="s">
        <v>33</v>
      </c>
      <c r="E1807" s="1" t="s">
        <v>72</v>
      </c>
      <c r="F1807" s="1" t="s">
        <v>28</v>
      </c>
      <c r="G1807" s="1" t="s">
        <v>53</v>
      </c>
      <c r="H1807" s="1" t="s">
        <v>54</v>
      </c>
      <c r="I1807" s="1" t="s">
        <v>1066</v>
      </c>
      <c r="J1807" s="1">
        <v>9</v>
      </c>
      <c r="K1807" s="3">
        <v>22569.05</v>
      </c>
      <c r="L1807" s="1">
        <v>0</v>
      </c>
      <c r="M1807" s="1" t="s">
        <v>36</v>
      </c>
      <c r="N1807" s="10" t="s">
        <v>23</v>
      </c>
      <c r="Q1807"/>
    </row>
    <row r="1808" spans="1:17" x14ac:dyDescent="0.25">
      <c r="A1808" s="9" t="s">
        <v>2818</v>
      </c>
      <c r="B1808" s="2">
        <v>45574</v>
      </c>
      <c r="C1808" s="1" t="s">
        <v>1434</v>
      </c>
      <c r="D1808" s="1" t="s">
        <v>81</v>
      </c>
      <c r="E1808" s="1" t="s">
        <v>34</v>
      </c>
      <c r="F1808" s="1" t="s">
        <v>82</v>
      </c>
      <c r="G1808" s="1" t="s">
        <v>83</v>
      </c>
      <c r="H1808" s="1" t="s">
        <v>43</v>
      </c>
      <c r="I1808" s="1" t="s">
        <v>467</v>
      </c>
      <c r="J1808" s="1">
        <v>1</v>
      </c>
      <c r="K1808" s="3">
        <v>1987.57</v>
      </c>
      <c r="L1808" s="1">
        <v>10</v>
      </c>
      <c r="M1808" s="1" t="s">
        <v>69</v>
      </c>
      <c r="N1808" s="10" t="s">
        <v>37</v>
      </c>
      <c r="Q1808"/>
    </row>
    <row r="1809" spans="1:17" x14ac:dyDescent="0.25">
      <c r="A1809" s="9" t="s">
        <v>895</v>
      </c>
      <c r="B1809" s="2">
        <v>45177</v>
      </c>
      <c r="C1809" s="1" t="s">
        <v>343</v>
      </c>
      <c r="D1809" s="1" t="s">
        <v>67</v>
      </c>
      <c r="E1809" s="1" t="s">
        <v>72</v>
      </c>
      <c r="F1809" s="1" t="s">
        <v>99</v>
      </c>
      <c r="G1809" s="1" t="s">
        <v>42</v>
      </c>
      <c r="H1809" s="1" t="s">
        <v>61</v>
      </c>
      <c r="I1809" s="1" t="s">
        <v>196</v>
      </c>
      <c r="J1809" s="1">
        <v>2</v>
      </c>
      <c r="K1809" s="3">
        <v>7510.68</v>
      </c>
      <c r="L1809" s="1">
        <v>0</v>
      </c>
      <c r="M1809" s="1" t="s">
        <v>93</v>
      </c>
      <c r="N1809" s="10" t="s">
        <v>31</v>
      </c>
      <c r="Q1809"/>
    </row>
    <row r="1810" spans="1:17" x14ac:dyDescent="0.25">
      <c r="A1810" s="9" t="s">
        <v>2819</v>
      </c>
      <c r="B1810" s="2">
        <v>45472</v>
      </c>
      <c r="C1810" s="1" t="s">
        <v>2820</v>
      </c>
      <c r="D1810" s="1" t="s">
        <v>48</v>
      </c>
      <c r="E1810" s="1" t="s">
        <v>72</v>
      </c>
      <c r="F1810" s="1" t="s">
        <v>82</v>
      </c>
      <c r="G1810" s="1" t="s">
        <v>19</v>
      </c>
      <c r="H1810" s="1" t="s">
        <v>20</v>
      </c>
      <c r="I1810" s="1" t="s">
        <v>193</v>
      </c>
      <c r="J1810" s="1">
        <v>6</v>
      </c>
      <c r="K1810" s="3">
        <v>14252.8</v>
      </c>
      <c r="L1810" s="1">
        <v>10</v>
      </c>
      <c r="M1810" s="1" t="s">
        <v>56</v>
      </c>
      <c r="N1810" s="10" t="s">
        <v>45</v>
      </c>
      <c r="Q1810"/>
    </row>
    <row r="1811" spans="1:17" x14ac:dyDescent="0.25">
      <c r="A1811" s="9" t="s">
        <v>2821</v>
      </c>
      <c r="B1811" s="2">
        <v>45625</v>
      </c>
      <c r="C1811" s="1" t="s">
        <v>1147</v>
      </c>
      <c r="D1811" s="1" t="s">
        <v>16</v>
      </c>
      <c r="E1811" s="1" t="s">
        <v>34</v>
      </c>
      <c r="F1811" s="1" t="s">
        <v>18</v>
      </c>
      <c r="G1811" s="1" t="s">
        <v>53</v>
      </c>
      <c r="H1811" s="1" t="s">
        <v>54</v>
      </c>
      <c r="I1811" s="1" t="s">
        <v>608</v>
      </c>
      <c r="J1811" s="1">
        <v>3</v>
      </c>
      <c r="K1811" s="3">
        <v>11946.19</v>
      </c>
      <c r="L1811" s="1">
        <v>5</v>
      </c>
      <c r="M1811" s="1" t="s">
        <v>93</v>
      </c>
      <c r="N1811" s="10" t="s">
        <v>45</v>
      </c>
      <c r="Q1811"/>
    </row>
    <row r="1812" spans="1:17" x14ac:dyDescent="0.25">
      <c r="A1812" s="9" t="s">
        <v>2822</v>
      </c>
      <c r="B1812" s="2">
        <v>45109</v>
      </c>
      <c r="C1812" s="1" t="s">
        <v>984</v>
      </c>
      <c r="D1812" s="1" t="s">
        <v>147</v>
      </c>
      <c r="E1812" s="1" t="s">
        <v>17</v>
      </c>
      <c r="F1812" s="1" t="s">
        <v>49</v>
      </c>
      <c r="G1812" s="1" t="s">
        <v>42</v>
      </c>
      <c r="H1812" s="1" t="s">
        <v>61</v>
      </c>
      <c r="I1812" s="1" t="s">
        <v>305</v>
      </c>
      <c r="J1812" s="1">
        <v>5</v>
      </c>
      <c r="K1812" s="3">
        <v>20923.16</v>
      </c>
      <c r="L1812" s="1">
        <v>5</v>
      </c>
      <c r="M1812" s="1" t="s">
        <v>36</v>
      </c>
      <c r="N1812" s="10" t="s">
        <v>37</v>
      </c>
      <c r="Q1812"/>
    </row>
    <row r="1813" spans="1:17" x14ac:dyDescent="0.25">
      <c r="A1813" s="9" t="s">
        <v>2823</v>
      </c>
      <c r="B1813" s="2">
        <v>45438</v>
      </c>
      <c r="C1813" s="1" t="s">
        <v>753</v>
      </c>
      <c r="D1813" s="1" t="s">
        <v>81</v>
      </c>
      <c r="E1813" s="1" t="s">
        <v>34</v>
      </c>
      <c r="F1813" s="1" t="s">
        <v>88</v>
      </c>
      <c r="G1813" s="1" t="s">
        <v>42</v>
      </c>
      <c r="H1813" s="1" t="s">
        <v>43</v>
      </c>
      <c r="I1813" s="1" t="s">
        <v>84</v>
      </c>
      <c r="J1813" s="1">
        <v>2</v>
      </c>
      <c r="K1813" s="3">
        <v>3187.33</v>
      </c>
      <c r="L1813" s="1" t="s">
        <v>110</v>
      </c>
      <c r="M1813" s="1" t="s">
        <v>63</v>
      </c>
      <c r="N1813" s="10" t="s">
        <v>37</v>
      </c>
      <c r="Q1813"/>
    </row>
    <row r="1814" spans="1:17" x14ac:dyDescent="0.25">
      <c r="A1814" s="9" t="s">
        <v>2824</v>
      </c>
      <c r="B1814" s="2">
        <v>45093</v>
      </c>
      <c r="C1814" s="1" t="s">
        <v>1132</v>
      </c>
      <c r="D1814" s="1" t="s">
        <v>52</v>
      </c>
      <c r="E1814" s="1" t="s">
        <v>27</v>
      </c>
      <c r="F1814" s="1" t="s">
        <v>82</v>
      </c>
      <c r="G1814" s="1" t="s">
        <v>83</v>
      </c>
      <c r="H1814" s="1" t="s">
        <v>43</v>
      </c>
      <c r="I1814" s="1" t="s">
        <v>323</v>
      </c>
      <c r="J1814" s="1">
        <v>10</v>
      </c>
      <c r="K1814" s="3">
        <v>34951.01</v>
      </c>
      <c r="L1814" s="1">
        <v>0</v>
      </c>
      <c r="M1814" s="1" t="s">
        <v>56</v>
      </c>
      <c r="N1814" s="10" t="s">
        <v>37</v>
      </c>
      <c r="Q1814"/>
    </row>
    <row r="1815" spans="1:17" x14ac:dyDescent="0.25">
      <c r="A1815" s="9" t="s">
        <v>2825</v>
      </c>
      <c r="B1815" s="2">
        <v>45464</v>
      </c>
      <c r="C1815" s="1" t="s">
        <v>1813</v>
      </c>
      <c r="D1815" s="1" t="s">
        <v>87</v>
      </c>
      <c r="E1815" s="1" t="s">
        <v>41</v>
      </c>
      <c r="F1815" s="1" t="s">
        <v>28</v>
      </c>
      <c r="G1815" s="1" t="s">
        <v>83</v>
      </c>
      <c r="H1815" s="1" t="s">
        <v>43</v>
      </c>
      <c r="I1815" s="1" t="s">
        <v>50</v>
      </c>
      <c r="J1815" s="1">
        <v>1</v>
      </c>
      <c r="K1815" s="3">
        <v>688.72</v>
      </c>
      <c r="L1815" s="1">
        <v>5</v>
      </c>
      <c r="M1815" s="1" t="s">
        <v>36</v>
      </c>
      <c r="N1815" s="10" t="s">
        <v>31</v>
      </c>
      <c r="Q1815"/>
    </row>
    <row r="1816" spans="1:17" x14ac:dyDescent="0.25">
      <c r="A1816" s="9" t="s">
        <v>2826</v>
      </c>
      <c r="B1816" s="2">
        <v>44941</v>
      </c>
      <c r="C1816" s="1" t="s">
        <v>1781</v>
      </c>
      <c r="D1816" s="1" t="s">
        <v>147</v>
      </c>
      <c r="E1816" s="1" t="s">
        <v>27</v>
      </c>
      <c r="F1816" s="1" t="s">
        <v>28</v>
      </c>
      <c r="G1816" s="1" t="s">
        <v>53</v>
      </c>
      <c r="H1816" s="1" t="s">
        <v>54</v>
      </c>
      <c r="I1816" s="1" t="s">
        <v>121</v>
      </c>
      <c r="J1816" s="1">
        <v>3</v>
      </c>
      <c r="K1816" s="3">
        <v>4879.76</v>
      </c>
      <c r="L1816" s="1">
        <v>10</v>
      </c>
      <c r="M1816" s="1" t="s">
        <v>36</v>
      </c>
      <c r="N1816" s="10" t="s">
        <v>31</v>
      </c>
      <c r="Q1816"/>
    </row>
    <row r="1817" spans="1:17" x14ac:dyDescent="0.25">
      <c r="A1817" s="9" t="s">
        <v>2827</v>
      </c>
      <c r="B1817" s="2">
        <v>45071</v>
      </c>
      <c r="C1817" s="1" t="s">
        <v>793</v>
      </c>
      <c r="D1817" s="1" t="s">
        <v>16</v>
      </c>
      <c r="E1817" s="1" t="s">
        <v>34</v>
      </c>
      <c r="F1817" s="1" t="s">
        <v>18</v>
      </c>
      <c r="G1817" s="1" t="s">
        <v>19</v>
      </c>
      <c r="H1817" s="1" t="s">
        <v>29</v>
      </c>
      <c r="I1817" s="1" t="s">
        <v>162</v>
      </c>
      <c r="J1817" s="1">
        <v>7</v>
      </c>
      <c r="K1817" s="3">
        <v>23082.95</v>
      </c>
      <c r="L1817" s="1">
        <v>10</v>
      </c>
      <c r="M1817" s="1" t="s">
        <v>63</v>
      </c>
      <c r="N1817" s="10" t="s">
        <v>23</v>
      </c>
      <c r="Q1817"/>
    </row>
    <row r="1818" spans="1:17" x14ac:dyDescent="0.25">
      <c r="A1818" s="9" t="s">
        <v>2828</v>
      </c>
      <c r="B1818" s="2">
        <v>45113</v>
      </c>
      <c r="C1818" s="1" t="s">
        <v>243</v>
      </c>
      <c r="D1818" s="1" t="s">
        <v>52</v>
      </c>
      <c r="E1818" s="1" t="s">
        <v>34</v>
      </c>
      <c r="F1818" s="1" t="s">
        <v>99</v>
      </c>
      <c r="G1818" s="1" t="s">
        <v>42</v>
      </c>
      <c r="H1818" s="1" t="s">
        <v>43</v>
      </c>
      <c r="I1818" s="1" t="s">
        <v>336</v>
      </c>
      <c r="J1818" s="1">
        <v>4</v>
      </c>
      <c r="K1818" s="3">
        <v>10204.299999999999</v>
      </c>
      <c r="L1818" s="1">
        <v>0</v>
      </c>
      <c r="M1818" s="1" t="s">
        <v>22</v>
      </c>
      <c r="N1818" s="10" t="s">
        <v>45</v>
      </c>
      <c r="Q1818"/>
    </row>
    <row r="1819" spans="1:17" x14ac:dyDescent="0.25">
      <c r="A1819" s="9" t="s">
        <v>2829</v>
      </c>
      <c r="B1819" s="2">
        <v>44985</v>
      </c>
      <c r="C1819" s="1" t="s">
        <v>1218</v>
      </c>
      <c r="D1819" s="1" t="s">
        <v>26</v>
      </c>
      <c r="E1819" s="1" t="s">
        <v>27</v>
      </c>
      <c r="F1819" s="1" t="s">
        <v>60</v>
      </c>
      <c r="G1819" s="1" t="s">
        <v>53</v>
      </c>
      <c r="H1819" s="1" t="s">
        <v>54</v>
      </c>
      <c r="I1819" s="1" t="s">
        <v>608</v>
      </c>
      <c r="J1819" s="1">
        <v>4</v>
      </c>
      <c r="K1819" s="3">
        <v>965.74</v>
      </c>
      <c r="L1819" s="1">
        <v>0</v>
      </c>
      <c r="M1819" s="1" t="s">
        <v>69</v>
      </c>
      <c r="N1819" s="10" t="s">
        <v>74</v>
      </c>
      <c r="Q1819"/>
    </row>
    <row r="1820" spans="1:17" x14ac:dyDescent="0.25">
      <c r="A1820" s="9" t="s">
        <v>2830</v>
      </c>
      <c r="B1820" s="2">
        <v>45246</v>
      </c>
      <c r="C1820" s="1" t="s">
        <v>1398</v>
      </c>
      <c r="D1820" s="1" t="s">
        <v>81</v>
      </c>
      <c r="E1820" s="1" t="s">
        <v>17</v>
      </c>
      <c r="F1820" s="1" t="s">
        <v>82</v>
      </c>
      <c r="G1820" s="1" t="s">
        <v>19</v>
      </c>
      <c r="H1820" s="1" t="s">
        <v>29</v>
      </c>
      <c r="I1820" s="1" t="s">
        <v>830</v>
      </c>
      <c r="J1820" s="1">
        <v>9</v>
      </c>
      <c r="K1820" s="3">
        <v>41451.21</v>
      </c>
      <c r="L1820" s="1" t="s">
        <v>110</v>
      </c>
      <c r="M1820" s="1" t="s">
        <v>22</v>
      </c>
      <c r="N1820" s="10" t="s">
        <v>37</v>
      </c>
      <c r="Q1820"/>
    </row>
    <row r="1821" spans="1:17" x14ac:dyDescent="0.25">
      <c r="A1821" s="9" t="s">
        <v>2831</v>
      </c>
      <c r="B1821" s="2">
        <v>45400</v>
      </c>
      <c r="C1821" s="1" t="s">
        <v>2486</v>
      </c>
      <c r="D1821" s="1" t="s">
        <v>26</v>
      </c>
      <c r="E1821" s="1" t="s">
        <v>17</v>
      </c>
      <c r="F1821" s="1" t="s">
        <v>99</v>
      </c>
      <c r="G1821" s="1" t="s">
        <v>42</v>
      </c>
      <c r="H1821" s="1" t="s">
        <v>43</v>
      </c>
      <c r="I1821" s="1" t="s">
        <v>154</v>
      </c>
      <c r="J1821" s="1">
        <v>3</v>
      </c>
      <c r="K1821" s="3">
        <v>10118.200000000001</v>
      </c>
      <c r="L1821" s="1">
        <v>10</v>
      </c>
      <c r="M1821" s="1" t="s">
        <v>63</v>
      </c>
      <c r="N1821" s="10" t="s">
        <v>37</v>
      </c>
      <c r="Q1821"/>
    </row>
    <row r="1822" spans="1:17" x14ac:dyDescent="0.25">
      <c r="A1822" s="9" t="s">
        <v>2832</v>
      </c>
      <c r="B1822" s="2">
        <v>45519</v>
      </c>
      <c r="C1822" s="1" t="s">
        <v>200</v>
      </c>
      <c r="D1822" s="1" t="s">
        <v>87</v>
      </c>
      <c r="E1822" s="1" t="s">
        <v>59</v>
      </c>
      <c r="F1822" s="1" t="s">
        <v>88</v>
      </c>
      <c r="G1822" s="1" t="s">
        <v>42</v>
      </c>
      <c r="H1822" s="1" t="s">
        <v>61</v>
      </c>
      <c r="I1822" s="1" t="s">
        <v>863</v>
      </c>
      <c r="J1822" s="1">
        <v>4</v>
      </c>
      <c r="K1822" s="3">
        <v>9824.36</v>
      </c>
      <c r="L1822" s="1">
        <v>10</v>
      </c>
      <c r="M1822" s="1" t="s">
        <v>69</v>
      </c>
      <c r="N1822" s="10" t="s">
        <v>31</v>
      </c>
      <c r="Q1822"/>
    </row>
    <row r="1823" spans="1:17" x14ac:dyDescent="0.25">
      <c r="A1823" s="9" t="s">
        <v>2833</v>
      </c>
      <c r="B1823" s="2">
        <v>45211</v>
      </c>
      <c r="C1823" s="1" t="s">
        <v>1167</v>
      </c>
      <c r="D1823" s="1" t="s">
        <v>40</v>
      </c>
      <c r="E1823" s="1" t="s">
        <v>34</v>
      </c>
      <c r="F1823" s="1" t="s">
        <v>88</v>
      </c>
      <c r="G1823" s="1" t="s">
        <v>19</v>
      </c>
      <c r="H1823" s="1" t="s">
        <v>29</v>
      </c>
      <c r="I1823" s="1" t="s">
        <v>141</v>
      </c>
      <c r="J1823" s="1">
        <v>10</v>
      </c>
      <c r="K1823" s="3">
        <v>40939.279999999999</v>
      </c>
      <c r="L1823" s="1">
        <v>10</v>
      </c>
      <c r="M1823" s="1" t="s">
        <v>56</v>
      </c>
      <c r="N1823" s="10" t="s">
        <v>37</v>
      </c>
      <c r="Q1823"/>
    </row>
    <row r="1824" spans="1:17" x14ac:dyDescent="0.25">
      <c r="A1824" s="9" t="s">
        <v>2834</v>
      </c>
      <c r="B1824" s="2">
        <v>45313</v>
      </c>
      <c r="C1824" s="1" t="s">
        <v>1023</v>
      </c>
      <c r="D1824" s="1" t="s">
        <v>26</v>
      </c>
      <c r="E1824" s="1" t="s">
        <v>41</v>
      </c>
      <c r="F1824" s="1" t="s">
        <v>49</v>
      </c>
      <c r="G1824" s="1" t="s">
        <v>19</v>
      </c>
      <c r="H1824" s="1" t="s">
        <v>29</v>
      </c>
      <c r="I1824" s="1" t="s">
        <v>515</v>
      </c>
      <c r="J1824" s="1">
        <v>6</v>
      </c>
      <c r="K1824" s="3">
        <v>12832.99</v>
      </c>
      <c r="L1824" s="1" t="s">
        <v>110</v>
      </c>
      <c r="M1824" s="1" t="s">
        <v>56</v>
      </c>
      <c r="N1824" s="10" t="s">
        <v>23</v>
      </c>
      <c r="Q1824"/>
    </row>
    <row r="1825" spans="1:17" x14ac:dyDescent="0.25">
      <c r="A1825" s="9" t="s">
        <v>2835</v>
      </c>
      <c r="B1825" s="2">
        <v>45379</v>
      </c>
      <c r="C1825" s="1" t="s">
        <v>538</v>
      </c>
      <c r="D1825" s="1" t="s">
        <v>147</v>
      </c>
      <c r="E1825" s="1" t="s">
        <v>27</v>
      </c>
      <c r="F1825" s="1" t="s">
        <v>28</v>
      </c>
      <c r="G1825" s="1" t="s">
        <v>42</v>
      </c>
      <c r="H1825" s="1" t="s">
        <v>43</v>
      </c>
      <c r="I1825" s="1" t="s">
        <v>494</v>
      </c>
      <c r="J1825" s="1">
        <v>7</v>
      </c>
      <c r="K1825" s="3">
        <v>20906</v>
      </c>
      <c r="L1825" s="1">
        <v>15</v>
      </c>
      <c r="M1825" s="1" t="s">
        <v>22</v>
      </c>
      <c r="N1825" s="10" t="s">
        <v>64</v>
      </c>
      <c r="Q1825"/>
    </row>
    <row r="1826" spans="1:17" x14ac:dyDescent="0.25">
      <c r="A1826" s="9" t="s">
        <v>2836</v>
      </c>
      <c r="B1826" s="2">
        <v>45175</v>
      </c>
      <c r="C1826" s="1" t="s">
        <v>1843</v>
      </c>
      <c r="D1826" s="1" t="s">
        <v>67</v>
      </c>
      <c r="E1826" s="1" t="s">
        <v>34</v>
      </c>
      <c r="F1826" s="1" t="s">
        <v>18</v>
      </c>
      <c r="G1826" s="1" t="s">
        <v>19</v>
      </c>
      <c r="H1826" s="1" t="s">
        <v>29</v>
      </c>
      <c r="I1826" s="1" t="s">
        <v>148</v>
      </c>
      <c r="J1826" s="1">
        <v>5</v>
      </c>
      <c r="K1826" s="3">
        <v>20348.509999999998</v>
      </c>
      <c r="L1826" s="1" t="s">
        <v>110</v>
      </c>
      <c r="M1826" s="1" t="s">
        <v>63</v>
      </c>
      <c r="N1826" s="10" t="s">
        <v>74</v>
      </c>
      <c r="Q1826"/>
    </row>
    <row r="1827" spans="1:17" x14ac:dyDescent="0.25">
      <c r="A1827" s="9" t="s">
        <v>2837</v>
      </c>
      <c r="B1827" s="2">
        <v>45045</v>
      </c>
      <c r="C1827" s="1" t="s">
        <v>2838</v>
      </c>
      <c r="D1827" s="1" t="s">
        <v>87</v>
      </c>
      <c r="E1827" s="1" t="s">
        <v>59</v>
      </c>
      <c r="F1827" s="1" t="s">
        <v>18</v>
      </c>
      <c r="G1827" s="1" t="s">
        <v>83</v>
      </c>
      <c r="H1827" s="1" t="s">
        <v>43</v>
      </c>
      <c r="I1827" s="1" t="s">
        <v>652</v>
      </c>
      <c r="J1827" s="1">
        <v>3</v>
      </c>
      <c r="K1827" s="3">
        <v>10083.290000000001</v>
      </c>
      <c r="L1827" s="1" t="s">
        <v>110</v>
      </c>
      <c r="M1827" s="1" t="s">
        <v>93</v>
      </c>
      <c r="N1827" s="10" t="s">
        <v>37</v>
      </c>
      <c r="Q1827"/>
    </row>
    <row r="1828" spans="1:17" x14ac:dyDescent="0.25">
      <c r="A1828" s="9" t="s">
        <v>2839</v>
      </c>
      <c r="B1828" s="2">
        <v>45049</v>
      </c>
      <c r="C1828" s="1" t="s">
        <v>580</v>
      </c>
      <c r="D1828" s="1" t="s">
        <v>16</v>
      </c>
      <c r="E1828" s="1" t="s">
        <v>72</v>
      </c>
      <c r="F1828" s="1" t="s">
        <v>28</v>
      </c>
      <c r="G1828" s="1" t="s">
        <v>83</v>
      </c>
      <c r="H1828" s="1" t="s">
        <v>43</v>
      </c>
      <c r="I1828" s="1" t="s">
        <v>491</v>
      </c>
      <c r="J1828" s="1">
        <v>2</v>
      </c>
      <c r="K1828" s="3">
        <v>2861.4</v>
      </c>
      <c r="L1828" s="1">
        <v>10</v>
      </c>
      <c r="M1828" s="1" t="s">
        <v>36</v>
      </c>
      <c r="N1828" s="10" t="s">
        <v>74</v>
      </c>
      <c r="Q1828"/>
    </row>
    <row r="1829" spans="1:17" x14ac:dyDescent="0.25">
      <c r="A1829" s="9" t="s">
        <v>2840</v>
      </c>
      <c r="B1829" s="2">
        <v>45207</v>
      </c>
      <c r="C1829" s="1" t="s">
        <v>2236</v>
      </c>
      <c r="D1829" s="1" t="s">
        <v>52</v>
      </c>
      <c r="E1829" s="1" t="s">
        <v>41</v>
      </c>
      <c r="F1829" s="1" t="s">
        <v>88</v>
      </c>
      <c r="G1829" s="1" t="s">
        <v>42</v>
      </c>
      <c r="H1829" s="1" t="s">
        <v>43</v>
      </c>
      <c r="I1829" s="1" t="s">
        <v>488</v>
      </c>
      <c r="J1829" s="1">
        <v>10</v>
      </c>
      <c r="K1829" s="3">
        <v>39715.64</v>
      </c>
      <c r="L1829" s="1">
        <v>10</v>
      </c>
      <c r="M1829" s="1" t="s">
        <v>36</v>
      </c>
      <c r="N1829" s="10" t="s">
        <v>31</v>
      </c>
      <c r="Q1829"/>
    </row>
    <row r="1830" spans="1:17" x14ac:dyDescent="0.25">
      <c r="A1830" s="9" t="s">
        <v>2841</v>
      </c>
      <c r="B1830" s="2">
        <v>45393</v>
      </c>
      <c r="C1830" s="1" t="s">
        <v>2480</v>
      </c>
      <c r="D1830" s="1" t="s">
        <v>33</v>
      </c>
      <c r="E1830" s="1" t="s">
        <v>72</v>
      </c>
      <c r="F1830" s="1" t="s">
        <v>18</v>
      </c>
      <c r="G1830" s="1" t="s">
        <v>83</v>
      </c>
      <c r="H1830" s="1" t="s">
        <v>43</v>
      </c>
      <c r="I1830" s="1" t="s">
        <v>288</v>
      </c>
      <c r="J1830" s="1">
        <v>9</v>
      </c>
      <c r="K1830" s="3">
        <v>43627.02</v>
      </c>
      <c r="L1830" s="1">
        <v>0</v>
      </c>
      <c r="M1830" s="1" t="s">
        <v>69</v>
      </c>
      <c r="N1830" s="10" t="s">
        <v>45</v>
      </c>
      <c r="Q1830"/>
    </row>
    <row r="1831" spans="1:17" x14ac:dyDescent="0.25">
      <c r="A1831" s="9" t="s">
        <v>2842</v>
      </c>
      <c r="B1831" s="2">
        <v>45468</v>
      </c>
      <c r="C1831" s="1" t="s">
        <v>1624</v>
      </c>
      <c r="D1831" s="1" t="s">
        <v>52</v>
      </c>
      <c r="E1831" s="1" t="s">
        <v>41</v>
      </c>
      <c r="F1831" s="1" t="s">
        <v>82</v>
      </c>
      <c r="G1831" s="1" t="s">
        <v>19</v>
      </c>
      <c r="H1831" s="1" t="s">
        <v>29</v>
      </c>
      <c r="I1831" s="1" t="s">
        <v>320</v>
      </c>
      <c r="J1831" s="1">
        <v>1</v>
      </c>
      <c r="K1831" s="3">
        <v>4670.0600000000004</v>
      </c>
      <c r="L1831" s="1">
        <v>5</v>
      </c>
      <c r="M1831" s="1" t="s">
        <v>22</v>
      </c>
      <c r="N1831" s="10" t="s">
        <v>64</v>
      </c>
      <c r="Q1831"/>
    </row>
    <row r="1832" spans="1:17" x14ac:dyDescent="0.25">
      <c r="A1832" s="9" t="s">
        <v>2843</v>
      </c>
      <c r="B1832" s="2">
        <v>44933</v>
      </c>
      <c r="C1832" s="1" t="s">
        <v>526</v>
      </c>
      <c r="D1832" s="1" t="s">
        <v>26</v>
      </c>
      <c r="E1832" s="1" t="s">
        <v>17</v>
      </c>
      <c r="F1832" s="1" t="s">
        <v>99</v>
      </c>
      <c r="G1832" s="1" t="s">
        <v>83</v>
      </c>
      <c r="H1832" s="1" t="s">
        <v>43</v>
      </c>
      <c r="I1832" s="1" t="s">
        <v>44</v>
      </c>
      <c r="J1832" s="1">
        <v>8</v>
      </c>
      <c r="K1832" s="3">
        <v>39251.42</v>
      </c>
      <c r="L1832" s="1">
        <v>20</v>
      </c>
      <c r="M1832" s="1" t="s">
        <v>22</v>
      </c>
      <c r="N1832" s="10" t="s">
        <v>64</v>
      </c>
      <c r="Q1832"/>
    </row>
    <row r="1833" spans="1:17" x14ac:dyDescent="0.25">
      <c r="A1833" s="9" t="s">
        <v>2844</v>
      </c>
      <c r="B1833" s="2">
        <v>45532</v>
      </c>
      <c r="C1833" s="1" t="s">
        <v>1286</v>
      </c>
      <c r="D1833" s="1" t="s">
        <v>33</v>
      </c>
      <c r="E1833" s="1" t="s">
        <v>72</v>
      </c>
      <c r="F1833" s="1" t="s">
        <v>88</v>
      </c>
      <c r="G1833" s="1" t="s">
        <v>19</v>
      </c>
      <c r="H1833" s="1" t="s">
        <v>20</v>
      </c>
      <c r="I1833" s="1" t="s">
        <v>138</v>
      </c>
      <c r="J1833" s="1">
        <v>4</v>
      </c>
      <c r="K1833" s="3">
        <v>1205.7</v>
      </c>
      <c r="L1833" s="1">
        <v>5</v>
      </c>
      <c r="M1833" s="1" t="s">
        <v>36</v>
      </c>
      <c r="N1833" s="10" t="s">
        <v>37</v>
      </c>
      <c r="Q1833"/>
    </row>
    <row r="1834" spans="1:17" x14ac:dyDescent="0.25">
      <c r="A1834" s="9" t="s">
        <v>2845</v>
      </c>
      <c r="B1834" s="2">
        <v>45194</v>
      </c>
      <c r="C1834" s="1" t="s">
        <v>1046</v>
      </c>
      <c r="D1834" s="1" t="s">
        <v>33</v>
      </c>
      <c r="E1834" s="1" t="s">
        <v>72</v>
      </c>
      <c r="F1834" s="1" t="s">
        <v>49</v>
      </c>
      <c r="G1834" s="1" t="s">
        <v>42</v>
      </c>
      <c r="H1834" s="1" t="s">
        <v>61</v>
      </c>
      <c r="I1834" s="1" t="s">
        <v>317</v>
      </c>
      <c r="J1834" s="1">
        <v>6</v>
      </c>
      <c r="K1834" s="3">
        <v>6967.89</v>
      </c>
      <c r="L1834" s="1">
        <v>15</v>
      </c>
      <c r="M1834" s="1" t="s">
        <v>22</v>
      </c>
      <c r="N1834" s="10" t="s">
        <v>37</v>
      </c>
      <c r="Q1834"/>
    </row>
    <row r="1835" spans="1:17" x14ac:dyDescent="0.25">
      <c r="A1835" s="9" t="s">
        <v>2846</v>
      </c>
      <c r="B1835" s="2">
        <v>45244</v>
      </c>
      <c r="C1835" s="1" t="s">
        <v>629</v>
      </c>
      <c r="D1835" s="1" t="s">
        <v>48</v>
      </c>
      <c r="E1835" s="1" t="s">
        <v>59</v>
      </c>
      <c r="F1835" s="1" t="s">
        <v>60</v>
      </c>
      <c r="G1835" s="1" t="s">
        <v>42</v>
      </c>
      <c r="H1835" s="1" t="s">
        <v>43</v>
      </c>
      <c r="I1835" s="1" t="s">
        <v>182</v>
      </c>
      <c r="J1835" s="1">
        <v>5</v>
      </c>
      <c r="K1835" s="3">
        <v>4106.2299999999996</v>
      </c>
      <c r="L1835" s="1" t="s">
        <v>110</v>
      </c>
      <c r="M1835" s="1" t="s">
        <v>36</v>
      </c>
      <c r="N1835" s="10" t="s">
        <v>74</v>
      </c>
      <c r="Q1835"/>
    </row>
    <row r="1836" spans="1:17" x14ac:dyDescent="0.25">
      <c r="A1836" s="9" t="s">
        <v>2847</v>
      </c>
      <c r="B1836" s="2">
        <v>44985</v>
      </c>
      <c r="C1836" s="1" t="s">
        <v>364</v>
      </c>
      <c r="D1836" s="1" t="s">
        <v>67</v>
      </c>
      <c r="E1836" s="1" t="s">
        <v>72</v>
      </c>
      <c r="F1836" s="1" t="s">
        <v>99</v>
      </c>
      <c r="G1836" s="1" t="s">
        <v>42</v>
      </c>
      <c r="H1836" s="1" t="s">
        <v>43</v>
      </c>
      <c r="I1836" s="1" t="s">
        <v>84</v>
      </c>
      <c r="J1836" s="1">
        <v>5</v>
      </c>
      <c r="K1836" s="3">
        <v>1484.97</v>
      </c>
      <c r="L1836" s="1">
        <v>0</v>
      </c>
      <c r="M1836" s="1" t="s">
        <v>69</v>
      </c>
      <c r="N1836" s="10" t="s">
        <v>23</v>
      </c>
      <c r="Q1836"/>
    </row>
    <row r="1837" spans="1:17" x14ac:dyDescent="0.25">
      <c r="A1837" s="9" t="s">
        <v>2848</v>
      </c>
      <c r="B1837" s="2">
        <v>45018</v>
      </c>
      <c r="C1837" s="1" t="s">
        <v>2717</v>
      </c>
      <c r="D1837" s="1" t="s">
        <v>87</v>
      </c>
      <c r="E1837" s="1" t="s">
        <v>17</v>
      </c>
      <c r="F1837" s="1" t="s">
        <v>49</v>
      </c>
      <c r="G1837" s="1" t="s">
        <v>53</v>
      </c>
      <c r="H1837" s="1" t="s">
        <v>54</v>
      </c>
      <c r="I1837" s="1" t="s">
        <v>207</v>
      </c>
      <c r="J1837" s="1">
        <v>1</v>
      </c>
      <c r="K1837" s="3">
        <v>2334.13</v>
      </c>
      <c r="L1837" s="1">
        <v>15</v>
      </c>
      <c r="M1837" s="1" t="s">
        <v>69</v>
      </c>
      <c r="N1837" s="10" t="s">
        <v>31</v>
      </c>
      <c r="Q1837"/>
    </row>
    <row r="1838" spans="1:17" x14ac:dyDescent="0.25">
      <c r="A1838" s="9" t="s">
        <v>2849</v>
      </c>
      <c r="B1838" s="2">
        <v>45031</v>
      </c>
      <c r="C1838" s="1" t="s">
        <v>716</v>
      </c>
      <c r="D1838" s="1" t="s">
        <v>147</v>
      </c>
      <c r="E1838" s="1" t="s">
        <v>59</v>
      </c>
      <c r="F1838" s="1" t="s">
        <v>82</v>
      </c>
      <c r="G1838" s="1" t="s">
        <v>53</v>
      </c>
      <c r="H1838" s="1" t="s">
        <v>54</v>
      </c>
      <c r="I1838" s="1" t="s">
        <v>639</v>
      </c>
      <c r="J1838" s="1">
        <v>4</v>
      </c>
      <c r="K1838" s="3">
        <v>4646.21</v>
      </c>
      <c r="L1838" s="1">
        <v>0</v>
      </c>
      <c r="M1838" s="1" t="s">
        <v>36</v>
      </c>
      <c r="N1838" s="10" t="s">
        <v>64</v>
      </c>
      <c r="Q1838"/>
    </row>
    <row r="1839" spans="1:17" x14ac:dyDescent="0.25">
      <c r="A1839" s="9" t="s">
        <v>2850</v>
      </c>
      <c r="B1839" s="2">
        <v>45070</v>
      </c>
      <c r="C1839" s="1" t="s">
        <v>858</v>
      </c>
      <c r="D1839" s="1" t="s">
        <v>87</v>
      </c>
      <c r="E1839" s="1" t="s">
        <v>59</v>
      </c>
      <c r="F1839" s="1" t="s">
        <v>82</v>
      </c>
      <c r="G1839" s="1" t="s">
        <v>19</v>
      </c>
      <c r="H1839" s="1" t="s">
        <v>20</v>
      </c>
      <c r="I1839" s="1" t="s">
        <v>801</v>
      </c>
      <c r="J1839" s="1">
        <v>2</v>
      </c>
      <c r="K1839" s="3">
        <v>6026.54</v>
      </c>
      <c r="L1839" s="1" t="s">
        <v>110</v>
      </c>
      <c r="M1839" s="1" t="s">
        <v>36</v>
      </c>
      <c r="N1839" s="10" t="s">
        <v>37</v>
      </c>
      <c r="Q1839"/>
    </row>
    <row r="1840" spans="1:17" x14ac:dyDescent="0.25">
      <c r="A1840" s="9" t="s">
        <v>2851</v>
      </c>
      <c r="B1840" s="2">
        <v>45279</v>
      </c>
      <c r="C1840" s="1" t="s">
        <v>433</v>
      </c>
      <c r="D1840" s="1" t="s">
        <v>81</v>
      </c>
      <c r="E1840" s="1" t="s">
        <v>72</v>
      </c>
      <c r="F1840" s="1" t="s">
        <v>18</v>
      </c>
      <c r="G1840" s="1" t="s">
        <v>42</v>
      </c>
      <c r="H1840" s="1" t="s">
        <v>61</v>
      </c>
      <c r="I1840" s="1" t="s">
        <v>357</v>
      </c>
      <c r="J1840" s="1">
        <v>3</v>
      </c>
      <c r="K1840" s="3">
        <v>6536.33</v>
      </c>
      <c r="L1840" s="1">
        <v>15</v>
      </c>
      <c r="M1840" s="1" t="s">
        <v>93</v>
      </c>
      <c r="N1840" s="10" t="s">
        <v>23</v>
      </c>
      <c r="Q1840"/>
    </row>
    <row r="1841" spans="1:17" x14ac:dyDescent="0.25">
      <c r="A1841" s="9" t="s">
        <v>2852</v>
      </c>
      <c r="B1841" s="2">
        <v>45281</v>
      </c>
      <c r="C1841" s="1" t="s">
        <v>727</v>
      </c>
      <c r="D1841" s="1" t="s">
        <v>147</v>
      </c>
      <c r="E1841" s="1" t="s">
        <v>27</v>
      </c>
      <c r="F1841" s="1" t="s">
        <v>99</v>
      </c>
      <c r="G1841" s="1" t="s">
        <v>42</v>
      </c>
      <c r="H1841" s="1" t="s">
        <v>61</v>
      </c>
      <c r="I1841" s="1" t="s">
        <v>632</v>
      </c>
      <c r="J1841" s="1">
        <v>8</v>
      </c>
      <c r="K1841" s="3">
        <v>24302.36</v>
      </c>
      <c r="L1841" s="1">
        <v>15</v>
      </c>
      <c r="M1841" s="1" t="s">
        <v>63</v>
      </c>
      <c r="N1841" s="10" t="s">
        <v>45</v>
      </c>
      <c r="Q1841"/>
    </row>
    <row r="1842" spans="1:17" x14ac:dyDescent="0.25">
      <c r="A1842" s="9" t="s">
        <v>2853</v>
      </c>
      <c r="B1842" s="2">
        <v>45365</v>
      </c>
      <c r="C1842" s="1" t="s">
        <v>1017</v>
      </c>
      <c r="D1842" s="1" t="s">
        <v>71</v>
      </c>
      <c r="E1842" s="1" t="s">
        <v>72</v>
      </c>
      <c r="F1842" s="1" t="s">
        <v>82</v>
      </c>
      <c r="G1842" s="1" t="s">
        <v>53</v>
      </c>
      <c r="H1842" s="1" t="s">
        <v>54</v>
      </c>
      <c r="I1842" s="1" t="s">
        <v>639</v>
      </c>
      <c r="J1842" s="1">
        <v>3</v>
      </c>
      <c r="K1842" s="3">
        <v>12195.74</v>
      </c>
      <c r="L1842" s="1">
        <v>15</v>
      </c>
      <c r="M1842" s="1" t="s">
        <v>22</v>
      </c>
      <c r="N1842" s="10" t="s">
        <v>74</v>
      </c>
      <c r="Q1842"/>
    </row>
    <row r="1843" spans="1:17" x14ac:dyDescent="0.25">
      <c r="A1843" s="9" t="s">
        <v>2854</v>
      </c>
      <c r="B1843" s="2">
        <v>45398</v>
      </c>
      <c r="C1843" s="1" t="s">
        <v>2855</v>
      </c>
      <c r="D1843" s="1" t="s">
        <v>52</v>
      </c>
      <c r="E1843" s="1" t="s">
        <v>59</v>
      </c>
      <c r="F1843" s="1" t="s">
        <v>99</v>
      </c>
      <c r="G1843" s="1" t="s">
        <v>42</v>
      </c>
      <c r="H1843" s="1" t="s">
        <v>43</v>
      </c>
      <c r="I1843" s="1" t="s">
        <v>157</v>
      </c>
      <c r="J1843" s="1">
        <v>4</v>
      </c>
      <c r="K1843" s="3">
        <v>16939.57</v>
      </c>
      <c r="L1843" s="1">
        <v>15</v>
      </c>
      <c r="M1843" s="1" t="s">
        <v>56</v>
      </c>
      <c r="N1843" s="10" t="s">
        <v>45</v>
      </c>
      <c r="Q1843"/>
    </row>
    <row r="1844" spans="1:17" x14ac:dyDescent="0.25">
      <c r="A1844" s="9" t="s">
        <v>2856</v>
      </c>
      <c r="B1844" s="2">
        <v>45564</v>
      </c>
      <c r="C1844" s="1" t="s">
        <v>1149</v>
      </c>
      <c r="D1844" s="1" t="s">
        <v>147</v>
      </c>
      <c r="E1844" s="1" t="s">
        <v>27</v>
      </c>
      <c r="F1844" s="1" t="s">
        <v>99</v>
      </c>
      <c r="G1844" s="1" t="s">
        <v>42</v>
      </c>
      <c r="H1844" s="1" t="s">
        <v>43</v>
      </c>
      <c r="I1844" s="1" t="s">
        <v>50</v>
      </c>
      <c r="J1844" s="1">
        <v>8</v>
      </c>
      <c r="K1844" s="3">
        <v>36062.22</v>
      </c>
      <c r="L1844" s="1">
        <v>20</v>
      </c>
      <c r="M1844" s="1" t="s">
        <v>56</v>
      </c>
      <c r="N1844" s="10" t="s">
        <v>23</v>
      </c>
      <c r="Q1844"/>
    </row>
    <row r="1845" spans="1:17" x14ac:dyDescent="0.25">
      <c r="A1845" s="9" t="s">
        <v>2857</v>
      </c>
      <c r="B1845" s="2">
        <v>45050</v>
      </c>
      <c r="C1845" s="1" t="s">
        <v>377</v>
      </c>
      <c r="D1845" s="1" t="s">
        <v>81</v>
      </c>
      <c r="E1845" s="1" t="s">
        <v>59</v>
      </c>
      <c r="F1845" s="1" t="s">
        <v>28</v>
      </c>
      <c r="G1845" s="1" t="s">
        <v>19</v>
      </c>
      <c r="H1845" s="1" t="s">
        <v>20</v>
      </c>
      <c r="I1845" s="1" t="s">
        <v>563</v>
      </c>
      <c r="J1845" s="1">
        <v>4</v>
      </c>
      <c r="K1845" s="3">
        <v>502.54</v>
      </c>
      <c r="L1845" s="1">
        <v>10</v>
      </c>
      <c r="M1845" s="1" t="s">
        <v>22</v>
      </c>
      <c r="N1845" s="10" t="s">
        <v>37</v>
      </c>
      <c r="Q1845"/>
    </row>
    <row r="1846" spans="1:17" x14ac:dyDescent="0.25">
      <c r="A1846" s="9" t="s">
        <v>2858</v>
      </c>
      <c r="B1846" s="2">
        <v>45149</v>
      </c>
      <c r="C1846" s="1" t="s">
        <v>2749</v>
      </c>
      <c r="D1846" s="1" t="s">
        <v>52</v>
      </c>
      <c r="E1846" s="1" t="s">
        <v>27</v>
      </c>
      <c r="F1846" s="1" t="s">
        <v>82</v>
      </c>
      <c r="G1846" s="1" t="s">
        <v>19</v>
      </c>
      <c r="H1846" s="1" t="s">
        <v>29</v>
      </c>
      <c r="I1846" s="1" t="s">
        <v>135</v>
      </c>
      <c r="J1846" s="1">
        <v>5</v>
      </c>
      <c r="K1846" s="3">
        <v>1851.78</v>
      </c>
      <c r="L1846" s="1" t="s">
        <v>110</v>
      </c>
      <c r="M1846" s="1" t="s">
        <v>69</v>
      </c>
      <c r="N1846" s="10" t="s">
        <v>64</v>
      </c>
      <c r="Q1846"/>
    </row>
    <row r="1847" spans="1:17" x14ac:dyDescent="0.25">
      <c r="A1847" s="9" t="s">
        <v>2859</v>
      </c>
      <c r="B1847" s="2">
        <v>45542</v>
      </c>
      <c r="C1847" s="1" t="s">
        <v>924</v>
      </c>
      <c r="D1847" s="1" t="s">
        <v>33</v>
      </c>
      <c r="E1847" s="1" t="s">
        <v>41</v>
      </c>
      <c r="F1847" s="1" t="s">
        <v>49</v>
      </c>
      <c r="G1847" s="1" t="s">
        <v>42</v>
      </c>
      <c r="H1847" s="1" t="s">
        <v>61</v>
      </c>
      <c r="I1847" s="1" t="s">
        <v>250</v>
      </c>
      <c r="J1847" s="1">
        <v>5</v>
      </c>
      <c r="K1847" s="3">
        <v>15306.61</v>
      </c>
      <c r="L1847" s="1" t="s">
        <v>110</v>
      </c>
      <c r="M1847" s="1" t="s">
        <v>22</v>
      </c>
      <c r="N1847" s="10" t="s">
        <v>31</v>
      </c>
      <c r="Q1847"/>
    </row>
    <row r="1848" spans="1:17" x14ac:dyDescent="0.25">
      <c r="A1848" s="9" t="s">
        <v>2860</v>
      </c>
      <c r="B1848" s="2">
        <v>45041</v>
      </c>
      <c r="C1848" s="1" t="s">
        <v>2678</v>
      </c>
      <c r="D1848" s="1" t="s">
        <v>81</v>
      </c>
      <c r="E1848" s="1" t="s">
        <v>59</v>
      </c>
      <c r="F1848" s="1" t="s">
        <v>28</v>
      </c>
      <c r="G1848" s="1" t="s">
        <v>19</v>
      </c>
      <c r="H1848" s="1" t="s">
        <v>29</v>
      </c>
      <c r="I1848" s="1" t="s">
        <v>693</v>
      </c>
      <c r="J1848" s="1">
        <v>7</v>
      </c>
      <c r="K1848" s="3">
        <v>22784.21</v>
      </c>
      <c r="L1848" s="1">
        <v>15</v>
      </c>
      <c r="M1848" s="1" t="s">
        <v>56</v>
      </c>
      <c r="N1848" s="10" t="s">
        <v>31</v>
      </c>
      <c r="Q1848"/>
    </row>
    <row r="1849" spans="1:17" x14ac:dyDescent="0.25">
      <c r="A1849" s="9" t="s">
        <v>2861</v>
      </c>
      <c r="B1849" s="2">
        <v>45404</v>
      </c>
      <c r="C1849" s="1" t="s">
        <v>806</v>
      </c>
      <c r="D1849" s="1" t="s">
        <v>67</v>
      </c>
      <c r="E1849" s="1" t="s">
        <v>34</v>
      </c>
      <c r="F1849" s="1" t="s">
        <v>49</v>
      </c>
      <c r="G1849" s="1" t="s">
        <v>42</v>
      </c>
      <c r="H1849" s="1" t="s">
        <v>61</v>
      </c>
      <c r="I1849" s="1" t="s">
        <v>1096</v>
      </c>
      <c r="J1849" s="1">
        <v>8</v>
      </c>
      <c r="K1849" s="3">
        <v>14301.9</v>
      </c>
      <c r="L1849" s="1">
        <v>5</v>
      </c>
      <c r="M1849" s="1" t="s">
        <v>22</v>
      </c>
      <c r="N1849" s="10" t="s">
        <v>45</v>
      </c>
      <c r="Q1849"/>
    </row>
    <row r="1850" spans="1:17" x14ac:dyDescent="0.25">
      <c r="A1850" s="9" t="s">
        <v>2862</v>
      </c>
      <c r="B1850" s="2">
        <v>45168</v>
      </c>
      <c r="C1850" s="1" t="s">
        <v>2133</v>
      </c>
      <c r="D1850" s="1" t="s">
        <v>26</v>
      </c>
      <c r="E1850" s="1" t="s">
        <v>27</v>
      </c>
      <c r="F1850" s="1" t="s">
        <v>28</v>
      </c>
      <c r="G1850" s="1" t="s">
        <v>19</v>
      </c>
      <c r="H1850" s="1" t="s">
        <v>29</v>
      </c>
      <c r="I1850" s="1" t="s">
        <v>1449</v>
      </c>
      <c r="J1850" s="1">
        <v>8</v>
      </c>
      <c r="K1850" s="3">
        <v>16966.849999999999</v>
      </c>
      <c r="L1850" s="1">
        <v>5</v>
      </c>
      <c r="M1850" s="1" t="s">
        <v>36</v>
      </c>
      <c r="N1850" s="10" t="s">
        <v>74</v>
      </c>
      <c r="Q1850"/>
    </row>
    <row r="1851" spans="1:17" x14ac:dyDescent="0.25">
      <c r="A1851" s="9" t="s">
        <v>2863</v>
      </c>
      <c r="B1851" s="2">
        <v>44951</v>
      </c>
      <c r="C1851" s="1" t="s">
        <v>95</v>
      </c>
      <c r="D1851" s="1" t="s">
        <v>33</v>
      </c>
      <c r="E1851" s="1" t="s">
        <v>34</v>
      </c>
      <c r="F1851" s="1" t="s">
        <v>28</v>
      </c>
      <c r="G1851" s="1" t="s">
        <v>19</v>
      </c>
      <c r="H1851" s="1" t="s">
        <v>29</v>
      </c>
      <c r="I1851" s="1" t="s">
        <v>635</v>
      </c>
      <c r="J1851" s="1">
        <v>9</v>
      </c>
      <c r="K1851" s="3">
        <v>33391.19</v>
      </c>
      <c r="L1851" s="1">
        <v>10</v>
      </c>
      <c r="M1851" s="1" t="s">
        <v>93</v>
      </c>
      <c r="N1851" s="10" t="s">
        <v>45</v>
      </c>
      <c r="Q1851"/>
    </row>
    <row r="1852" spans="1:17" x14ac:dyDescent="0.25">
      <c r="A1852" s="9" t="s">
        <v>2864</v>
      </c>
      <c r="B1852" s="2">
        <v>45470</v>
      </c>
      <c r="C1852" s="1" t="s">
        <v>1479</v>
      </c>
      <c r="D1852" s="1" t="s">
        <v>147</v>
      </c>
      <c r="E1852" s="1" t="s">
        <v>27</v>
      </c>
      <c r="F1852" s="1" t="s">
        <v>88</v>
      </c>
      <c r="G1852" s="1" t="s">
        <v>42</v>
      </c>
      <c r="H1852" s="1" t="s">
        <v>61</v>
      </c>
      <c r="I1852" s="1" t="s">
        <v>402</v>
      </c>
      <c r="J1852" s="1">
        <v>5</v>
      </c>
      <c r="K1852" s="3">
        <v>10337.629999999999</v>
      </c>
      <c r="L1852" s="1">
        <v>20</v>
      </c>
      <c r="M1852" s="1" t="s">
        <v>69</v>
      </c>
      <c r="N1852" s="10" t="s">
        <v>23</v>
      </c>
      <c r="Q1852"/>
    </row>
    <row r="1853" spans="1:17" x14ac:dyDescent="0.25">
      <c r="A1853" s="9" t="s">
        <v>2865</v>
      </c>
      <c r="B1853" s="2">
        <v>45184</v>
      </c>
      <c r="C1853" s="1" t="s">
        <v>2866</v>
      </c>
      <c r="D1853" s="1" t="s">
        <v>16</v>
      </c>
      <c r="E1853" s="1" t="s">
        <v>41</v>
      </c>
      <c r="F1853" s="1" t="s">
        <v>49</v>
      </c>
      <c r="G1853" s="1" t="s">
        <v>53</v>
      </c>
      <c r="H1853" s="1" t="s">
        <v>54</v>
      </c>
      <c r="I1853" s="1" t="s">
        <v>109</v>
      </c>
      <c r="J1853" s="1">
        <v>4</v>
      </c>
      <c r="K1853" s="3">
        <v>3054.78</v>
      </c>
      <c r="L1853" s="1">
        <v>10</v>
      </c>
      <c r="M1853" s="1" t="s">
        <v>56</v>
      </c>
      <c r="N1853" s="10" t="s">
        <v>23</v>
      </c>
      <c r="Q1853"/>
    </row>
    <row r="1854" spans="1:17" x14ac:dyDescent="0.25">
      <c r="A1854" s="9" t="s">
        <v>2867</v>
      </c>
      <c r="B1854" s="2">
        <v>45046</v>
      </c>
      <c r="C1854" s="1" t="s">
        <v>1797</v>
      </c>
      <c r="D1854" s="1" t="s">
        <v>71</v>
      </c>
      <c r="E1854" s="1" t="s">
        <v>27</v>
      </c>
      <c r="F1854" s="1" t="s">
        <v>88</v>
      </c>
      <c r="G1854" s="1" t="s">
        <v>19</v>
      </c>
      <c r="H1854" s="1" t="s">
        <v>29</v>
      </c>
      <c r="I1854" s="1" t="s">
        <v>472</v>
      </c>
      <c r="J1854" s="1">
        <v>1</v>
      </c>
      <c r="K1854" s="3">
        <v>3610.98</v>
      </c>
      <c r="L1854" s="1">
        <v>10</v>
      </c>
      <c r="M1854" s="1" t="s">
        <v>69</v>
      </c>
      <c r="N1854" s="10" t="s">
        <v>74</v>
      </c>
      <c r="Q1854"/>
    </row>
    <row r="1855" spans="1:17" x14ac:dyDescent="0.25">
      <c r="A1855" s="9" t="s">
        <v>2868</v>
      </c>
      <c r="B1855" s="2">
        <v>45112</v>
      </c>
      <c r="C1855" s="1" t="s">
        <v>2124</v>
      </c>
      <c r="D1855" s="1" t="s">
        <v>40</v>
      </c>
      <c r="E1855" s="1" t="s">
        <v>27</v>
      </c>
      <c r="F1855" s="1" t="s">
        <v>49</v>
      </c>
      <c r="G1855" s="1" t="s">
        <v>42</v>
      </c>
      <c r="H1855" s="1" t="s">
        <v>61</v>
      </c>
      <c r="I1855" s="1" t="s">
        <v>204</v>
      </c>
      <c r="J1855" s="1">
        <v>3</v>
      </c>
      <c r="K1855" s="3">
        <v>8358.23</v>
      </c>
      <c r="L1855" s="1">
        <v>15</v>
      </c>
      <c r="M1855" s="1" t="s">
        <v>63</v>
      </c>
      <c r="N1855" s="10" t="s">
        <v>74</v>
      </c>
      <c r="Q1855"/>
    </row>
    <row r="1856" spans="1:17" x14ac:dyDescent="0.25">
      <c r="A1856" s="9" t="s">
        <v>2869</v>
      </c>
      <c r="B1856" s="2">
        <v>45137</v>
      </c>
      <c r="C1856" s="1" t="s">
        <v>1660</v>
      </c>
      <c r="D1856" s="1" t="s">
        <v>40</v>
      </c>
      <c r="E1856" s="1" t="s">
        <v>59</v>
      </c>
      <c r="F1856" s="1" t="s">
        <v>99</v>
      </c>
      <c r="G1856" s="1" t="s">
        <v>53</v>
      </c>
      <c r="H1856" s="1" t="s">
        <v>54</v>
      </c>
      <c r="I1856" s="1" t="s">
        <v>272</v>
      </c>
      <c r="J1856" s="1">
        <v>8</v>
      </c>
      <c r="K1856" s="3">
        <v>8764.1</v>
      </c>
      <c r="L1856" s="1">
        <v>5</v>
      </c>
      <c r="M1856" s="1" t="s">
        <v>36</v>
      </c>
      <c r="N1856" s="10" t="s">
        <v>45</v>
      </c>
      <c r="Q1856"/>
    </row>
    <row r="1857" spans="1:17" x14ac:dyDescent="0.25">
      <c r="A1857" s="9" t="s">
        <v>2870</v>
      </c>
      <c r="B1857" s="2">
        <v>45555</v>
      </c>
      <c r="C1857" s="1" t="s">
        <v>1347</v>
      </c>
      <c r="D1857" s="1" t="s">
        <v>40</v>
      </c>
      <c r="E1857" s="1" t="s">
        <v>17</v>
      </c>
      <c r="F1857" s="1" t="s">
        <v>82</v>
      </c>
      <c r="G1857" s="1" t="s">
        <v>42</v>
      </c>
      <c r="H1857" s="1" t="s">
        <v>61</v>
      </c>
      <c r="I1857" s="1" t="s">
        <v>217</v>
      </c>
      <c r="J1857" s="1">
        <v>5</v>
      </c>
      <c r="K1857" s="3">
        <v>1768.07</v>
      </c>
      <c r="L1857" s="1">
        <v>0</v>
      </c>
      <c r="M1857" s="1" t="s">
        <v>63</v>
      </c>
      <c r="N1857" s="10" t="s">
        <v>64</v>
      </c>
      <c r="Q1857"/>
    </row>
    <row r="1858" spans="1:17" x14ac:dyDescent="0.25">
      <c r="A1858" s="9" t="s">
        <v>2871</v>
      </c>
      <c r="B1858" s="2">
        <v>45421</v>
      </c>
      <c r="C1858" s="1" t="s">
        <v>1149</v>
      </c>
      <c r="D1858" s="1" t="s">
        <v>87</v>
      </c>
      <c r="E1858" s="1" t="s">
        <v>59</v>
      </c>
      <c r="F1858" s="1" t="s">
        <v>82</v>
      </c>
      <c r="G1858" s="1" t="s">
        <v>42</v>
      </c>
      <c r="H1858" s="1" t="s">
        <v>61</v>
      </c>
      <c r="I1858" s="1" t="s">
        <v>833</v>
      </c>
      <c r="J1858" s="1">
        <v>6</v>
      </c>
      <c r="K1858" s="3">
        <v>6573.39</v>
      </c>
      <c r="L1858" s="1">
        <v>10</v>
      </c>
      <c r="M1858" s="1" t="s">
        <v>56</v>
      </c>
      <c r="N1858" s="10" t="s">
        <v>23</v>
      </c>
      <c r="Q1858"/>
    </row>
    <row r="1859" spans="1:17" x14ac:dyDescent="0.25">
      <c r="A1859" s="9" t="s">
        <v>2872</v>
      </c>
      <c r="B1859" s="2">
        <v>45291</v>
      </c>
      <c r="C1859" s="1" t="s">
        <v>753</v>
      </c>
      <c r="D1859" s="1" t="s">
        <v>26</v>
      </c>
      <c r="E1859" s="1" t="s">
        <v>72</v>
      </c>
      <c r="F1859" s="1" t="s">
        <v>28</v>
      </c>
      <c r="G1859" s="1" t="s">
        <v>42</v>
      </c>
      <c r="H1859" s="1" t="s">
        <v>43</v>
      </c>
      <c r="I1859" s="1" t="s">
        <v>394</v>
      </c>
      <c r="J1859" s="1">
        <v>-3</v>
      </c>
      <c r="K1859" s="3">
        <v>11168.54</v>
      </c>
      <c r="L1859" s="1">
        <v>5</v>
      </c>
      <c r="M1859" s="1" t="s">
        <v>69</v>
      </c>
      <c r="N1859" s="10" t="s">
        <v>45</v>
      </c>
      <c r="Q1859"/>
    </row>
    <row r="1860" spans="1:17" x14ac:dyDescent="0.25">
      <c r="A1860" s="9" t="s">
        <v>2873</v>
      </c>
      <c r="B1860" s="2">
        <v>45373</v>
      </c>
      <c r="C1860" s="1" t="s">
        <v>1062</v>
      </c>
      <c r="D1860" s="1" t="s">
        <v>40</v>
      </c>
      <c r="E1860" s="1" t="s">
        <v>27</v>
      </c>
      <c r="F1860" s="1" t="s">
        <v>18</v>
      </c>
      <c r="G1860" s="1" t="s">
        <v>42</v>
      </c>
      <c r="H1860" s="1" t="s">
        <v>61</v>
      </c>
      <c r="I1860" s="1" t="s">
        <v>250</v>
      </c>
      <c r="J1860" s="1">
        <v>7</v>
      </c>
      <c r="K1860" s="3">
        <v>27920.04</v>
      </c>
      <c r="L1860" s="1" t="s">
        <v>110</v>
      </c>
      <c r="M1860" s="1" t="s">
        <v>69</v>
      </c>
      <c r="N1860" s="10" t="s">
        <v>45</v>
      </c>
      <c r="Q1860"/>
    </row>
    <row r="1861" spans="1:17" x14ac:dyDescent="0.25">
      <c r="A1861" s="9" t="s">
        <v>2874</v>
      </c>
      <c r="B1861" s="2">
        <v>45451</v>
      </c>
      <c r="C1861" s="1" t="s">
        <v>1420</v>
      </c>
      <c r="D1861" s="1" t="s">
        <v>87</v>
      </c>
      <c r="E1861" s="1" t="s">
        <v>72</v>
      </c>
      <c r="F1861" s="1" t="s">
        <v>49</v>
      </c>
      <c r="G1861" s="1" t="s">
        <v>83</v>
      </c>
      <c r="H1861" s="1" t="s">
        <v>43</v>
      </c>
      <c r="I1861" s="1" t="s">
        <v>274</v>
      </c>
      <c r="J1861" s="1">
        <v>8</v>
      </c>
      <c r="K1861" s="3">
        <v>38980.730000000003</v>
      </c>
      <c r="L1861" s="1">
        <v>20</v>
      </c>
      <c r="M1861" s="1" t="s">
        <v>93</v>
      </c>
      <c r="N1861" s="10" t="s">
        <v>74</v>
      </c>
      <c r="Q1861"/>
    </row>
    <row r="1862" spans="1:17" x14ac:dyDescent="0.25">
      <c r="A1862" s="9" t="s">
        <v>2875</v>
      </c>
      <c r="B1862" s="2">
        <v>45133</v>
      </c>
      <c r="C1862" s="1" t="s">
        <v>1149</v>
      </c>
      <c r="D1862" s="1" t="s">
        <v>52</v>
      </c>
      <c r="E1862" s="1" t="s">
        <v>34</v>
      </c>
      <c r="F1862" s="1" t="s">
        <v>28</v>
      </c>
      <c r="G1862" s="1" t="s">
        <v>19</v>
      </c>
      <c r="H1862" s="1" t="s">
        <v>20</v>
      </c>
      <c r="I1862" s="1" t="s">
        <v>801</v>
      </c>
      <c r="J1862" s="1">
        <v>5</v>
      </c>
      <c r="K1862" s="3">
        <v>10077.68</v>
      </c>
      <c r="L1862" s="1">
        <v>0</v>
      </c>
      <c r="M1862" s="1" t="s">
        <v>93</v>
      </c>
      <c r="N1862" s="10" t="s">
        <v>74</v>
      </c>
      <c r="Q1862"/>
    </row>
    <row r="1863" spans="1:17" x14ac:dyDescent="0.25">
      <c r="A1863" s="9" t="s">
        <v>2876</v>
      </c>
      <c r="B1863" s="2">
        <v>45027</v>
      </c>
      <c r="C1863" s="1" t="s">
        <v>682</v>
      </c>
      <c r="D1863" s="1" t="s">
        <v>87</v>
      </c>
      <c r="E1863" s="1" t="s">
        <v>34</v>
      </c>
      <c r="F1863" s="1" t="s">
        <v>28</v>
      </c>
      <c r="G1863" s="1" t="s">
        <v>42</v>
      </c>
      <c r="H1863" s="1" t="s">
        <v>61</v>
      </c>
      <c r="I1863" s="1" t="s">
        <v>632</v>
      </c>
      <c r="J1863" s="1">
        <v>2</v>
      </c>
      <c r="K1863" s="3">
        <v>3511.21</v>
      </c>
      <c r="L1863" s="1">
        <v>10</v>
      </c>
      <c r="M1863" s="1" t="s">
        <v>63</v>
      </c>
      <c r="N1863" s="10" t="s">
        <v>31</v>
      </c>
      <c r="Q1863"/>
    </row>
    <row r="1864" spans="1:17" x14ac:dyDescent="0.25">
      <c r="A1864" s="9" t="s">
        <v>2877</v>
      </c>
      <c r="B1864" s="2">
        <v>45041</v>
      </c>
      <c r="C1864" s="1" t="s">
        <v>1697</v>
      </c>
      <c r="D1864" s="1" t="s">
        <v>360</v>
      </c>
      <c r="E1864" s="1" t="s">
        <v>41</v>
      </c>
      <c r="F1864" s="1" t="s">
        <v>18</v>
      </c>
      <c r="G1864" s="1" t="s">
        <v>83</v>
      </c>
      <c r="H1864" s="1" t="s">
        <v>43</v>
      </c>
      <c r="I1864" s="1" t="s">
        <v>467</v>
      </c>
      <c r="J1864" s="1">
        <v>8</v>
      </c>
      <c r="K1864" s="3">
        <v>16716.88</v>
      </c>
      <c r="L1864" s="1">
        <v>15</v>
      </c>
      <c r="M1864" s="1" t="s">
        <v>36</v>
      </c>
      <c r="N1864" s="10" t="s">
        <v>74</v>
      </c>
      <c r="Q1864"/>
    </row>
    <row r="1865" spans="1:17" x14ac:dyDescent="0.25">
      <c r="A1865" s="9" t="s">
        <v>2878</v>
      </c>
      <c r="B1865" s="2">
        <v>45494</v>
      </c>
      <c r="C1865" s="1" t="s">
        <v>2555</v>
      </c>
      <c r="D1865" s="1" t="s">
        <v>71</v>
      </c>
      <c r="E1865" s="1" t="s">
        <v>72</v>
      </c>
      <c r="F1865" s="1" t="s">
        <v>99</v>
      </c>
      <c r="G1865" s="1" t="s">
        <v>53</v>
      </c>
      <c r="H1865" s="1" t="s">
        <v>54</v>
      </c>
      <c r="I1865" s="1" t="s">
        <v>207</v>
      </c>
      <c r="J1865" s="1">
        <v>7</v>
      </c>
      <c r="K1865" s="3">
        <v>27715.46</v>
      </c>
      <c r="L1865" s="1">
        <v>5</v>
      </c>
      <c r="M1865" s="1" t="s">
        <v>93</v>
      </c>
      <c r="N1865" s="10" t="s">
        <v>45</v>
      </c>
      <c r="Q1865"/>
    </row>
    <row r="1866" spans="1:17" x14ac:dyDescent="0.25">
      <c r="A1866" s="9" t="s">
        <v>2879</v>
      </c>
      <c r="B1866" s="2">
        <v>45259</v>
      </c>
      <c r="C1866" s="1" t="s">
        <v>1394</v>
      </c>
      <c r="D1866" s="1" t="s">
        <v>40</v>
      </c>
      <c r="E1866" s="1" t="s">
        <v>17</v>
      </c>
      <c r="F1866" s="1" t="s">
        <v>99</v>
      </c>
      <c r="G1866" s="1" t="s">
        <v>19</v>
      </c>
      <c r="H1866" s="1" t="s">
        <v>20</v>
      </c>
      <c r="I1866" s="1" t="s">
        <v>239</v>
      </c>
      <c r="J1866" s="1">
        <v>9</v>
      </c>
      <c r="K1866" s="3">
        <v>33153.68</v>
      </c>
      <c r="L1866" s="1">
        <v>0</v>
      </c>
      <c r="M1866" s="1" t="s">
        <v>22</v>
      </c>
      <c r="N1866" s="10" t="s">
        <v>64</v>
      </c>
      <c r="Q1866"/>
    </row>
    <row r="1867" spans="1:17" x14ac:dyDescent="0.25">
      <c r="A1867" s="9" t="s">
        <v>2880</v>
      </c>
      <c r="B1867" s="2">
        <v>45382</v>
      </c>
      <c r="C1867" s="1" t="s">
        <v>382</v>
      </c>
      <c r="D1867" s="1" t="s">
        <v>71</v>
      </c>
      <c r="E1867" s="1" t="s">
        <v>27</v>
      </c>
      <c r="F1867" s="1" t="s">
        <v>28</v>
      </c>
      <c r="G1867" s="1" t="s">
        <v>53</v>
      </c>
      <c r="H1867" s="1" t="s">
        <v>54</v>
      </c>
      <c r="I1867" s="1" t="s">
        <v>173</v>
      </c>
      <c r="J1867" s="1">
        <v>10</v>
      </c>
      <c r="K1867" s="3">
        <v>37947.9</v>
      </c>
      <c r="L1867" s="1">
        <v>20</v>
      </c>
      <c r="M1867" s="1" t="s">
        <v>36</v>
      </c>
      <c r="N1867" s="10" t="s">
        <v>23</v>
      </c>
      <c r="Q1867"/>
    </row>
    <row r="1868" spans="1:17" x14ac:dyDescent="0.25">
      <c r="A1868" s="9" t="s">
        <v>2881</v>
      </c>
      <c r="B1868" s="2">
        <v>44987</v>
      </c>
      <c r="C1868" s="1" t="s">
        <v>1821</v>
      </c>
      <c r="D1868" s="1" t="s">
        <v>71</v>
      </c>
      <c r="E1868" s="1" t="s">
        <v>41</v>
      </c>
      <c r="F1868" s="1" t="s">
        <v>88</v>
      </c>
      <c r="G1868" s="1" t="s">
        <v>42</v>
      </c>
      <c r="H1868" s="1" t="s">
        <v>43</v>
      </c>
      <c r="I1868" s="1" t="s">
        <v>704</v>
      </c>
      <c r="J1868" s="1">
        <v>4</v>
      </c>
      <c r="K1868" s="3">
        <v>15749.21</v>
      </c>
      <c r="L1868" s="1">
        <v>10</v>
      </c>
      <c r="M1868" s="1" t="s">
        <v>69</v>
      </c>
      <c r="N1868" s="10" t="s">
        <v>64</v>
      </c>
      <c r="Q1868"/>
    </row>
    <row r="1869" spans="1:17" x14ac:dyDescent="0.25">
      <c r="A1869" s="9" t="s">
        <v>2882</v>
      </c>
      <c r="B1869" s="2">
        <v>45453</v>
      </c>
      <c r="C1869" s="1" t="s">
        <v>266</v>
      </c>
      <c r="D1869" s="1" t="s">
        <v>16</v>
      </c>
      <c r="E1869" s="1" t="s">
        <v>59</v>
      </c>
      <c r="F1869" s="1" t="s">
        <v>99</v>
      </c>
      <c r="G1869" s="1" t="s">
        <v>42</v>
      </c>
      <c r="H1869" s="1" t="s">
        <v>43</v>
      </c>
      <c r="I1869" s="1" t="s">
        <v>89</v>
      </c>
      <c r="J1869" s="1">
        <v>9</v>
      </c>
      <c r="K1869" s="3">
        <v>16117.36</v>
      </c>
      <c r="L1869" s="1">
        <v>20</v>
      </c>
      <c r="M1869" s="1" t="s">
        <v>69</v>
      </c>
      <c r="N1869" s="10" t="s">
        <v>45</v>
      </c>
      <c r="Q1869"/>
    </row>
    <row r="1870" spans="1:17" x14ac:dyDescent="0.25">
      <c r="A1870" s="9" t="s">
        <v>2883</v>
      </c>
      <c r="B1870" s="2">
        <v>45423</v>
      </c>
      <c r="C1870" s="1" t="s">
        <v>733</v>
      </c>
      <c r="D1870" s="1" t="s">
        <v>52</v>
      </c>
      <c r="E1870" s="1" t="s">
        <v>41</v>
      </c>
      <c r="F1870" s="1" t="s">
        <v>49</v>
      </c>
      <c r="G1870" s="1" t="s">
        <v>83</v>
      </c>
      <c r="H1870" s="1" t="s">
        <v>43</v>
      </c>
      <c r="I1870" s="1" t="s">
        <v>704</v>
      </c>
      <c r="J1870" s="1">
        <v>4</v>
      </c>
      <c r="K1870" s="3">
        <v>6064.42</v>
      </c>
      <c r="L1870" s="1">
        <v>0</v>
      </c>
      <c r="M1870" s="1" t="s">
        <v>69</v>
      </c>
      <c r="N1870" s="10" t="s">
        <v>37</v>
      </c>
      <c r="Q1870"/>
    </row>
    <row r="1871" spans="1:17" x14ac:dyDescent="0.25">
      <c r="A1871" s="9" t="s">
        <v>2884</v>
      </c>
      <c r="B1871" s="2">
        <v>45590</v>
      </c>
      <c r="C1871" s="1" t="s">
        <v>1037</v>
      </c>
      <c r="D1871" s="1" t="s">
        <v>81</v>
      </c>
      <c r="E1871" s="1" t="s">
        <v>59</v>
      </c>
      <c r="F1871" s="1" t="s">
        <v>99</v>
      </c>
      <c r="G1871" s="1" t="s">
        <v>42</v>
      </c>
      <c r="H1871" s="1" t="s">
        <v>43</v>
      </c>
      <c r="I1871" s="1" t="s">
        <v>182</v>
      </c>
      <c r="J1871" s="1">
        <v>9</v>
      </c>
      <c r="K1871" s="3">
        <v>38556.629999999997</v>
      </c>
      <c r="L1871" s="1">
        <v>10</v>
      </c>
      <c r="M1871" s="1" t="s">
        <v>56</v>
      </c>
      <c r="N1871" s="10" t="s">
        <v>64</v>
      </c>
      <c r="Q1871"/>
    </row>
    <row r="1872" spans="1:17" x14ac:dyDescent="0.25">
      <c r="A1872" s="9" t="s">
        <v>2885</v>
      </c>
      <c r="B1872" s="2">
        <v>45179</v>
      </c>
      <c r="C1872" s="1" t="s">
        <v>2343</v>
      </c>
      <c r="D1872" s="1" t="s">
        <v>71</v>
      </c>
      <c r="E1872" s="1" t="s">
        <v>17</v>
      </c>
      <c r="F1872" s="1" t="s">
        <v>88</v>
      </c>
      <c r="G1872" s="1" t="s">
        <v>83</v>
      </c>
      <c r="H1872" s="1" t="s">
        <v>43</v>
      </c>
      <c r="I1872" s="1" t="s">
        <v>182</v>
      </c>
      <c r="J1872" s="1">
        <v>9</v>
      </c>
      <c r="K1872" s="3">
        <v>29062.94</v>
      </c>
      <c r="L1872" s="1">
        <v>10</v>
      </c>
      <c r="M1872" s="1" t="s">
        <v>69</v>
      </c>
      <c r="N1872" s="10" t="s">
        <v>37</v>
      </c>
      <c r="Q1872"/>
    </row>
    <row r="1873" spans="1:17" x14ac:dyDescent="0.25">
      <c r="A1873" s="9" t="s">
        <v>2886</v>
      </c>
      <c r="B1873" s="2">
        <v>45251</v>
      </c>
      <c r="C1873" s="1" t="s">
        <v>2887</v>
      </c>
      <c r="D1873" s="1" t="s">
        <v>360</v>
      </c>
      <c r="E1873" s="1" t="s">
        <v>72</v>
      </c>
      <c r="F1873" s="1" t="s">
        <v>28</v>
      </c>
      <c r="G1873" s="1" t="s">
        <v>19</v>
      </c>
      <c r="H1873" s="1" t="s">
        <v>20</v>
      </c>
      <c r="I1873" s="1" t="s">
        <v>239</v>
      </c>
      <c r="J1873" s="1">
        <v>8</v>
      </c>
      <c r="K1873" s="3">
        <v>30958.13</v>
      </c>
      <c r="L1873" s="1">
        <v>10</v>
      </c>
      <c r="M1873" s="1" t="s">
        <v>63</v>
      </c>
      <c r="N1873" s="10" t="s">
        <v>45</v>
      </c>
      <c r="Q1873"/>
    </row>
    <row r="1874" spans="1:17" x14ac:dyDescent="0.25">
      <c r="A1874" s="9" t="s">
        <v>2888</v>
      </c>
      <c r="B1874" s="2">
        <v>45535</v>
      </c>
      <c r="C1874" s="1" t="s">
        <v>2782</v>
      </c>
      <c r="D1874" s="1" t="s">
        <v>87</v>
      </c>
      <c r="E1874" s="1" t="s">
        <v>41</v>
      </c>
      <c r="F1874" s="1" t="s">
        <v>18</v>
      </c>
      <c r="G1874" s="1" t="s">
        <v>42</v>
      </c>
      <c r="H1874" s="1" t="s">
        <v>61</v>
      </c>
      <c r="I1874" s="1" t="s">
        <v>587</v>
      </c>
      <c r="J1874" s="1">
        <v>9</v>
      </c>
      <c r="K1874" s="3">
        <v>26810.9</v>
      </c>
      <c r="L1874" s="1">
        <v>5</v>
      </c>
      <c r="M1874" s="1" t="s">
        <v>63</v>
      </c>
      <c r="N1874" s="10" t="s">
        <v>64</v>
      </c>
      <c r="Q1874"/>
    </row>
    <row r="1875" spans="1:17" x14ac:dyDescent="0.25">
      <c r="A1875" s="9" t="s">
        <v>2889</v>
      </c>
      <c r="B1875" s="2">
        <v>45644</v>
      </c>
      <c r="C1875" s="1" t="s">
        <v>2194</v>
      </c>
      <c r="D1875" s="1" t="s">
        <v>71</v>
      </c>
      <c r="E1875" s="1" t="s">
        <v>72</v>
      </c>
      <c r="F1875" s="1" t="s">
        <v>99</v>
      </c>
      <c r="G1875" s="1" t="s">
        <v>42</v>
      </c>
      <c r="H1875" s="1" t="s">
        <v>61</v>
      </c>
      <c r="I1875" s="1" t="s">
        <v>529</v>
      </c>
      <c r="J1875" s="1">
        <v>9</v>
      </c>
      <c r="K1875" s="3">
        <v>27276.12</v>
      </c>
      <c r="L1875" s="1" t="s">
        <v>110</v>
      </c>
      <c r="M1875" s="1" t="s">
        <v>93</v>
      </c>
      <c r="N1875" s="10" t="s">
        <v>64</v>
      </c>
      <c r="Q1875"/>
    </row>
    <row r="1876" spans="1:17" x14ac:dyDescent="0.25">
      <c r="A1876" s="9" t="s">
        <v>2890</v>
      </c>
      <c r="B1876" s="2">
        <v>45101</v>
      </c>
      <c r="C1876" s="1" t="s">
        <v>1547</v>
      </c>
      <c r="D1876" s="1" t="s">
        <v>81</v>
      </c>
      <c r="E1876" s="1" t="s">
        <v>17</v>
      </c>
      <c r="F1876" s="1" t="s">
        <v>28</v>
      </c>
      <c r="G1876" s="1" t="s">
        <v>42</v>
      </c>
      <c r="H1876" s="1" t="s">
        <v>43</v>
      </c>
      <c r="I1876" s="1" t="s">
        <v>182</v>
      </c>
      <c r="J1876" s="1">
        <v>1</v>
      </c>
      <c r="K1876" s="3">
        <v>3206.76</v>
      </c>
      <c r="L1876" s="1">
        <v>0</v>
      </c>
      <c r="M1876" s="1" t="s">
        <v>36</v>
      </c>
      <c r="N1876" s="10" t="s">
        <v>23</v>
      </c>
      <c r="Q1876"/>
    </row>
    <row r="1877" spans="1:17" x14ac:dyDescent="0.25">
      <c r="A1877" s="9" t="s">
        <v>2891</v>
      </c>
      <c r="B1877" s="2">
        <v>45189</v>
      </c>
      <c r="C1877" s="1" t="s">
        <v>2486</v>
      </c>
      <c r="D1877" s="1" t="s">
        <v>87</v>
      </c>
      <c r="E1877" s="1" t="s">
        <v>41</v>
      </c>
      <c r="F1877" s="1" t="s">
        <v>60</v>
      </c>
      <c r="G1877" s="1" t="s">
        <v>19</v>
      </c>
      <c r="H1877" s="1" t="s">
        <v>20</v>
      </c>
      <c r="I1877" s="1" t="s">
        <v>21</v>
      </c>
      <c r="J1877" s="1">
        <v>2</v>
      </c>
      <c r="K1877" s="3">
        <v>3448.57</v>
      </c>
      <c r="L1877" s="1">
        <v>0</v>
      </c>
      <c r="M1877" s="1" t="s">
        <v>22</v>
      </c>
      <c r="N1877" s="10" t="s">
        <v>74</v>
      </c>
      <c r="Q1877"/>
    </row>
    <row r="1878" spans="1:17" x14ac:dyDescent="0.25">
      <c r="A1878" s="9" t="s">
        <v>2892</v>
      </c>
      <c r="B1878" s="2">
        <v>45126</v>
      </c>
      <c r="C1878" s="1" t="s">
        <v>2524</v>
      </c>
      <c r="D1878" s="1" t="s">
        <v>87</v>
      </c>
      <c r="E1878" s="1" t="s">
        <v>41</v>
      </c>
      <c r="F1878" s="1" t="s">
        <v>18</v>
      </c>
      <c r="G1878" s="1" t="s">
        <v>42</v>
      </c>
      <c r="H1878" s="1" t="s">
        <v>43</v>
      </c>
      <c r="I1878" s="1" t="s">
        <v>154</v>
      </c>
      <c r="J1878" s="1">
        <v>5</v>
      </c>
      <c r="K1878" s="3">
        <v>23254.28</v>
      </c>
      <c r="L1878" s="1">
        <v>5</v>
      </c>
      <c r="M1878" s="1" t="s">
        <v>63</v>
      </c>
      <c r="N1878" s="10" t="s">
        <v>37</v>
      </c>
      <c r="Q1878"/>
    </row>
    <row r="1879" spans="1:17" x14ac:dyDescent="0.25">
      <c r="A1879" s="9" t="s">
        <v>2893</v>
      </c>
      <c r="B1879" s="2">
        <v>45408</v>
      </c>
      <c r="C1879" s="1" t="s">
        <v>2894</v>
      </c>
      <c r="D1879" s="1" t="s">
        <v>161</v>
      </c>
      <c r="E1879" s="1" t="s">
        <v>59</v>
      </c>
      <c r="F1879" s="1" t="s">
        <v>49</v>
      </c>
      <c r="G1879" s="1" t="s">
        <v>19</v>
      </c>
      <c r="H1879" s="1" t="s">
        <v>29</v>
      </c>
      <c r="I1879" s="1" t="s">
        <v>556</v>
      </c>
      <c r="J1879" s="1">
        <v>7</v>
      </c>
      <c r="K1879" s="3">
        <v>6851.84</v>
      </c>
      <c r="L1879" s="1">
        <v>15</v>
      </c>
      <c r="M1879" s="1" t="s">
        <v>56</v>
      </c>
      <c r="N1879" s="10" t="s">
        <v>23</v>
      </c>
      <c r="Q1879"/>
    </row>
    <row r="1880" spans="1:17" x14ac:dyDescent="0.25">
      <c r="A1880" s="9" t="s">
        <v>2895</v>
      </c>
      <c r="B1880" s="2">
        <v>45249</v>
      </c>
      <c r="C1880" s="1" t="s">
        <v>143</v>
      </c>
      <c r="D1880" s="1" t="s">
        <v>360</v>
      </c>
      <c r="E1880" s="1" t="s">
        <v>27</v>
      </c>
      <c r="F1880" s="1" t="s">
        <v>60</v>
      </c>
      <c r="G1880" s="1" t="s">
        <v>42</v>
      </c>
      <c r="H1880" s="1" t="s">
        <v>43</v>
      </c>
      <c r="I1880" s="1" t="s">
        <v>100</v>
      </c>
      <c r="J1880" s="1">
        <v>8</v>
      </c>
      <c r="K1880" s="3">
        <v>20289.3</v>
      </c>
      <c r="L1880" s="1" t="s">
        <v>110</v>
      </c>
      <c r="M1880" s="1" t="s">
        <v>63</v>
      </c>
      <c r="N1880" s="10" t="s">
        <v>23</v>
      </c>
      <c r="Q1880"/>
    </row>
    <row r="1881" spans="1:17" x14ac:dyDescent="0.25">
      <c r="A1881" s="9" t="s">
        <v>2896</v>
      </c>
      <c r="B1881" s="2">
        <v>45499</v>
      </c>
      <c r="C1881" s="1" t="s">
        <v>146</v>
      </c>
      <c r="D1881" s="1" t="s">
        <v>147</v>
      </c>
      <c r="E1881" s="1" t="s">
        <v>34</v>
      </c>
      <c r="F1881" s="1" t="s">
        <v>18</v>
      </c>
      <c r="G1881" s="1" t="s">
        <v>53</v>
      </c>
      <c r="H1881" s="1" t="s">
        <v>54</v>
      </c>
      <c r="I1881" s="1" t="s">
        <v>1053</v>
      </c>
      <c r="J1881" s="1">
        <v>3</v>
      </c>
      <c r="K1881" s="3">
        <v>5267.41</v>
      </c>
      <c r="L1881" s="1" t="s">
        <v>110</v>
      </c>
      <c r="M1881" s="1" t="s">
        <v>69</v>
      </c>
      <c r="N1881" s="10" t="s">
        <v>74</v>
      </c>
      <c r="Q1881"/>
    </row>
    <row r="1882" spans="1:17" x14ac:dyDescent="0.25">
      <c r="A1882" s="9" t="s">
        <v>2897</v>
      </c>
      <c r="B1882" s="2">
        <v>45037</v>
      </c>
      <c r="C1882" s="1" t="s">
        <v>1461</v>
      </c>
      <c r="D1882" s="1" t="s">
        <v>378</v>
      </c>
      <c r="E1882" s="1" t="s">
        <v>59</v>
      </c>
      <c r="F1882" s="1" t="s">
        <v>88</v>
      </c>
      <c r="G1882" s="1" t="s">
        <v>42</v>
      </c>
      <c r="H1882" s="1" t="s">
        <v>43</v>
      </c>
      <c r="I1882" s="1" t="s">
        <v>365</v>
      </c>
      <c r="J1882" s="1">
        <v>7</v>
      </c>
      <c r="K1882" s="3">
        <v>20063.78</v>
      </c>
      <c r="L1882" s="1" t="s">
        <v>110</v>
      </c>
      <c r="M1882" s="1" t="s">
        <v>56</v>
      </c>
      <c r="N1882" s="10" t="s">
        <v>74</v>
      </c>
      <c r="Q1882"/>
    </row>
    <row r="1883" spans="1:17" x14ac:dyDescent="0.25">
      <c r="A1883" s="9" t="s">
        <v>2898</v>
      </c>
      <c r="B1883" s="2">
        <v>44931</v>
      </c>
      <c r="C1883" s="1" t="s">
        <v>843</v>
      </c>
      <c r="D1883" s="1" t="s">
        <v>147</v>
      </c>
      <c r="E1883" s="1" t="s">
        <v>17</v>
      </c>
      <c r="F1883" s="1" t="s">
        <v>82</v>
      </c>
      <c r="G1883" s="1" t="s">
        <v>42</v>
      </c>
      <c r="H1883" s="1" t="s">
        <v>43</v>
      </c>
      <c r="I1883" s="1" t="s">
        <v>365</v>
      </c>
      <c r="J1883" s="1">
        <v>6</v>
      </c>
      <c r="K1883" s="3">
        <v>24948.39</v>
      </c>
      <c r="L1883" s="1">
        <v>20</v>
      </c>
      <c r="M1883" s="1" t="s">
        <v>69</v>
      </c>
      <c r="N1883" s="10" t="s">
        <v>45</v>
      </c>
      <c r="Q1883"/>
    </row>
    <row r="1884" spans="1:17" x14ac:dyDescent="0.25">
      <c r="A1884" s="9" t="s">
        <v>2899</v>
      </c>
      <c r="B1884" s="2">
        <v>45086</v>
      </c>
      <c r="C1884" s="1" t="s">
        <v>471</v>
      </c>
      <c r="D1884" s="1" t="s">
        <v>67</v>
      </c>
      <c r="E1884" s="1" t="s">
        <v>34</v>
      </c>
      <c r="F1884" s="1" t="s">
        <v>99</v>
      </c>
      <c r="G1884" s="1" t="s">
        <v>53</v>
      </c>
      <c r="H1884" s="1" t="s">
        <v>54</v>
      </c>
      <c r="I1884" s="1" t="s">
        <v>554</v>
      </c>
      <c r="J1884" s="1">
        <v>2</v>
      </c>
      <c r="K1884" s="3">
        <v>5346.67</v>
      </c>
      <c r="L1884" s="1">
        <v>5</v>
      </c>
      <c r="M1884" s="1" t="s">
        <v>69</v>
      </c>
      <c r="N1884" s="10" t="s">
        <v>74</v>
      </c>
      <c r="Q1884"/>
    </row>
    <row r="1885" spans="1:17" x14ac:dyDescent="0.25">
      <c r="A1885" s="9" t="s">
        <v>2900</v>
      </c>
      <c r="B1885" s="2">
        <v>45164</v>
      </c>
      <c r="C1885" s="1" t="s">
        <v>2901</v>
      </c>
      <c r="D1885" s="1" t="s">
        <v>67</v>
      </c>
      <c r="E1885" s="1" t="s">
        <v>72</v>
      </c>
      <c r="F1885" s="1" t="s">
        <v>82</v>
      </c>
      <c r="G1885" s="1" t="s">
        <v>53</v>
      </c>
      <c r="H1885" s="1" t="s">
        <v>54</v>
      </c>
      <c r="I1885" s="1" t="s">
        <v>608</v>
      </c>
      <c r="J1885" s="1">
        <v>4</v>
      </c>
      <c r="K1885" s="3">
        <v>12358.8</v>
      </c>
      <c r="L1885" s="1">
        <v>0</v>
      </c>
      <c r="M1885" s="1" t="s">
        <v>69</v>
      </c>
      <c r="N1885" s="10" t="s">
        <v>37</v>
      </c>
      <c r="Q1885"/>
    </row>
    <row r="1886" spans="1:17" x14ac:dyDescent="0.25">
      <c r="A1886" s="9" t="s">
        <v>2902</v>
      </c>
      <c r="B1886" s="2">
        <v>44956</v>
      </c>
      <c r="C1886" s="1" t="s">
        <v>1243</v>
      </c>
      <c r="D1886" s="1" t="s">
        <v>77</v>
      </c>
      <c r="E1886" s="1" t="s">
        <v>59</v>
      </c>
      <c r="F1886" s="1" t="s">
        <v>88</v>
      </c>
      <c r="G1886" s="1" t="s">
        <v>53</v>
      </c>
      <c r="H1886" s="1" t="s">
        <v>54</v>
      </c>
      <c r="I1886" s="1" t="s">
        <v>170</v>
      </c>
      <c r="J1886" s="1">
        <v>4</v>
      </c>
      <c r="K1886" s="3">
        <v>18154.52</v>
      </c>
      <c r="L1886" s="1">
        <v>5</v>
      </c>
      <c r="M1886" s="1" t="s">
        <v>93</v>
      </c>
      <c r="N1886" s="10" t="s">
        <v>74</v>
      </c>
      <c r="Q1886"/>
    </row>
    <row r="1887" spans="1:17" x14ac:dyDescent="0.25">
      <c r="A1887" s="9" t="s">
        <v>2903</v>
      </c>
      <c r="B1887" s="2">
        <v>45228</v>
      </c>
      <c r="C1887" s="1" t="s">
        <v>860</v>
      </c>
      <c r="D1887" s="1" t="s">
        <v>52</v>
      </c>
      <c r="E1887" s="1" t="s">
        <v>59</v>
      </c>
      <c r="F1887" s="1" t="s">
        <v>60</v>
      </c>
      <c r="G1887" s="1" t="s">
        <v>19</v>
      </c>
      <c r="H1887" s="1" t="s">
        <v>20</v>
      </c>
      <c r="I1887" s="1" t="s">
        <v>127</v>
      </c>
      <c r="J1887" s="1">
        <v>8</v>
      </c>
      <c r="K1887" s="3">
        <v>21526.73</v>
      </c>
      <c r="L1887" s="1">
        <v>0</v>
      </c>
      <c r="M1887" s="1" t="s">
        <v>22</v>
      </c>
      <c r="N1887" s="10" t="s">
        <v>37</v>
      </c>
      <c r="Q1887"/>
    </row>
    <row r="1888" spans="1:17" x14ac:dyDescent="0.25">
      <c r="A1888" s="9" t="s">
        <v>2904</v>
      </c>
      <c r="B1888" s="2">
        <v>44978</v>
      </c>
      <c r="C1888" s="1" t="s">
        <v>2905</v>
      </c>
      <c r="D1888" s="1" t="s">
        <v>192</v>
      </c>
      <c r="E1888" s="1" t="s">
        <v>17</v>
      </c>
      <c r="F1888" s="1" t="s">
        <v>99</v>
      </c>
      <c r="G1888" s="1" t="s">
        <v>19</v>
      </c>
      <c r="H1888" s="1" t="s">
        <v>20</v>
      </c>
      <c r="I1888" s="1" t="s">
        <v>263</v>
      </c>
      <c r="J1888" s="1">
        <v>9</v>
      </c>
      <c r="K1888" s="3">
        <v>41048.92</v>
      </c>
      <c r="L1888" s="1">
        <v>20</v>
      </c>
      <c r="M1888" s="1" t="s">
        <v>93</v>
      </c>
      <c r="N1888" s="10" t="s">
        <v>64</v>
      </c>
      <c r="Q1888"/>
    </row>
    <row r="1889" spans="1:17" x14ac:dyDescent="0.25">
      <c r="A1889" s="9" t="s">
        <v>2906</v>
      </c>
      <c r="B1889" s="2">
        <v>45266</v>
      </c>
      <c r="C1889" s="1" t="s">
        <v>442</v>
      </c>
      <c r="D1889" s="1" t="s">
        <v>147</v>
      </c>
      <c r="E1889" s="1" t="s">
        <v>27</v>
      </c>
      <c r="F1889" s="1" t="s">
        <v>49</v>
      </c>
      <c r="G1889" s="1" t="s">
        <v>19</v>
      </c>
      <c r="H1889" s="1" t="s">
        <v>20</v>
      </c>
      <c r="I1889" s="1" t="s">
        <v>261</v>
      </c>
      <c r="J1889" s="1">
        <v>1</v>
      </c>
      <c r="K1889" s="3">
        <v>2970.93</v>
      </c>
      <c r="L1889" s="1">
        <v>15</v>
      </c>
      <c r="M1889" s="1" t="s">
        <v>36</v>
      </c>
      <c r="N1889" s="10" t="s">
        <v>64</v>
      </c>
      <c r="Q1889"/>
    </row>
    <row r="1890" spans="1:17" x14ac:dyDescent="0.25">
      <c r="A1890" s="9" t="s">
        <v>2907</v>
      </c>
      <c r="B1890" s="2">
        <v>45237</v>
      </c>
      <c r="C1890" s="1" t="s">
        <v>900</v>
      </c>
      <c r="D1890" s="1" t="s">
        <v>71</v>
      </c>
      <c r="E1890" s="1" t="s">
        <v>41</v>
      </c>
      <c r="F1890" s="1" t="s">
        <v>88</v>
      </c>
      <c r="G1890" s="1" t="s">
        <v>19</v>
      </c>
      <c r="H1890" s="1" t="s">
        <v>29</v>
      </c>
      <c r="I1890" s="1" t="s">
        <v>35</v>
      </c>
      <c r="J1890" s="1">
        <v>7</v>
      </c>
      <c r="K1890" s="3">
        <v>14246.86</v>
      </c>
      <c r="L1890" s="1">
        <v>5</v>
      </c>
      <c r="M1890" s="1" t="s">
        <v>69</v>
      </c>
      <c r="N1890" s="10" t="s">
        <v>64</v>
      </c>
      <c r="Q1890"/>
    </row>
    <row r="1891" spans="1:17" x14ac:dyDescent="0.25">
      <c r="A1891" s="9" t="s">
        <v>2908</v>
      </c>
      <c r="B1891" s="2">
        <v>45341</v>
      </c>
      <c r="C1891" s="1" t="s">
        <v>493</v>
      </c>
      <c r="D1891" s="1" t="s">
        <v>71</v>
      </c>
      <c r="E1891" s="1" t="s">
        <v>17</v>
      </c>
      <c r="F1891" s="1" t="s">
        <v>99</v>
      </c>
      <c r="G1891" s="1" t="s">
        <v>53</v>
      </c>
      <c r="H1891" s="1" t="s">
        <v>54</v>
      </c>
      <c r="I1891" s="1" t="s">
        <v>558</v>
      </c>
      <c r="J1891" s="1">
        <v>10</v>
      </c>
      <c r="K1891" s="3">
        <v>35304.269999999997</v>
      </c>
      <c r="L1891" s="1">
        <v>20</v>
      </c>
      <c r="M1891" s="1" t="s">
        <v>93</v>
      </c>
      <c r="N1891" s="10" t="s">
        <v>23</v>
      </c>
      <c r="Q1891"/>
    </row>
    <row r="1892" spans="1:17" x14ac:dyDescent="0.25">
      <c r="A1892" s="9" t="s">
        <v>2909</v>
      </c>
      <c r="B1892" s="2">
        <v>45137</v>
      </c>
      <c r="C1892" s="1" t="s">
        <v>688</v>
      </c>
      <c r="D1892" s="1" t="s">
        <v>87</v>
      </c>
      <c r="E1892" s="1" t="s">
        <v>59</v>
      </c>
      <c r="F1892" s="1" t="s">
        <v>18</v>
      </c>
      <c r="G1892" s="1" t="s">
        <v>42</v>
      </c>
      <c r="H1892" s="1" t="s">
        <v>43</v>
      </c>
      <c r="I1892" s="1" t="s">
        <v>84</v>
      </c>
      <c r="J1892" s="1">
        <v>3</v>
      </c>
      <c r="K1892" s="3">
        <v>2057.9499999999998</v>
      </c>
      <c r="L1892" s="1">
        <v>5</v>
      </c>
      <c r="M1892" s="1" t="s">
        <v>36</v>
      </c>
      <c r="N1892" s="10" t="s">
        <v>31</v>
      </c>
      <c r="Q1892"/>
    </row>
    <row r="1893" spans="1:17" x14ac:dyDescent="0.25">
      <c r="A1893" s="9" t="s">
        <v>2910</v>
      </c>
      <c r="B1893" s="2">
        <v>45253</v>
      </c>
      <c r="C1893" s="1" t="s">
        <v>225</v>
      </c>
      <c r="D1893" s="1" t="s">
        <v>67</v>
      </c>
      <c r="E1893" s="1" t="s">
        <v>17</v>
      </c>
      <c r="F1893" s="1" t="s">
        <v>49</v>
      </c>
      <c r="G1893" s="1" t="s">
        <v>19</v>
      </c>
      <c r="H1893" s="1" t="s">
        <v>20</v>
      </c>
      <c r="I1893" s="1" t="s">
        <v>138</v>
      </c>
      <c r="J1893" s="1">
        <v>10</v>
      </c>
      <c r="K1893" s="3">
        <v>11602.53</v>
      </c>
      <c r="L1893" s="1">
        <v>10</v>
      </c>
      <c r="M1893" s="1" t="s">
        <v>93</v>
      </c>
      <c r="N1893" s="10" t="s">
        <v>23</v>
      </c>
      <c r="Q1893"/>
    </row>
    <row r="1894" spans="1:17" x14ac:dyDescent="0.25">
      <c r="A1894" s="9" t="s">
        <v>2911</v>
      </c>
      <c r="B1894" s="2">
        <v>45151</v>
      </c>
      <c r="C1894" s="1" t="s">
        <v>582</v>
      </c>
      <c r="D1894" s="1" t="s">
        <v>67</v>
      </c>
      <c r="E1894" s="1" t="s">
        <v>17</v>
      </c>
      <c r="F1894" s="1" t="s">
        <v>18</v>
      </c>
      <c r="G1894" s="1" t="s">
        <v>19</v>
      </c>
      <c r="H1894" s="1" t="s">
        <v>20</v>
      </c>
      <c r="I1894" s="1" t="s">
        <v>326</v>
      </c>
      <c r="J1894" s="1">
        <v>3</v>
      </c>
      <c r="K1894" s="3">
        <v>11820.2</v>
      </c>
      <c r="L1894" s="1">
        <v>10</v>
      </c>
      <c r="M1894" s="1" t="s">
        <v>69</v>
      </c>
      <c r="N1894" s="10" t="s">
        <v>64</v>
      </c>
      <c r="Q1894"/>
    </row>
    <row r="1895" spans="1:17" x14ac:dyDescent="0.25">
      <c r="A1895" s="9" t="s">
        <v>2912</v>
      </c>
      <c r="B1895" s="2">
        <v>45649</v>
      </c>
      <c r="C1895" s="1" t="s">
        <v>1640</v>
      </c>
      <c r="D1895" s="1" t="s">
        <v>81</v>
      </c>
      <c r="E1895" s="1" t="s">
        <v>34</v>
      </c>
      <c r="F1895" s="1" t="s">
        <v>88</v>
      </c>
      <c r="G1895" s="1" t="s">
        <v>42</v>
      </c>
      <c r="H1895" s="1" t="s">
        <v>61</v>
      </c>
      <c r="I1895" s="1" t="s">
        <v>204</v>
      </c>
      <c r="J1895" s="1">
        <v>5</v>
      </c>
      <c r="K1895" s="3">
        <v>17436.07</v>
      </c>
      <c r="L1895" s="1">
        <v>15</v>
      </c>
      <c r="M1895" s="1" t="s">
        <v>69</v>
      </c>
      <c r="N1895" s="10" t="s">
        <v>64</v>
      </c>
      <c r="Q1895"/>
    </row>
    <row r="1896" spans="1:17" x14ac:dyDescent="0.25">
      <c r="A1896" s="9" t="s">
        <v>2913</v>
      </c>
      <c r="B1896" s="2">
        <v>45293</v>
      </c>
      <c r="C1896" s="1" t="s">
        <v>1437</v>
      </c>
      <c r="D1896" s="1" t="s">
        <v>87</v>
      </c>
      <c r="E1896" s="1" t="s">
        <v>34</v>
      </c>
      <c r="F1896" s="1" t="s">
        <v>18</v>
      </c>
      <c r="G1896" s="1" t="s">
        <v>42</v>
      </c>
      <c r="H1896" s="1" t="s">
        <v>61</v>
      </c>
      <c r="I1896" s="1" t="s">
        <v>632</v>
      </c>
      <c r="J1896" s="1">
        <v>10</v>
      </c>
      <c r="K1896" s="3">
        <v>10200.19</v>
      </c>
      <c r="L1896" s="1">
        <v>15</v>
      </c>
      <c r="M1896" s="1" t="s">
        <v>63</v>
      </c>
      <c r="N1896" s="10" t="s">
        <v>64</v>
      </c>
      <c r="Q1896"/>
    </row>
    <row r="1897" spans="1:17" x14ac:dyDescent="0.25">
      <c r="A1897" s="9" t="s">
        <v>2914</v>
      </c>
      <c r="B1897" s="2">
        <v>44950</v>
      </c>
      <c r="C1897" s="1" t="s">
        <v>1572</v>
      </c>
      <c r="D1897" s="1" t="s">
        <v>33</v>
      </c>
      <c r="E1897" s="1" t="s">
        <v>72</v>
      </c>
      <c r="F1897" s="1" t="s">
        <v>49</v>
      </c>
      <c r="G1897" s="1" t="s">
        <v>19</v>
      </c>
      <c r="H1897" s="1" t="s">
        <v>29</v>
      </c>
      <c r="I1897" s="1" t="s">
        <v>162</v>
      </c>
      <c r="J1897" s="1">
        <v>3</v>
      </c>
      <c r="K1897" s="3">
        <v>3665.97</v>
      </c>
      <c r="L1897" s="1">
        <v>0</v>
      </c>
      <c r="M1897" s="1" t="s">
        <v>93</v>
      </c>
      <c r="N1897" s="10" t="s">
        <v>23</v>
      </c>
      <c r="Q1897"/>
    </row>
    <row r="1898" spans="1:17" x14ac:dyDescent="0.25">
      <c r="A1898" s="9" t="s">
        <v>2915</v>
      </c>
      <c r="B1898" s="2">
        <v>45082</v>
      </c>
      <c r="C1898" s="1" t="s">
        <v>1322</v>
      </c>
      <c r="D1898" s="1" t="s">
        <v>33</v>
      </c>
      <c r="E1898" s="1" t="s">
        <v>41</v>
      </c>
      <c r="F1898" s="1" t="s">
        <v>18</v>
      </c>
      <c r="G1898" s="1" t="s">
        <v>19</v>
      </c>
      <c r="H1898" s="1" t="s">
        <v>20</v>
      </c>
      <c r="I1898" s="1" t="s">
        <v>731</v>
      </c>
      <c r="J1898" s="1">
        <v>2</v>
      </c>
      <c r="K1898" s="3">
        <v>3012.37</v>
      </c>
      <c r="L1898" s="1">
        <v>5</v>
      </c>
      <c r="M1898" s="1" t="s">
        <v>22</v>
      </c>
      <c r="N1898" s="10" t="s">
        <v>31</v>
      </c>
      <c r="Q1898"/>
    </row>
    <row r="1899" spans="1:17" x14ac:dyDescent="0.25">
      <c r="A1899" s="9" t="s">
        <v>2916</v>
      </c>
      <c r="B1899" s="2">
        <v>45014</v>
      </c>
      <c r="C1899" s="1" t="s">
        <v>858</v>
      </c>
      <c r="D1899" s="1" t="s">
        <v>81</v>
      </c>
      <c r="E1899" s="1" t="s">
        <v>72</v>
      </c>
      <c r="F1899" s="1" t="s">
        <v>18</v>
      </c>
      <c r="G1899" s="1" t="s">
        <v>19</v>
      </c>
      <c r="H1899" s="1" t="s">
        <v>29</v>
      </c>
      <c r="I1899" s="1" t="s">
        <v>475</v>
      </c>
      <c r="J1899" s="1">
        <v>7</v>
      </c>
      <c r="K1899" s="3">
        <v>21632.2</v>
      </c>
      <c r="L1899" s="1">
        <v>0</v>
      </c>
      <c r="M1899" s="1" t="s">
        <v>56</v>
      </c>
      <c r="N1899" s="10" t="s">
        <v>45</v>
      </c>
      <c r="Q1899"/>
    </row>
    <row r="1900" spans="1:17" x14ac:dyDescent="0.25">
      <c r="A1900" s="9" t="s">
        <v>2917</v>
      </c>
      <c r="B1900" s="2">
        <v>45212</v>
      </c>
      <c r="C1900" s="1" t="s">
        <v>2168</v>
      </c>
      <c r="D1900" s="1" t="s">
        <v>67</v>
      </c>
      <c r="E1900" s="1" t="s">
        <v>41</v>
      </c>
      <c r="F1900" s="1" t="s">
        <v>18</v>
      </c>
      <c r="G1900" s="1" t="s">
        <v>19</v>
      </c>
      <c r="H1900" s="1" t="s">
        <v>29</v>
      </c>
      <c r="I1900" s="1" t="s">
        <v>646</v>
      </c>
      <c r="J1900" s="1">
        <v>1</v>
      </c>
      <c r="K1900" s="3">
        <v>403.89</v>
      </c>
      <c r="L1900" s="1">
        <v>15</v>
      </c>
      <c r="M1900" s="1" t="s">
        <v>63</v>
      </c>
      <c r="N1900" s="10" t="s">
        <v>64</v>
      </c>
      <c r="Q1900"/>
    </row>
    <row r="1901" spans="1:17" x14ac:dyDescent="0.25">
      <c r="A1901" s="9" t="s">
        <v>2918</v>
      </c>
      <c r="B1901" s="2">
        <v>45078</v>
      </c>
      <c r="C1901" s="1" t="s">
        <v>1444</v>
      </c>
      <c r="D1901" s="1" t="s">
        <v>87</v>
      </c>
      <c r="E1901" s="1" t="s">
        <v>17</v>
      </c>
      <c r="F1901" s="1" t="s">
        <v>28</v>
      </c>
      <c r="G1901" s="1" t="s">
        <v>53</v>
      </c>
      <c r="H1901" s="1" t="s">
        <v>54</v>
      </c>
      <c r="I1901" s="1" t="s">
        <v>1066</v>
      </c>
      <c r="J1901" s="1">
        <v>9</v>
      </c>
      <c r="K1901" s="3">
        <v>35862.18</v>
      </c>
      <c r="L1901" s="1">
        <v>0</v>
      </c>
      <c r="M1901" s="1" t="s">
        <v>22</v>
      </c>
      <c r="N1901" s="10" t="s">
        <v>37</v>
      </c>
      <c r="Q1901"/>
    </row>
    <row r="1902" spans="1:17" x14ac:dyDescent="0.25">
      <c r="A1902" s="9" t="s">
        <v>2919</v>
      </c>
      <c r="B1902" s="2">
        <v>44991</v>
      </c>
      <c r="C1902" s="1" t="s">
        <v>619</v>
      </c>
      <c r="D1902" s="1" t="s">
        <v>81</v>
      </c>
      <c r="E1902" s="1" t="s">
        <v>59</v>
      </c>
      <c r="F1902" s="1" t="s">
        <v>60</v>
      </c>
      <c r="G1902" s="1" t="s">
        <v>83</v>
      </c>
      <c r="H1902" s="1" t="s">
        <v>43</v>
      </c>
      <c r="I1902" s="1" t="s">
        <v>84</v>
      </c>
      <c r="J1902" s="1">
        <v>3</v>
      </c>
      <c r="K1902" s="3">
        <v>1885.18</v>
      </c>
      <c r="L1902" s="1">
        <v>15</v>
      </c>
      <c r="M1902" s="1" t="s">
        <v>63</v>
      </c>
      <c r="N1902" s="10" t="s">
        <v>45</v>
      </c>
      <c r="Q1902"/>
    </row>
    <row r="1903" spans="1:17" x14ac:dyDescent="0.25">
      <c r="A1903" s="9" t="s">
        <v>2920</v>
      </c>
      <c r="B1903" s="2">
        <v>45466</v>
      </c>
      <c r="C1903" s="1" t="s">
        <v>2015</v>
      </c>
      <c r="D1903" s="1" t="s">
        <v>87</v>
      </c>
      <c r="E1903" s="1" t="s">
        <v>41</v>
      </c>
      <c r="F1903" s="1" t="s">
        <v>60</v>
      </c>
      <c r="G1903" s="1" t="s">
        <v>19</v>
      </c>
      <c r="H1903" s="1" t="s">
        <v>20</v>
      </c>
      <c r="I1903" s="1" t="s">
        <v>1234</v>
      </c>
      <c r="J1903" s="1">
        <v>1</v>
      </c>
      <c r="K1903" s="3">
        <v>1553.28</v>
      </c>
      <c r="L1903" s="1">
        <v>10</v>
      </c>
      <c r="M1903" s="1" t="s">
        <v>69</v>
      </c>
      <c r="N1903" s="10" t="s">
        <v>37</v>
      </c>
      <c r="Q1903"/>
    </row>
    <row r="1904" spans="1:17" x14ac:dyDescent="0.25">
      <c r="A1904" s="9" t="s">
        <v>2921</v>
      </c>
      <c r="B1904" s="2">
        <v>45215</v>
      </c>
      <c r="C1904" s="1" t="s">
        <v>589</v>
      </c>
      <c r="D1904" s="1" t="s">
        <v>147</v>
      </c>
      <c r="E1904" s="1" t="s">
        <v>59</v>
      </c>
      <c r="F1904" s="1" t="s">
        <v>49</v>
      </c>
      <c r="G1904" s="1" t="s">
        <v>19</v>
      </c>
      <c r="H1904" s="1" t="s">
        <v>29</v>
      </c>
      <c r="I1904" s="1" t="s">
        <v>646</v>
      </c>
      <c r="J1904" s="1">
        <v>9</v>
      </c>
      <c r="K1904" s="3">
        <v>26527.31</v>
      </c>
      <c r="L1904" s="1">
        <v>5</v>
      </c>
      <c r="M1904" s="1" t="s">
        <v>93</v>
      </c>
      <c r="N1904" s="10" t="s">
        <v>31</v>
      </c>
      <c r="Q1904"/>
    </row>
    <row r="1905" spans="1:17" x14ac:dyDescent="0.25">
      <c r="A1905" s="9" t="s">
        <v>2922</v>
      </c>
      <c r="B1905" s="2">
        <v>45300</v>
      </c>
      <c r="C1905" s="1" t="s">
        <v>1767</v>
      </c>
      <c r="D1905" s="1" t="s">
        <v>81</v>
      </c>
      <c r="E1905" s="1" t="s">
        <v>41</v>
      </c>
      <c r="F1905" s="1" t="s">
        <v>82</v>
      </c>
      <c r="G1905" s="1" t="s">
        <v>19</v>
      </c>
      <c r="H1905" s="1" t="s">
        <v>29</v>
      </c>
      <c r="I1905" s="1" t="s">
        <v>472</v>
      </c>
      <c r="J1905" s="1">
        <v>7</v>
      </c>
      <c r="K1905" s="3">
        <v>15969.67</v>
      </c>
      <c r="L1905" s="1">
        <v>10</v>
      </c>
      <c r="M1905" s="1" t="s">
        <v>36</v>
      </c>
      <c r="N1905" s="10" t="s">
        <v>64</v>
      </c>
      <c r="Q1905"/>
    </row>
    <row r="1906" spans="1:17" x14ac:dyDescent="0.25">
      <c r="A1906" s="9" t="s">
        <v>2923</v>
      </c>
      <c r="B1906" s="2">
        <v>45136</v>
      </c>
      <c r="C1906" s="1" t="s">
        <v>553</v>
      </c>
      <c r="D1906" s="1" t="s">
        <v>52</v>
      </c>
      <c r="E1906" s="1" t="s">
        <v>27</v>
      </c>
      <c r="F1906" s="1" t="s">
        <v>99</v>
      </c>
      <c r="G1906" s="1" t="s">
        <v>19</v>
      </c>
      <c r="H1906" s="1" t="s">
        <v>29</v>
      </c>
      <c r="I1906" s="1" t="s">
        <v>885</v>
      </c>
      <c r="J1906" s="1">
        <v>8</v>
      </c>
      <c r="K1906" s="3">
        <v>13924.72</v>
      </c>
      <c r="L1906" s="1">
        <v>15</v>
      </c>
      <c r="M1906" s="1" t="s">
        <v>36</v>
      </c>
      <c r="N1906" s="10" t="s">
        <v>23</v>
      </c>
      <c r="Q1906"/>
    </row>
    <row r="1907" spans="1:17" x14ac:dyDescent="0.25">
      <c r="A1907" s="9" t="s">
        <v>2924</v>
      </c>
      <c r="B1907" s="2">
        <v>45523</v>
      </c>
      <c r="C1907" s="1" t="s">
        <v>2925</v>
      </c>
      <c r="D1907" s="1" t="s">
        <v>16</v>
      </c>
      <c r="E1907" s="1" t="s">
        <v>27</v>
      </c>
      <c r="F1907" s="1" t="s">
        <v>88</v>
      </c>
      <c r="G1907" s="1" t="s">
        <v>19</v>
      </c>
      <c r="H1907" s="1" t="s">
        <v>29</v>
      </c>
      <c r="I1907" s="1" t="s">
        <v>385</v>
      </c>
      <c r="J1907" s="1">
        <v>2</v>
      </c>
      <c r="K1907" s="3">
        <v>643.21</v>
      </c>
      <c r="L1907" s="1" t="s">
        <v>110</v>
      </c>
      <c r="M1907" s="1" t="s">
        <v>63</v>
      </c>
      <c r="N1907" s="10" t="s">
        <v>23</v>
      </c>
      <c r="Q1907"/>
    </row>
    <row r="1908" spans="1:17" x14ac:dyDescent="0.25">
      <c r="A1908" s="9" t="s">
        <v>2926</v>
      </c>
      <c r="B1908" s="2">
        <v>45329</v>
      </c>
      <c r="C1908" s="1" t="s">
        <v>1897</v>
      </c>
      <c r="D1908" s="1" t="s">
        <v>87</v>
      </c>
      <c r="E1908" s="1" t="s">
        <v>17</v>
      </c>
      <c r="F1908" s="1" t="s">
        <v>60</v>
      </c>
      <c r="G1908" s="1" t="s">
        <v>42</v>
      </c>
      <c r="H1908" s="1" t="s">
        <v>61</v>
      </c>
      <c r="I1908" s="1" t="s">
        <v>250</v>
      </c>
      <c r="J1908" s="1">
        <v>3</v>
      </c>
      <c r="K1908" s="3">
        <v>9494.5400000000009</v>
      </c>
      <c r="L1908" s="1">
        <v>0</v>
      </c>
      <c r="M1908" s="1" t="s">
        <v>69</v>
      </c>
      <c r="N1908" s="10" t="s">
        <v>23</v>
      </c>
      <c r="Q1908"/>
    </row>
    <row r="1909" spans="1:17" x14ac:dyDescent="0.25">
      <c r="A1909" s="9" t="s">
        <v>2927</v>
      </c>
      <c r="B1909" s="2">
        <v>45339</v>
      </c>
      <c r="C1909" s="1" t="s">
        <v>2928</v>
      </c>
      <c r="D1909" s="1" t="s">
        <v>87</v>
      </c>
      <c r="E1909" s="1" t="s">
        <v>34</v>
      </c>
      <c r="F1909" s="1" t="s">
        <v>18</v>
      </c>
      <c r="G1909" s="1" t="s">
        <v>83</v>
      </c>
      <c r="H1909" s="1" t="s">
        <v>43</v>
      </c>
      <c r="I1909" s="1" t="s">
        <v>285</v>
      </c>
      <c r="J1909" s="1">
        <v>6</v>
      </c>
      <c r="K1909" s="3">
        <v>9297.75</v>
      </c>
      <c r="L1909" s="1">
        <v>10</v>
      </c>
      <c r="M1909" s="1" t="s">
        <v>63</v>
      </c>
      <c r="N1909" s="10" t="s">
        <v>23</v>
      </c>
      <c r="Q1909"/>
    </row>
    <row r="1910" spans="1:17" x14ac:dyDescent="0.25">
      <c r="A1910" s="9" t="s">
        <v>2929</v>
      </c>
      <c r="B1910" s="2">
        <v>45024</v>
      </c>
      <c r="C1910" s="1" t="s">
        <v>2930</v>
      </c>
      <c r="D1910" s="1" t="s">
        <v>71</v>
      </c>
      <c r="E1910" s="1" t="s">
        <v>72</v>
      </c>
      <c r="F1910" s="1" t="s">
        <v>28</v>
      </c>
      <c r="G1910" s="1" t="s">
        <v>42</v>
      </c>
      <c r="H1910" s="1" t="s">
        <v>61</v>
      </c>
      <c r="I1910" s="1" t="s">
        <v>68</v>
      </c>
      <c r="J1910" s="1">
        <v>8</v>
      </c>
      <c r="K1910" s="3">
        <v>15220.3</v>
      </c>
      <c r="L1910" s="1">
        <v>20</v>
      </c>
      <c r="M1910" s="1" t="s">
        <v>36</v>
      </c>
      <c r="N1910" s="10" t="s">
        <v>45</v>
      </c>
      <c r="Q1910"/>
    </row>
    <row r="1911" spans="1:17" x14ac:dyDescent="0.25">
      <c r="A1911" s="9" t="s">
        <v>2931</v>
      </c>
      <c r="B1911" s="2">
        <v>44979</v>
      </c>
      <c r="C1911" s="1" t="s">
        <v>1073</v>
      </c>
      <c r="D1911" s="1" t="s">
        <v>147</v>
      </c>
      <c r="E1911" s="1" t="s">
        <v>72</v>
      </c>
      <c r="F1911" s="1" t="s">
        <v>49</v>
      </c>
      <c r="G1911" s="1" t="s">
        <v>83</v>
      </c>
      <c r="H1911" s="1" t="s">
        <v>43</v>
      </c>
      <c r="I1911" s="1" t="s">
        <v>323</v>
      </c>
      <c r="J1911" s="1">
        <v>3</v>
      </c>
      <c r="K1911" s="3">
        <v>4245.0600000000004</v>
      </c>
      <c r="L1911" s="1">
        <v>20</v>
      </c>
      <c r="M1911" s="1" t="s">
        <v>22</v>
      </c>
      <c r="N1911" s="10" t="s">
        <v>45</v>
      </c>
      <c r="Q1911"/>
    </row>
    <row r="1912" spans="1:17" x14ac:dyDescent="0.25">
      <c r="A1912" s="9" t="s">
        <v>2932</v>
      </c>
      <c r="B1912" s="2">
        <v>45225</v>
      </c>
      <c r="C1912" s="1" t="s">
        <v>2013</v>
      </c>
      <c r="D1912" s="1" t="s">
        <v>87</v>
      </c>
      <c r="E1912" s="1" t="s">
        <v>17</v>
      </c>
      <c r="F1912" s="1" t="s">
        <v>28</v>
      </c>
      <c r="G1912" s="1" t="s">
        <v>42</v>
      </c>
      <c r="H1912" s="1" t="s">
        <v>61</v>
      </c>
      <c r="I1912" s="1" t="s">
        <v>250</v>
      </c>
      <c r="J1912" s="1">
        <v>9</v>
      </c>
      <c r="K1912" s="3">
        <v>3906.46</v>
      </c>
      <c r="L1912" s="1">
        <v>5</v>
      </c>
      <c r="M1912" s="1" t="s">
        <v>36</v>
      </c>
      <c r="N1912" s="10" t="s">
        <v>64</v>
      </c>
      <c r="Q1912"/>
    </row>
    <row r="1913" spans="1:17" x14ac:dyDescent="0.25">
      <c r="A1913" s="9" t="s">
        <v>2933</v>
      </c>
      <c r="B1913" s="2">
        <v>45568</v>
      </c>
      <c r="C1913" s="1" t="s">
        <v>439</v>
      </c>
      <c r="D1913" s="1" t="s">
        <v>16</v>
      </c>
      <c r="E1913" s="1" t="s">
        <v>34</v>
      </c>
      <c r="F1913" s="1" t="s">
        <v>18</v>
      </c>
      <c r="G1913" s="1" t="s">
        <v>42</v>
      </c>
      <c r="H1913" s="1" t="s">
        <v>61</v>
      </c>
      <c r="I1913" s="1" t="s">
        <v>62</v>
      </c>
      <c r="J1913" s="1">
        <v>1</v>
      </c>
      <c r="K1913" s="3">
        <v>4464.63</v>
      </c>
      <c r="L1913" s="1">
        <v>20</v>
      </c>
      <c r="M1913" s="1" t="s">
        <v>69</v>
      </c>
      <c r="N1913" s="10" t="s">
        <v>64</v>
      </c>
      <c r="Q1913"/>
    </row>
    <row r="1914" spans="1:17" x14ac:dyDescent="0.25">
      <c r="A1914" s="9" t="s">
        <v>2934</v>
      </c>
      <c r="B1914" s="2">
        <v>45331</v>
      </c>
      <c r="C1914" s="1" t="s">
        <v>614</v>
      </c>
      <c r="D1914" s="1" t="s">
        <v>33</v>
      </c>
      <c r="E1914" s="1" t="s">
        <v>34</v>
      </c>
      <c r="F1914" s="1" t="s">
        <v>49</v>
      </c>
      <c r="G1914" s="1" t="s">
        <v>19</v>
      </c>
      <c r="H1914" s="1" t="s">
        <v>20</v>
      </c>
      <c r="I1914" s="1" t="s">
        <v>239</v>
      </c>
      <c r="J1914" s="1">
        <v>7</v>
      </c>
      <c r="K1914" s="3">
        <v>33349.46</v>
      </c>
      <c r="L1914" s="1" t="s">
        <v>110</v>
      </c>
      <c r="M1914" s="1" t="s">
        <v>63</v>
      </c>
      <c r="N1914" s="10" t="s">
        <v>74</v>
      </c>
      <c r="Q1914"/>
    </row>
    <row r="1915" spans="1:17" x14ac:dyDescent="0.25">
      <c r="A1915" s="9" t="s">
        <v>804</v>
      </c>
      <c r="B1915" s="2">
        <v>44994</v>
      </c>
      <c r="C1915" s="1" t="s">
        <v>988</v>
      </c>
      <c r="D1915" s="1" t="s">
        <v>147</v>
      </c>
      <c r="E1915" s="1" t="s">
        <v>34</v>
      </c>
      <c r="F1915" s="1" t="s">
        <v>49</v>
      </c>
      <c r="G1915" s="1" t="s">
        <v>53</v>
      </c>
      <c r="H1915" s="1" t="s">
        <v>54</v>
      </c>
      <c r="I1915" s="1" t="s">
        <v>548</v>
      </c>
      <c r="J1915" s="1">
        <v>2</v>
      </c>
      <c r="K1915" s="3">
        <v>826.91</v>
      </c>
      <c r="L1915" s="1">
        <v>15</v>
      </c>
      <c r="M1915" s="1" t="s">
        <v>69</v>
      </c>
      <c r="N1915" s="10" t="s">
        <v>23</v>
      </c>
      <c r="Q1915"/>
    </row>
    <row r="1916" spans="1:17" x14ac:dyDescent="0.25">
      <c r="A1916" s="9" t="s">
        <v>2935</v>
      </c>
      <c r="B1916" s="2">
        <v>44972</v>
      </c>
      <c r="C1916" s="1" t="s">
        <v>1540</v>
      </c>
      <c r="D1916" s="1" t="s">
        <v>147</v>
      </c>
      <c r="E1916" s="1" t="s">
        <v>17</v>
      </c>
      <c r="F1916" s="1" t="s">
        <v>82</v>
      </c>
      <c r="G1916" s="1" t="s">
        <v>19</v>
      </c>
      <c r="H1916" s="1" t="s">
        <v>20</v>
      </c>
      <c r="I1916" s="1" t="s">
        <v>280</v>
      </c>
      <c r="J1916" s="1">
        <v>8</v>
      </c>
      <c r="K1916" s="3">
        <v>31403.89</v>
      </c>
      <c r="L1916" s="1" t="s">
        <v>110</v>
      </c>
      <c r="M1916" s="1" t="s">
        <v>22</v>
      </c>
      <c r="N1916" s="10" t="s">
        <v>45</v>
      </c>
      <c r="Q1916"/>
    </row>
    <row r="1917" spans="1:17" x14ac:dyDescent="0.25">
      <c r="A1917" s="9" t="s">
        <v>2936</v>
      </c>
      <c r="B1917" s="2">
        <v>45097</v>
      </c>
      <c r="C1917" s="1" t="s">
        <v>974</v>
      </c>
      <c r="D1917" s="1" t="s">
        <v>71</v>
      </c>
      <c r="E1917" s="1" t="s">
        <v>72</v>
      </c>
      <c r="F1917" s="1" t="s">
        <v>88</v>
      </c>
      <c r="G1917" s="1" t="s">
        <v>83</v>
      </c>
      <c r="H1917" s="1" t="s">
        <v>43</v>
      </c>
      <c r="I1917" s="1" t="s">
        <v>288</v>
      </c>
      <c r="J1917" s="1">
        <v>-2</v>
      </c>
      <c r="K1917" s="3">
        <v>1813.55</v>
      </c>
      <c r="L1917" s="1">
        <v>5</v>
      </c>
      <c r="M1917" s="1" t="s">
        <v>69</v>
      </c>
      <c r="N1917" s="10" t="s">
        <v>74</v>
      </c>
      <c r="Q1917"/>
    </row>
    <row r="1918" spans="1:17" x14ac:dyDescent="0.25">
      <c r="A1918" s="9" t="s">
        <v>2937</v>
      </c>
      <c r="B1918" s="2">
        <v>45016</v>
      </c>
      <c r="C1918" s="1" t="s">
        <v>514</v>
      </c>
      <c r="D1918" s="1" t="s">
        <v>40</v>
      </c>
      <c r="E1918" s="1" t="s">
        <v>27</v>
      </c>
      <c r="F1918" s="1" t="s">
        <v>49</v>
      </c>
      <c r="G1918" s="1" t="s">
        <v>83</v>
      </c>
      <c r="H1918" s="1" t="s">
        <v>43</v>
      </c>
      <c r="I1918" s="1" t="s">
        <v>288</v>
      </c>
      <c r="J1918" s="1">
        <v>4</v>
      </c>
      <c r="K1918" s="3">
        <v>6144.24</v>
      </c>
      <c r="L1918" s="1">
        <v>15</v>
      </c>
      <c r="M1918" s="1" t="s">
        <v>56</v>
      </c>
      <c r="N1918" s="10" t="s">
        <v>37</v>
      </c>
      <c r="Q1918"/>
    </row>
    <row r="1919" spans="1:17" x14ac:dyDescent="0.25">
      <c r="A1919" s="9" t="s">
        <v>2938</v>
      </c>
      <c r="B1919" s="2">
        <v>45485</v>
      </c>
      <c r="C1919" s="1" t="s">
        <v>1377</v>
      </c>
      <c r="D1919" s="1" t="s">
        <v>147</v>
      </c>
      <c r="E1919" s="1" t="s">
        <v>34</v>
      </c>
      <c r="F1919" s="1" t="s">
        <v>82</v>
      </c>
      <c r="G1919" s="1" t="s">
        <v>42</v>
      </c>
      <c r="H1919" s="1" t="s">
        <v>61</v>
      </c>
      <c r="I1919" s="1" t="s">
        <v>632</v>
      </c>
      <c r="J1919" s="1">
        <v>10</v>
      </c>
      <c r="K1919" s="3">
        <v>9528.16</v>
      </c>
      <c r="L1919" s="1" t="s">
        <v>110</v>
      </c>
      <c r="M1919" s="1" t="s">
        <v>69</v>
      </c>
      <c r="N1919" s="10" t="s">
        <v>74</v>
      </c>
      <c r="Q1919"/>
    </row>
    <row r="1920" spans="1:17" x14ac:dyDescent="0.25">
      <c r="A1920" s="9" t="s">
        <v>2939</v>
      </c>
      <c r="B1920" s="2">
        <v>45400</v>
      </c>
      <c r="C1920" s="1" t="s">
        <v>1616</v>
      </c>
      <c r="D1920" s="1" t="s">
        <v>67</v>
      </c>
      <c r="E1920" s="1" t="s">
        <v>72</v>
      </c>
      <c r="F1920" s="1" t="s">
        <v>18</v>
      </c>
      <c r="G1920" s="1" t="s">
        <v>53</v>
      </c>
      <c r="H1920" s="1" t="s">
        <v>54</v>
      </c>
      <c r="I1920" s="1" t="s">
        <v>554</v>
      </c>
      <c r="J1920" s="1">
        <v>9</v>
      </c>
      <c r="K1920" s="3">
        <v>15484.92</v>
      </c>
      <c r="L1920" s="1">
        <v>20</v>
      </c>
      <c r="M1920" s="1" t="s">
        <v>69</v>
      </c>
      <c r="N1920" s="10" t="s">
        <v>31</v>
      </c>
      <c r="Q1920"/>
    </row>
    <row r="1921" spans="1:17" x14ac:dyDescent="0.25">
      <c r="A1921" s="9" t="s">
        <v>2940</v>
      </c>
      <c r="B1921" s="2">
        <v>45352</v>
      </c>
      <c r="C1921" s="1" t="s">
        <v>2604</v>
      </c>
      <c r="D1921" s="1" t="s">
        <v>26</v>
      </c>
      <c r="E1921" s="1" t="s">
        <v>27</v>
      </c>
      <c r="F1921" s="1" t="s">
        <v>82</v>
      </c>
      <c r="G1921" s="1" t="s">
        <v>19</v>
      </c>
      <c r="H1921" s="1" t="s">
        <v>29</v>
      </c>
      <c r="I1921" s="1" t="s">
        <v>830</v>
      </c>
      <c r="J1921" s="1">
        <v>9</v>
      </c>
      <c r="K1921" s="3">
        <v>35633.57</v>
      </c>
      <c r="L1921" s="1">
        <v>0</v>
      </c>
      <c r="M1921" s="1" t="s">
        <v>56</v>
      </c>
      <c r="N1921" s="10" t="s">
        <v>74</v>
      </c>
      <c r="Q1921"/>
    </row>
    <row r="1922" spans="1:17" x14ac:dyDescent="0.25">
      <c r="A1922" s="9" t="s">
        <v>2941</v>
      </c>
      <c r="B1922" s="2">
        <v>45458</v>
      </c>
      <c r="C1922" s="1" t="s">
        <v>1702</v>
      </c>
      <c r="D1922" s="1" t="s">
        <v>378</v>
      </c>
      <c r="E1922" s="1" t="s">
        <v>27</v>
      </c>
      <c r="F1922" s="1" t="s">
        <v>49</v>
      </c>
      <c r="G1922" s="1" t="s">
        <v>53</v>
      </c>
      <c r="H1922" s="1" t="s">
        <v>54</v>
      </c>
      <c r="I1922" s="1" t="s">
        <v>1334</v>
      </c>
      <c r="J1922" s="1">
        <v>4</v>
      </c>
      <c r="K1922" s="3">
        <v>1196.9100000000001</v>
      </c>
      <c r="L1922" s="1">
        <v>10</v>
      </c>
      <c r="M1922" s="1" t="s">
        <v>69</v>
      </c>
      <c r="N1922" s="10" t="s">
        <v>23</v>
      </c>
      <c r="Q1922"/>
    </row>
    <row r="1923" spans="1:17" x14ac:dyDescent="0.25">
      <c r="A1923" s="9" t="s">
        <v>2942</v>
      </c>
      <c r="B1923" s="2">
        <v>45180</v>
      </c>
      <c r="C1923" s="1" t="s">
        <v>1741</v>
      </c>
      <c r="D1923" s="1" t="s">
        <v>52</v>
      </c>
      <c r="E1923" s="1" t="s">
        <v>27</v>
      </c>
      <c r="F1923" s="1" t="s">
        <v>49</v>
      </c>
      <c r="G1923" s="1" t="s">
        <v>42</v>
      </c>
      <c r="H1923" s="1" t="s">
        <v>61</v>
      </c>
      <c r="I1923" s="1" t="s">
        <v>833</v>
      </c>
      <c r="J1923" s="1">
        <v>5</v>
      </c>
      <c r="K1923" s="3">
        <v>13660.44</v>
      </c>
      <c r="L1923" s="1" t="s">
        <v>110</v>
      </c>
      <c r="M1923" s="1" t="s">
        <v>63</v>
      </c>
      <c r="N1923" s="10" t="s">
        <v>23</v>
      </c>
      <c r="Q1923"/>
    </row>
    <row r="1924" spans="1:17" x14ac:dyDescent="0.25">
      <c r="A1924" s="9" t="s">
        <v>2943</v>
      </c>
      <c r="B1924" s="2">
        <v>45140</v>
      </c>
      <c r="C1924" s="1" t="s">
        <v>759</v>
      </c>
      <c r="D1924" s="1" t="s">
        <v>33</v>
      </c>
      <c r="E1924" s="1" t="s">
        <v>17</v>
      </c>
      <c r="F1924" s="1" t="s">
        <v>82</v>
      </c>
      <c r="G1924" s="1" t="s">
        <v>19</v>
      </c>
      <c r="H1924" s="1" t="s">
        <v>29</v>
      </c>
      <c r="I1924" s="1" t="s">
        <v>141</v>
      </c>
      <c r="J1924" s="1">
        <v>7</v>
      </c>
      <c r="K1924" s="3">
        <v>32496.41</v>
      </c>
      <c r="L1924" s="1">
        <v>20</v>
      </c>
      <c r="M1924" s="1" t="s">
        <v>22</v>
      </c>
      <c r="N1924" s="10" t="s">
        <v>64</v>
      </c>
      <c r="Q1924"/>
    </row>
    <row r="1925" spans="1:17" x14ac:dyDescent="0.25">
      <c r="A1925" s="9" t="s">
        <v>2944</v>
      </c>
      <c r="B1925" s="2">
        <v>45232</v>
      </c>
      <c r="C1925" s="1" t="s">
        <v>1897</v>
      </c>
      <c r="D1925" s="1" t="s">
        <v>52</v>
      </c>
      <c r="E1925" s="1" t="s">
        <v>41</v>
      </c>
      <c r="F1925" s="1" t="s">
        <v>60</v>
      </c>
      <c r="G1925" s="1" t="s">
        <v>53</v>
      </c>
      <c r="H1925" s="1" t="s">
        <v>54</v>
      </c>
      <c r="I1925" s="1" t="s">
        <v>1334</v>
      </c>
      <c r="J1925" s="1">
        <v>10</v>
      </c>
      <c r="K1925" s="3">
        <v>28697.66</v>
      </c>
      <c r="L1925" s="1">
        <v>10</v>
      </c>
      <c r="M1925" s="1" t="s">
        <v>22</v>
      </c>
      <c r="N1925" s="10" t="s">
        <v>64</v>
      </c>
      <c r="Q1925"/>
    </row>
    <row r="1926" spans="1:17" x14ac:dyDescent="0.25">
      <c r="A1926" s="9" t="s">
        <v>2945</v>
      </c>
      <c r="B1926" s="2">
        <v>45140</v>
      </c>
      <c r="C1926" s="1" t="s">
        <v>379</v>
      </c>
      <c r="D1926" s="1" t="s">
        <v>81</v>
      </c>
      <c r="E1926" s="1" t="s">
        <v>34</v>
      </c>
      <c r="F1926" s="1" t="s">
        <v>82</v>
      </c>
      <c r="G1926" s="1" t="s">
        <v>42</v>
      </c>
      <c r="H1926" s="1" t="s">
        <v>61</v>
      </c>
      <c r="I1926" s="1" t="s">
        <v>115</v>
      </c>
      <c r="J1926" s="1">
        <v>7</v>
      </c>
      <c r="K1926" s="3">
        <v>20507.54</v>
      </c>
      <c r="L1926" s="1">
        <v>20</v>
      </c>
      <c r="M1926" s="1" t="s">
        <v>22</v>
      </c>
      <c r="N1926" s="10" t="s">
        <v>37</v>
      </c>
      <c r="Q1926"/>
    </row>
    <row r="1927" spans="1:17" x14ac:dyDescent="0.25">
      <c r="A1927" s="9" t="s">
        <v>2946</v>
      </c>
      <c r="B1927" s="2">
        <v>45289</v>
      </c>
      <c r="C1927" s="1" t="s">
        <v>2947</v>
      </c>
      <c r="D1927" s="1" t="s">
        <v>26</v>
      </c>
      <c r="E1927" s="1" t="s">
        <v>17</v>
      </c>
      <c r="F1927" s="1" t="s">
        <v>49</v>
      </c>
      <c r="G1927" s="1" t="s">
        <v>19</v>
      </c>
      <c r="H1927" s="1" t="s">
        <v>29</v>
      </c>
      <c r="I1927" s="1" t="s">
        <v>830</v>
      </c>
      <c r="J1927" s="1">
        <v>6</v>
      </c>
      <c r="K1927" s="3">
        <v>27766.89</v>
      </c>
      <c r="L1927" s="1">
        <v>0</v>
      </c>
      <c r="M1927" s="1" t="s">
        <v>69</v>
      </c>
      <c r="N1927" s="10" t="s">
        <v>45</v>
      </c>
      <c r="Q1927"/>
    </row>
    <row r="1928" spans="1:17" x14ac:dyDescent="0.25">
      <c r="A1928" s="9" t="s">
        <v>2948</v>
      </c>
      <c r="B1928" s="2">
        <v>45440</v>
      </c>
      <c r="C1928" s="1" t="s">
        <v>1883</v>
      </c>
      <c r="D1928" s="1" t="s">
        <v>378</v>
      </c>
      <c r="E1928" s="1" t="s">
        <v>27</v>
      </c>
      <c r="F1928" s="1" t="s">
        <v>18</v>
      </c>
      <c r="G1928" s="1" t="s">
        <v>19</v>
      </c>
      <c r="H1928" s="1" t="s">
        <v>29</v>
      </c>
      <c r="I1928" s="1" t="s">
        <v>223</v>
      </c>
      <c r="J1928" s="1">
        <v>3</v>
      </c>
      <c r="K1928" s="3">
        <v>11305.52</v>
      </c>
      <c r="L1928" s="1" t="s">
        <v>110</v>
      </c>
      <c r="M1928" s="1" t="s">
        <v>56</v>
      </c>
      <c r="N1928" s="10" t="s">
        <v>37</v>
      </c>
      <c r="Q1928"/>
    </row>
    <row r="1929" spans="1:17" x14ac:dyDescent="0.25">
      <c r="A1929" s="9" t="s">
        <v>2949</v>
      </c>
      <c r="B1929" s="2">
        <v>45501</v>
      </c>
      <c r="C1929" s="1" t="s">
        <v>51</v>
      </c>
      <c r="D1929" s="1" t="s">
        <v>52</v>
      </c>
      <c r="E1929" s="1" t="s">
        <v>72</v>
      </c>
      <c r="F1929" s="1" t="s">
        <v>28</v>
      </c>
      <c r="G1929" s="1" t="s">
        <v>19</v>
      </c>
      <c r="H1929" s="1" t="s">
        <v>29</v>
      </c>
      <c r="I1929" s="1" t="s">
        <v>646</v>
      </c>
      <c r="J1929" s="1">
        <v>5</v>
      </c>
      <c r="K1929" s="3">
        <v>5466.77</v>
      </c>
      <c r="L1929" s="1">
        <v>20</v>
      </c>
      <c r="M1929" s="1" t="s">
        <v>69</v>
      </c>
      <c r="N1929" s="10" t="s">
        <v>37</v>
      </c>
      <c r="Q1929"/>
    </row>
    <row r="1930" spans="1:17" x14ac:dyDescent="0.25">
      <c r="A1930" s="9" t="s">
        <v>2950</v>
      </c>
      <c r="B1930" s="2">
        <v>45097</v>
      </c>
      <c r="C1930" s="1" t="s">
        <v>331</v>
      </c>
      <c r="D1930" s="1" t="s">
        <v>67</v>
      </c>
      <c r="E1930" s="1" t="s">
        <v>41</v>
      </c>
      <c r="F1930" s="1" t="s">
        <v>18</v>
      </c>
      <c r="G1930" s="1" t="s">
        <v>53</v>
      </c>
      <c r="H1930" s="1" t="s">
        <v>54</v>
      </c>
      <c r="I1930" s="1" t="s">
        <v>132</v>
      </c>
      <c r="J1930" s="1">
        <v>9</v>
      </c>
      <c r="K1930" s="3">
        <v>22588.080000000002</v>
      </c>
      <c r="L1930" s="1">
        <v>15</v>
      </c>
      <c r="M1930" s="1" t="s">
        <v>93</v>
      </c>
      <c r="N1930" s="10" t="s">
        <v>23</v>
      </c>
      <c r="Q1930"/>
    </row>
    <row r="1931" spans="1:17" x14ac:dyDescent="0.25">
      <c r="A1931" s="9" t="s">
        <v>2951</v>
      </c>
      <c r="B1931" s="2">
        <v>45233</v>
      </c>
      <c r="C1931" s="1" t="s">
        <v>1474</v>
      </c>
      <c r="D1931" s="1" t="s">
        <v>26</v>
      </c>
      <c r="E1931" s="1" t="s">
        <v>34</v>
      </c>
      <c r="F1931" s="1" t="s">
        <v>82</v>
      </c>
      <c r="G1931" s="1" t="s">
        <v>42</v>
      </c>
      <c r="H1931" s="1" t="s">
        <v>61</v>
      </c>
      <c r="I1931" s="1" t="s">
        <v>440</v>
      </c>
      <c r="J1931" s="1">
        <v>1</v>
      </c>
      <c r="K1931" s="3">
        <v>4473.5</v>
      </c>
      <c r="L1931" s="1">
        <v>10</v>
      </c>
      <c r="M1931" s="1" t="s">
        <v>22</v>
      </c>
      <c r="N1931" s="10" t="s">
        <v>23</v>
      </c>
      <c r="Q1931"/>
    </row>
    <row r="1932" spans="1:17" x14ac:dyDescent="0.25">
      <c r="A1932" s="9" t="s">
        <v>2952</v>
      </c>
      <c r="B1932" s="2">
        <v>45595</v>
      </c>
      <c r="C1932" s="1" t="s">
        <v>2778</v>
      </c>
      <c r="D1932" s="1" t="s">
        <v>147</v>
      </c>
      <c r="E1932" s="1" t="s">
        <v>72</v>
      </c>
      <c r="F1932" s="1" t="s">
        <v>82</v>
      </c>
      <c r="G1932" s="1" t="s">
        <v>42</v>
      </c>
      <c r="H1932" s="1" t="s">
        <v>61</v>
      </c>
      <c r="I1932" s="1" t="s">
        <v>632</v>
      </c>
      <c r="J1932" s="1">
        <v>8</v>
      </c>
      <c r="K1932" s="3">
        <v>38090.76</v>
      </c>
      <c r="L1932" s="1">
        <v>5</v>
      </c>
      <c r="M1932" s="1" t="s">
        <v>36</v>
      </c>
      <c r="N1932" s="10" t="s">
        <v>64</v>
      </c>
      <c r="Q1932"/>
    </row>
    <row r="1933" spans="1:17" x14ac:dyDescent="0.25">
      <c r="A1933" s="9" t="s">
        <v>2953</v>
      </c>
      <c r="B1933" s="2">
        <v>45426</v>
      </c>
      <c r="C1933" s="1" t="s">
        <v>1977</v>
      </c>
      <c r="D1933" s="1" t="s">
        <v>33</v>
      </c>
      <c r="E1933" s="1" t="s">
        <v>17</v>
      </c>
      <c r="F1933" s="1" t="s">
        <v>18</v>
      </c>
      <c r="G1933" s="1" t="s">
        <v>19</v>
      </c>
      <c r="H1933" s="1" t="s">
        <v>20</v>
      </c>
      <c r="I1933" s="1" t="s">
        <v>1234</v>
      </c>
      <c r="J1933" s="1">
        <v>7</v>
      </c>
      <c r="K1933" s="3">
        <v>22010.51</v>
      </c>
      <c r="L1933" s="1" t="s">
        <v>110</v>
      </c>
      <c r="M1933" s="1" t="s">
        <v>63</v>
      </c>
      <c r="N1933" s="10" t="s">
        <v>74</v>
      </c>
      <c r="Q1933"/>
    </row>
    <row r="1934" spans="1:17" x14ac:dyDescent="0.25">
      <c r="A1934" s="9" t="s">
        <v>2954</v>
      </c>
      <c r="B1934" s="2">
        <v>45185</v>
      </c>
      <c r="C1934" s="1" t="s">
        <v>1353</v>
      </c>
      <c r="D1934" s="1" t="s">
        <v>40</v>
      </c>
      <c r="E1934" s="1" t="s">
        <v>72</v>
      </c>
      <c r="F1934" s="1" t="s">
        <v>18</v>
      </c>
      <c r="G1934" s="1" t="s">
        <v>19</v>
      </c>
      <c r="H1934" s="1" t="s">
        <v>29</v>
      </c>
      <c r="I1934" s="1" t="s">
        <v>162</v>
      </c>
      <c r="J1934" s="1">
        <v>1</v>
      </c>
      <c r="K1934" s="3">
        <v>1369.2</v>
      </c>
      <c r="L1934" s="1">
        <v>10</v>
      </c>
      <c r="M1934" s="1" t="s">
        <v>36</v>
      </c>
      <c r="N1934" s="10" t="s">
        <v>45</v>
      </c>
      <c r="Q1934"/>
    </row>
    <row r="1935" spans="1:17" x14ac:dyDescent="0.25">
      <c r="A1935" s="9" t="s">
        <v>2955</v>
      </c>
      <c r="B1935" s="2">
        <v>45468</v>
      </c>
      <c r="C1935" s="1" t="s">
        <v>1461</v>
      </c>
      <c r="D1935" s="1" t="s">
        <v>147</v>
      </c>
      <c r="E1935" s="1" t="s">
        <v>59</v>
      </c>
      <c r="F1935" s="1" t="s">
        <v>88</v>
      </c>
      <c r="G1935" s="1" t="s">
        <v>19</v>
      </c>
      <c r="H1935" s="1" t="s">
        <v>20</v>
      </c>
      <c r="I1935" s="1" t="s">
        <v>928</v>
      </c>
      <c r="J1935" s="1">
        <v>6</v>
      </c>
      <c r="K1935" s="3">
        <v>6744.46</v>
      </c>
      <c r="L1935" s="1">
        <v>20</v>
      </c>
      <c r="M1935" s="1" t="s">
        <v>93</v>
      </c>
      <c r="N1935" s="10" t="s">
        <v>64</v>
      </c>
      <c r="Q1935"/>
    </row>
    <row r="1936" spans="1:17" x14ac:dyDescent="0.25">
      <c r="A1936" s="9" t="s">
        <v>2956</v>
      </c>
      <c r="B1936" s="2">
        <v>45098</v>
      </c>
      <c r="C1936" s="1" t="s">
        <v>140</v>
      </c>
      <c r="D1936" s="1" t="s">
        <v>33</v>
      </c>
      <c r="E1936" s="1" t="s">
        <v>34</v>
      </c>
      <c r="F1936" s="1" t="s">
        <v>18</v>
      </c>
      <c r="G1936" s="1" t="s">
        <v>19</v>
      </c>
      <c r="H1936" s="1" t="s">
        <v>29</v>
      </c>
      <c r="I1936" s="1" t="s">
        <v>148</v>
      </c>
      <c r="J1936" s="1">
        <v>8</v>
      </c>
      <c r="K1936" s="3">
        <v>13957.93</v>
      </c>
      <c r="L1936" s="1">
        <v>5</v>
      </c>
      <c r="M1936" s="1" t="s">
        <v>63</v>
      </c>
      <c r="N1936" s="10" t="s">
        <v>74</v>
      </c>
      <c r="Q1936"/>
    </row>
    <row r="1937" spans="1:17" x14ac:dyDescent="0.25">
      <c r="A1937" s="9" t="s">
        <v>2957</v>
      </c>
      <c r="B1937" s="2">
        <v>45143</v>
      </c>
      <c r="C1937" s="1" t="s">
        <v>1060</v>
      </c>
      <c r="D1937" s="1" t="s">
        <v>147</v>
      </c>
      <c r="E1937" s="1" t="s">
        <v>59</v>
      </c>
      <c r="F1937" s="1" t="s">
        <v>88</v>
      </c>
      <c r="G1937" s="1" t="s">
        <v>42</v>
      </c>
      <c r="H1937" s="1" t="s">
        <v>43</v>
      </c>
      <c r="I1937" s="1" t="s">
        <v>144</v>
      </c>
      <c r="J1937" s="1">
        <v>4</v>
      </c>
      <c r="K1937" s="3">
        <v>18979.8</v>
      </c>
      <c r="L1937" s="1" t="s">
        <v>110</v>
      </c>
      <c r="M1937" s="1" t="s">
        <v>56</v>
      </c>
      <c r="N1937" s="10" t="s">
        <v>23</v>
      </c>
      <c r="Q1937"/>
    </row>
    <row r="1938" spans="1:17" x14ac:dyDescent="0.25">
      <c r="A1938" s="9" t="s">
        <v>2958</v>
      </c>
      <c r="B1938" s="2">
        <v>45277</v>
      </c>
      <c r="C1938" s="1" t="s">
        <v>2553</v>
      </c>
      <c r="D1938" s="1" t="s">
        <v>147</v>
      </c>
      <c r="E1938" s="1" t="s">
        <v>34</v>
      </c>
      <c r="F1938" s="1" t="s">
        <v>49</v>
      </c>
      <c r="G1938" s="1" t="s">
        <v>19</v>
      </c>
      <c r="H1938" s="1" t="s">
        <v>20</v>
      </c>
      <c r="I1938" s="1" t="s">
        <v>179</v>
      </c>
      <c r="J1938" s="1">
        <v>8</v>
      </c>
      <c r="K1938" s="3">
        <v>13442.45</v>
      </c>
      <c r="L1938" s="1">
        <v>15</v>
      </c>
      <c r="M1938" s="1" t="s">
        <v>69</v>
      </c>
      <c r="N1938" s="10" t="s">
        <v>45</v>
      </c>
      <c r="Q1938"/>
    </row>
    <row r="1939" spans="1:17" x14ac:dyDescent="0.25">
      <c r="A1939" s="9" t="s">
        <v>2959</v>
      </c>
      <c r="B1939" s="2">
        <v>45474</v>
      </c>
      <c r="C1939" s="1" t="s">
        <v>2717</v>
      </c>
      <c r="D1939" s="1" t="s">
        <v>67</v>
      </c>
      <c r="E1939" s="1" t="s">
        <v>17</v>
      </c>
      <c r="F1939" s="1" t="s">
        <v>49</v>
      </c>
      <c r="G1939" s="1" t="s">
        <v>42</v>
      </c>
      <c r="H1939" s="1" t="s">
        <v>61</v>
      </c>
      <c r="I1939" s="1" t="s">
        <v>305</v>
      </c>
      <c r="J1939" s="1">
        <v>5</v>
      </c>
      <c r="K1939" s="3">
        <v>9922.18</v>
      </c>
      <c r="L1939" s="1" t="s">
        <v>110</v>
      </c>
      <c r="M1939" s="1" t="s">
        <v>93</v>
      </c>
      <c r="N1939" s="10" t="s">
        <v>74</v>
      </c>
      <c r="Q1939"/>
    </row>
    <row r="1940" spans="1:17" x14ac:dyDescent="0.25">
      <c r="A1940" s="9" t="s">
        <v>2960</v>
      </c>
      <c r="B1940" s="2">
        <v>45650</v>
      </c>
      <c r="C1940" s="1" t="s">
        <v>420</v>
      </c>
      <c r="D1940" s="1" t="s">
        <v>81</v>
      </c>
      <c r="E1940" s="1" t="s">
        <v>72</v>
      </c>
      <c r="F1940" s="1" t="s">
        <v>82</v>
      </c>
      <c r="G1940" s="1" t="s">
        <v>42</v>
      </c>
      <c r="H1940" s="1" t="s">
        <v>61</v>
      </c>
      <c r="I1940" s="1" t="s">
        <v>440</v>
      </c>
      <c r="J1940" s="1">
        <v>8</v>
      </c>
      <c r="K1940" s="3">
        <v>7103.14</v>
      </c>
      <c r="L1940" s="1">
        <v>15</v>
      </c>
      <c r="M1940" s="1" t="s">
        <v>93</v>
      </c>
      <c r="N1940" s="10" t="s">
        <v>45</v>
      </c>
      <c r="Q1940"/>
    </row>
    <row r="1941" spans="1:17" x14ac:dyDescent="0.25">
      <c r="A1941" s="9" t="s">
        <v>2961</v>
      </c>
      <c r="B1941" s="2">
        <v>45012</v>
      </c>
      <c r="C1941" s="1" t="s">
        <v>524</v>
      </c>
      <c r="D1941" s="1" t="s">
        <v>40</v>
      </c>
      <c r="E1941" s="1" t="s">
        <v>72</v>
      </c>
      <c r="F1941" s="1" t="s">
        <v>49</v>
      </c>
      <c r="G1941" s="1" t="s">
        <v>19</v>
      </c>
      <c r="H1941" s="1" t="s">
        <v>29</v>
      </c>
      <c r="I1941" s="1" t="s">
        <v>141</v>
      </c>
      <c r="J1941" s="1">
        <v>4</v>
      </c>
      <c r="K1941" s="3">
        <v>14543.45</v>
      </c>
      <c r="L1941" s="1">
        <v>10</v>
      </c>
      <c r="M1941" s="1" t="s">
        <v>63</v>
      </c>
      <c r="N1941" s="10" t="s">
        <v>37</v>
      </c>
      <c r="Q1941"/>
    </row>
    <row r="1942" spans="1:17" x14ac:dyDescent="0.25">
      <c r="A1942" s="9" t="s">
        <v>2962</v>
      </c>
      <c r="B1942" s="2">
        <v>45382</v>
      </c>
      <c r="C1942" s="1" t="s">
        <v>1843</v>
      </c>
      <c r="D1942" s="1" t="s">
        <v>67</v>
      </c>
      <c r="E1942" s="1" t="s">
        <v>59</v>
      </c>
      <c r="F1942" s="1" t="s">
        <v>82</v>
      </c>
      <c r="G1942" s="1" t="s">
        <v>53</v>
      </c>
      <c r="H1942" s="1" t="s">
        <v>54</v>
      </c>
      <c r="I1942" s="1" t="s">
        <v>518</v>
      </c>
      <c r="J1942" s="1">
        <v>4</v>
      </c>
      <c r="K1942" s="3">
        <v>5770.09</v>
      </c>
      <c r="L1942" s="1">
        <v>15</v>
      </c>
      <c r="M1942" s="1" t="s">
        <v>63</v>
      </c>
      <c r="N1942" s="10" t="s">
        <v>64</v>
      </c>
      <c r="Q1942"/>
    </row>
    <row r="1943" spans="1:17" x14ac:dyDescent="0.25">
      <c r="A1943" s="9" t="s">
        <v>2963</v>
      </c>
      <c r="B1943" s="2">
        <v>45423</v>
      </c>
      <c r="C1943" s="1" t="s">
        <v>654</v>
      </c>
      <c r="D1943" s="1" t="s">
        <v>81</v>
      </c>
      <c r="E1943" s="1" t="s">
        <v>34</v>
      </c>
      <c r="F1943" s="1" t="s">
        <v>99</v>
      </c>
      <c r="G1943" s="1" t="s">
        <v>53</v>
      </c>
      <c r="H1943" s="1" t="s">
        <v>54</v>
      </c>
      <c r="I1943" s="1" t="s">
        <v>427</v>
      </c>
      <c r="J1943" s="1">
        <v>1</v>
      </c>
      <c r="K1943" s="3">
        <v>3878.37</v>
      </c>
      <c r="L1943" s="1">
        <v>0</v>
      </c>
      <c r="M1943" s="1" t="s">
        <v>63</v>
      </c>
      <c r="N1943" s="10" t="s">
        <v>37</v>
      </c>
      <c r="Q1943"/>
    </row>
    <row r="1944" spans="1:17" x14ac:dyDescent="0.25">
      <c r="A1944" s="9" t="s">
        <v>2964</v>
      </c>
      <c r="B1944" s="2">
        <v>45538</v>
      </c>
      <c r="C1944" s="1" t="s">
        <v>2965</v>
      </c>
      <c r="D1944" s="1" t="s">
        <v>147</v>
      </c>
      <c r="E1944" s="1" t="s">
        <v>72</v>
      </c>
      <c r="F1944" s="1" t="s">
        <v>88</v>
      </c>
      <c r="G1944" s="1" t="s">
        <v>19</v>
      </c>
      <c r="H1944" s="1" t="s">
        <v>20</v>
      </c>
      <c r="I1944" s="1" t="s">
        <v>187</v>
      </c>
      <c r="J1944" s="1">
        <v>9</v>
      </c>
      <c r="K1944" s="3">
        <v>12181.68</v>
      </c>
      <c r="L1944" s="1" t="s">
        <v>110</v>
      </c>
      <c r="M1944" s="1" t="s">
        <v>22</v>
      </c>
      <c r="N1944" s="10" t="s">
        <v>23</v>
      </c>
      <c r="Q1944"/>
    </row>
    <row r="1945" spans="1:17" x14ac:dyDescent="0.25">
      <c r="A1945" s="9" t="s">
        <v>2966</v>
      </c>
      <c r="B1945" s="2">
        <v>45232</v>
      </c>
      <c r="C1945" s="1" t="s">
        <v>462</v>
      </c>
      <c r="D1945" s="1" t="s">
        <v>87</v>
      </c>
      <c r="E1945" s="1" t="s">
        <v>34</v>
      </c>
      <c r="F1945" s="1" t="s">
        <v>88</v>
      </c>
      <c r="G1945" s="1" t="s">
        <v>83</v>
      </c>
      <c r="H1945" s="1" t="s">
        <v>43</v>
      </c>
      <c r="I1945" s="1" t="s">
        <v>329</v>
      </c>
      <c r="J1945" s="1">
        <v>8</v>
      </c>
      <c r="K1945" s="3">
        <v>10617.89</v>
      </c>
      <c r="L1945" s="1">
        <v>20</v>
      </c>
      <c r="M1945" s="1" t="s">
        <v>36</v>
      </c>
      <c r="N1945" s="10" t="s">
        <v>74</v>
      </c>
      <c r="Q1945"/>
    </row>
    <row r="1946" spans="1:17" x14ac:dyDescent="0.25">
      <c r="A1946" s="9" t="s">
        <v>2967</v>
      </c>
      <c r="B1946" s="2">
        <v>44962</v>
      </c>
      <c r="C1946" s="1" t="s">
        <v>2330</v>
      </c>
      <c r="D1946" s="1" t="s">
        <v>71</v>
      </c>
      <c r="E1946" s="1" t="s">
        <v>72</v>
      </c>
      <c r="F1946" s="1" t="s">
        <v>60</v>
      </c>
      <c r="G1946" s="1" t="s">
        <v>83</v>
      </c>
      <c r="H1946" s="1" t="s">
        <v>43</v>
      </c>
      <c r="I1946" s="1" t="s">
        <v>50</v>
      </c>
      <c r="J1946" s="1">
        <v>5</v>
      </c>
      <c r="K1946" s="3">
        <v>3501.06</v>
      </c>
      <c r="L1946" s="1">
        <v>5</v>
      </c>
      <c r="M1946" s="1" t="s">
        <v>56</v>
      </c>
      <c r="N1946" s="10" t="s">
        <v>23</v>
      </c>
      <c r="Q1946"/>
    </row>
    <row r="1947" spans="1:17" x14ac:dyDescent="0.25">
      <c r="A1947" s="9" t="s">
        <v>2968</v>
      </c>
      <c r="B1947" s="2">
        <v>45063</v>
      </c>
      <c r="C1947" s="1" t="s">
        <v>1996</v>
      </c>
      <c r="D1947" s="1" t="s">
        <v>87</v>
      </c>
      <c r="E1947" s="1" t="s">
        <v>27</v>
      </c>
      <c r="F1947" s="1" t="s">
        <v>82</v>
      </c>
      <c r="G1947" s="1" t="s">
        <v>53</v>
      </c>
      <c r="H1947" s="1" t="s">
        <v>54</v>
      </c>
      <c r="I1947" s="1" t="s">
        <v>333</v>
      </c>
      <c r="J1947" s="1">
        <v>1</v>
      </c>
      <c r="K1947" s="3">
        <v>839.8</v>
      </c>
      <c r="L1947" s="1">
        <v>20</v>
      </c>
      <c r="M1947" s="1" t="s">
        <v>93</v>
      </c>
      <c r="N1947" s="10" t="s">
        <v>31</v>
      </c>
      <c r="Q1947"/>
    </row>
    <row r="1948" spans="1:17" x14ac:dyDescent="0.25">
      <c r="A1948" s="9" t="s">
        <v>2969</v>
      </c>
      <c r="B1948" s="2">
        <v>45321</v>
      </c>
      <c r="C1948" s="1" t="s">
        <v>70</v>
      </c>
      <c r="D1948" s="1" t="s">
        <v>67</v>
      </c>
      <c r="E1948" s="1" t="s">
        <v>27</v>
      </c>
      <c r="F1948" s="1" t="s">
        <v>99</v>
      </c>
      <c r="G1948" s="1" t="s">
        <v>19</v>
      </c>
      <c r="H1948" s="1" t="s">
        <v>20</v>
      </c>
      <c r="I1948" s="1" t="s">
        <v>280</v>
      </c>
      <c r="J1948" s="1">
        <v>7</v>
      </c>
      <c r="K1948" s="3">
        <v>25244.9</v>
      </c>
      <c r="L1948" s="1">
        <v>0</v>
      </c>
      <c r="M1948" s="1" t="s">
        <v>36</v>
      </c>
      <c r="N1948" s="10" t="s">
        <v>64</v>
      </c>
      <c r="Q1948"/>
    </row>
    <row r="1949" spans="1:17" x14ac:dyDescent="0.25">
      <c r="A1949" s="9" t="s">
        <v>2970</v>
      </c>
      <c r="B1949" s="2">
        <v>45646</v>
      </c>
      <c r="C1949" s="1" t="s">
        <v>841</v>
      </c>
      <c r="D1949" s="1" t="s">
        <v>52</v>
      </c>
      <c r="E1949" s="1" t="s">
        <v>27</v>
      </c>
      <c r="F1949" s="1" t="s">
        <v>99</v>
      </c>
      <c r="G1949" s="1" t="s">
        <v>53</v>
      </c>
      <c r="H1949" s="1" t="s">
        <v>54</v>
      </c>
      <c r="I1949" s="1" t="s">
        <v>132</v>
      </c>
      <c r="J1949" s="1">
        <v>5</v>
      </c>
      <c r="K1949" s="3">
        <v>10413.27</v>
      </c>
      <c r="L1949" s="1">
        <v>5</v>
      </c>
      <c r="M1949" s="1" t="s">
        <v>56</v>
      </c>
      <c r="N1949" s="10" t="s">
        <v>37</v>
      </c>
      <c r="Q1949"/>
    </row>
    <row r="1950" spans="1:17" x14ac:dyDescent="0.25">
      <c r="A1950" s="9" t="s">
        <v>2971</v>
      </c>
      <c r="B1950" s="2">
        <v>45640</v>
      </c>
      <c r="C1950" s="1" t="s">
        <v>25</v>
      </c>
      <c r="D1950" s="1" t="s">
        <v>87</v>
      </c>
      <c r="E1950" s="1" t="s">
        <v>27</v>
      </c>
      <c r="F1950" s="1" t="s">
        <v>60</v>
      </c>
      <c r="G1950" s="1" t="s">
        <v>83</v>
      </c>
      <c r="H1950" s="1" t="s">
        <v>43</v>
      </c>
      <c r="I1950" s="1" t="s">
        <v>44</v>
      </c>
      <c r="J1950" s="1">
        <v>3</v>
      </c>
      <c r="K1950" s="3">
        <v>10875.62</v>
      </c>
      <c r="L1950" s="1">
        <v>5</v>
      </c>
      <c r="M1950" s="1" t="s">
        <v>69</v>
      </c>
      <c r="N1950" s="10" t="s">
        <v>64</v>
      </c>
      <c r="Q1950"/>
    </row>
    <row r="1951" spans="1:17" x14ac:dyDescent="0.25">
      <c r="A1951" s="9" t="s">
        <v>2972</v>
      </c>
      <c r="B1951" s="2">
        <v>45585</v>
      </c>
      <c r="C1951" s="1" t="s">
        <v>1702</v>
      </c>
      <c r="D1951" s="1" t="s">
        <v>71</v>
      </c>
      <c r="E1951" s="1" t="s">
        <v>41</v>
      </c>
      <c r="F1951" s="1" t="s">
        <v>99</v>
      </c>
      <c r="G1951" s="1" t="s">
        <v>83</v>
      </c>
      <c r="H1951" s="1" t="s">
        <v>43</v>
      </c>
      <c r="I1951" s="1" t="s">
        <v>100</v>
      </c>
      <c r="J1951" s="1">
        <v>6</v>
      </c>
      <c r="K1951" s="3">
        <v>14185.36</v>
      </c>
      <c r="L1951" s="1">
        <v>15</v>
      </c>
      <c r="M1951" s="1" t="s">
        <v>36</v>
      </c>
      <c r="N1951" s="10" t="s">
        <v>23</v>
      </c>
      <c r="Q1951"/>
    </row>
    <row r="1952" spans="1:17" x14ac:dyDescent="0.25">
      <c r="A1952" s="9" t="s">
        <v>2973</v>
      </c>
      <c r="B1952" s="2">
        <v>45432</v>
      </c>
      <c r="C1952" s="1" t="s">
        <v>439</v>
      </c>
      <c r="D1952" s="1" t="s">
        <v>26</v>
      </c>
      <c r="E1952" s="1" t="s">
        <v>34</v>
      </c>
      <c r="F1952" s="1" t="s">
        <v>82</v>
      </c>
      <c r="G1952" s="1" t="s">
        <v>19</v>
      </c>
      <c r="H1952" s="1" t="s">
        <v>29</v>
      </c>
      <c r="I1952" s="1" t="s">
        <v>135</v>
      </c>
      <c r="J1952" s="1">
        <v>4</v>
      </c>
      <c r="K1952" s="3">
        <v>10078.280000000001</v>
      </c>
      <c r="L1952" s="1" t="s">
        <v>110</v>
      </c>
      <c r="M1952" s="1" t="s">
        <v>93</v>
      </c>
      <c r="N1952" s="10" t="s">
        <v>64</v>
      </c>
      <c r="Q1952"/>
    </row>
    <row r="1953" spans="1:17" x14ac:dyDescent="0.25">
      <c r="A1953" s="9" t="s">
        <v>2974</v>
      </c>
      <c r="B1953" s="2">
        <v>45525</v>
      </c>
      <c r="C1953" s="1" t="s">
        <v>503</v>
      </c>
      <c r="D1953" s="1" t="s">
        <v>71</v>
      </c>
      <c r="E1953" s="1" t="s">
        <v>17</v>
      </c>
      <c r="F1953" s="1" t="s">
        <v>28</v>
      </c>
      <c r="G1953" s="1" t="s">
        <v>19</v>
      </c>
      <c r="H1953" s="1" t="s">
        <v>20</v>
      </c>
      <c r="I1953" s="1" t="s">
        <v>801</v>
      </c>
      <c r="J1953" s="1">
        <v>7</v>
      </c>
      <c r="K1953" s="3">
        <v>12662.3</v>
      </c>
      <c r="L1953" s="1">
        <v>0</v>
      </c>
      <c r="M1953" s="1" t="s">
        <v>69</v>
      </c>
      <c r="N1953" s="10" t="s">
        <v>74</v>
      </c>
      <c r="Q1953"/>
    </row>
    <row r="1954" spans="1:17" x14ac:dyDescent="0.25">
      <c r="A1954" s="9" t="s">
        <v>2975</v>
      </c>
      <c r="B1954" s="2">
        <v>45374</v>
      </c>
      <c r="C1954" s="1" t="s">
        <v>829</v>
      </c>
      <c r="D1954" s="1" t="s">
        <v>33</v>
      </c>
      <c r="E1954" s="1" t="s">
        <v>41</v>
      </c>
      <c r="F1954" s="1" t="s">
        <v>49</v>
      </c>
      <c r="G1954" s="1" t="s">
        <v>19</v>
      </c>
      <c r="H1954" s="1" t="s">
        <v>20</v>
      </c>
      <c r="I1954" s="1" t="s">
        <v>239</v>
      </c>
      <c r="J1954" s="1">
        <v>3</v>
      </c>
      <c r="K1954" s="3">
        <v>11535.23</v>
      </c>
      <c r="L1954" s="1">
        <v>20</v>
      </c>
      <c r="M1954" s="1" t="s">
        <v>63</v>
      </c>
      <c r="N1954" s="10" t="s">
        <v>45</v>
      </c>
      <c r="Q1954"/>
    </row>
    <row r="1955" spans="1:17" x14ac:dyDescent="0.25">
      <c r="A1955" s="9" t="s">
        <v>2976</v>
      </c>
      <c r="B1955" s="2">
        <v>45496</v>
      </c>
      <c r="C1955" s="1" t="s">
        <v>1165</v>
      </c>
      <c r="D1955" s="1" t="s">
        <v>71</v>
      </c>
      <c r="E1955" s="1" t="s">
        <v>34</v>
      </c>
      <c r="F1955" s="1" t="s">
        <v>99</v>
      </c>
      <c r="G1955" s="1" t="s">
        <v>53</v>
      </c>
      <c r="H1955" s="1" t="s">
        <v>54</v>
      </c>
      <c r="I1955" s="1" t="s">
        <v>173</v>
      </c>
      <c r="J1955" s="1">
        <v>6</v>
      </c>
      <c r="K1955" s="3">
        <v>8114.41</v>
      </c>
      <c r="L1955" s="1">
        <v>20</v>
      </c>
      <c r="M1955" s="1" t="s">
        <v>93</v>
      </c>
      <c r="N1955" s="10" t="s">
        <v>37</v>
      </c>
      <c r="Q1955"/>
    </row>
    <row r="1956" spans="1:17" x14ac:dyDescent="0.25">
      <c r="A1956" s="9" t="s">
        <v>2977</v>
      </c>
      <c r="B1956" s="2">
        <v>44998</v>
      </c>
      <c r="C1956" s="1" t="s">
        <v>269</v>
      </c>
      <c r="D1956" s="1" t="s">
        <v>87</v>
      </c>
      <c r="E1956" s="1" t="s">
        <v>27</v>
      </c>
      <c r="F1956" s="1" t="s">
        <v>82</v>
      </c>
      <c r="G1956" s="1" t="s">
        <v>19</v>
      </c>
      <c r="H1956" s="1" t="s">
        <v>20</v>
      </c>
      <c r="I1956" s="1" t="s">
        <v>563</v>
      </c>
      <c r="J1956" s="1">
        <v>8</v>
      </c>
      <c r="K1956" s="3">
        <v>17954.5</v>
      </c>
      <c r="L1956" s="1" t="s">
        <v>110</v>
      </c>
      <c r="M1956" s="1" t="s">
        <v>63</v>
      </c>
      <c r="N1956" s="10" t="s">
        <v>31</v>
      </c>
      <c r="Q1956"/>
    </row>
    <row r="1957" spans="1:17" x14ac:dyDescent="0.25">
      <c r="A1957" s="9" t="s">
        <v>2978</v>
      </c>
      <c r="B1957" s="2">
        <v>45422</v>
      </c>
      <c r="C1957" s="1" t="s">
        <v>1928</v>
      </c>
      <c r="D1957" s="1" t="s">
        <v>16</v>
      </c>
      <c r="E1957" s="1" t="s">
        <v>34</v>
      </c>
      <c r="F1957" s="1" t="s">
        <v>60</v>
      </c>
      <c r="G1957" s="1" t="s">
        <v>42</v>
      </c>
      <c r="H1957" s="1" t="s">
        <v>43</v>
      </c>
      <c r="I1957" s="1" t="s">
        <v>488</v>
      </c>
      <c r="J1957" s="1">
        <v>9</v>
      </c>
      <c r="K1957" s="3">
        <v>40420.25</v>
      </c>
      <c r="L1957" s="1">
        <v>10</v>
      </c>
      <c r="M1957" s="1" t="s">
        <v>56</v>
      </c>
      <c r="N1957" s="10" t="s">
        <v>74</v>
      </c>
      <c r="Q1957"/>
    </row>
    <row r="1958" spans="1:17" x14ac:dyDescent="0.25">
      <c r="A1958" s="9" t="s">
        <v>2979</v>
      </c>
      <c r="B1958" s="2">
        <v>45461</v>
      </c>
      <c r="C1958" s="1" t="s">
        <v>1255</v>
      </c>
      <c r="D1958" s="1" t="s">
        <v>169</v>
      </c>
      <c r="E1958" s="1" t="s">
        <v>27</v>
      </c>
      <c r="F1958" s="1" t="s">
        <v>82</v>
      </c>
      <c r="G1958" s="1" t="s">
        <v>19</v>
      </c>
      <c r="H1958" s="1" t="s">
        <v>20</v>
      </c>
      <c r="I1958" s="1" t="s">
        <v>280</v>
      </c>
      <c r="J1958" s="1">
        <v>6</v>
      </c>
      <c r="K1958" s="3">
        <v>9603.69</v>
      </c>
      <c r="L1958" s="1">
        <v>0</v>
      </c>
      <c r="M1958" s="1" t="s">
        <v>56</v>
      </c>
      <c r="N1958" s="10" t="s">
        <v>64</v>
      </c>
      <c r="Q1958"/>
    </row>
    <row r="1959" spans="1:17" x14ac:dyDescent="0.25">
      <c r="A1959" s="9" t="s">
        <v>2980</v>
      </c>
      <c r="B1959" s="2">
        <v>45566</v>
      </c>
      <c r="C1959" s="1" t="s">
        <v>160</v>
      </c>
      <c r="D1959" s="1" t="s">
        <v>81</v>
      </c>
      <c r="E1959" s="1" t="s">
        <v>72</v>
      </c>
      <c r="F1959" s="1" t="s">
        <v>88</v>
      </c>
      <c r="G1959" s="1" t="s">
        <v>53</v>
      </c>
      <c r="H1959" s="1" t="s">
        <v>54</v>
      </c>
      <c r="I1959" s="1" t="s">
        <v>1272</v>
      </c>
      <c r="J1959" s="1">
        <v>6</v>
      </c>
      <c r="K1959" s="3">
        <v>23077.83</v>
      </c>
      <c r="L1959" s="1" t="s">
        <v>110</v>
      </c>
      <c r="M1959" s="1" t="s">
        <v>56</v>
      </c>
      <c r="N1959" s="10" t="s">
        <v>31</v>
      </c>
      <c r="Q1959"/>
    </row>
    <row r="1960" spans="1:17" x14ac:dyDescent="0.25">
      <c r="A1960" s="9" t="s">
        <v>2981</v>
      </c>
      <c r="B1960" s="2">
        <v>45393</v>
      </c>
      <c r="C1960" s="1" t="s">
        <v>2982</v>
      </c>
      <c r="D1960" s="1" t="s">
        <v>26</v>
      </c>
      <c r="E1960" s="1" t="s">
        <v>34</v>
      </c>
      <c r="F1960" s="1" t="s">
        <v>28</v>
      </c>
      <c r="G1960" s="1" t="s">
        <v>19</v>
      </c>
      <c r="H1960" s="1" t="s">
        <v>20</v>
      </c>
      <c r="I1960" s="1" t="s">
        <v>193</v>
      </c>
      <c r="J1960" s="1">
        <v>3</v>
      </c>
      <c r="K1960" s="3">
        <v>11506.25</v>
      </c>
      <c r="L1960" s="1">
        <v>0</v>
      </c>
      <c r="M1960" s="1" t="s">
        <v>69</v>
      </c>
      <c r="N1960" s="10" t="s">
        <v>45</v>
      </c>
      <c r="Q1960"/>
    </row>
    <row r="1961" spans="1:17" x14ac:dyDescent="0.25">
      <c r="A1961" s="9" t="s">
        <v>2983</v>
      </c>
      <c r="B1961" s="2">
        <v>45513</v>
      </c>
      <c r="C1961" s="1" t="s">
        <v>1477</v>
      </c>
      <c r="D1961" s="1" t="s">
        <v>71</v>
      </c>
      <c r="E1961" s="1" t="s">
        <v>34</v>
      </c>
      <c r="F1961" s="1" t="s">
        <v>49</v>
      </c>
      <c r="G1961" s="1" t="s">
        <v>83</v>
      </c>
      <c r="H1961" s="1" t="s">
        <v>43</v>
      </c>
      <c r="I1961" s="1" t="s">
        <v>182</v>
      </c>
      <c r="J1961" s="1">
        <v>4</v>
      </c>
      <c r="K1961" s="3">
        <v>3622.26</v>
      </c>
      <c r="L1961" s="1">
        <v>0</v>
      </c>
      <c r="M1961" s="1" t="s">
        <v>36</v>
      </c>
      <c r="N1961" s="10" t="s">
        <v>31</v>
      </c>
      <c r="Q1961"/>
    </row>
    <row r="1962" spans="1:17" x14ac:dyDescent="0.25">
      <c r="A1962" s="9" t="s">
        <v>2984</v>
      </c>
      <c r="B1962" s="2">
        <v>45372</v>
      </c>
      <c r="C1962" s="1" t="s">
        <v>1220</v>
      </c>
      <c r="D1962" s="1" t="s">
        <v>52</v>
      </c>
      <c r="E1962" s="1" t="s">
        <v>17</v>
      </c>
      <c r="F1962" s="1" t="s">
        <v>49</v>
      </c>
      <c r="G1962" s="1" t="s">
        <v>42</v>
      </c>
      <c r="H1962" s="1" t="s">
        <v>43</v>
      </c>
      <c r="I1962" s="1" t="s">
        <v>89</v>
      </c>
      <c r="J1962" s="1">
        <v>4</v>
      </c>
      <c r="K1962" s="3">
        <v>16425.04</v>
      </c>
      <c r="L1962" s="1">
        <v>10</v>
      </c>
      <c r="M1962" s="1" t="s">
        <v>69</v>
      </c>
      <c r="N1962" s="10" t="s">
        <v>37</v>
      </c>
      <c r="Q1962"/>
    </row>
    <row r="1963" spans="1:17" x14ac:dyDescent="0.25">
      <c r="A1963" s="9" t="s">
        <v>2985</v>
      </c>
      <c r="B1963" s="2">
        <v>45480</v>
      </c>
      <c r="C1963" s="1" t="s">
        <v>681</v>
      </c>
      <c r="D1963" s="1" t="s">
        <v>16</v>
      </c>
      <c r="E1963" s="1" t="s">
        <v>27</v>
      </c>
      <c r="F1963" s="1" t="s">
        <v>82</v>
      </c>
      <c r="G1963" s="1" t="s">
        <v>53</v>
      </c>
      <c r="H1963" s="1" t="s">
        <v>54</v>
      </c>
      <c r="I1963" s="1" t="s">
        <v>413</v>
      </c>
      <c r="J1963" s="1">
        <v>6</v>
      </c>
      <c r="K1963" s="3">
        <v>13937.27</v>
      </c>
      <c r="L1963" s="1" t="s">
        <v>110</v>
      </c>
      <c r="M1963" s="1" t="s">
        <v>36</v>
      </c>
      <c r="N1963" s="10" t="s">
        <v>37</v>
      </c>
      <c r="Q1963"/>
    </row>
    <row r="1964" spans="1:17" x14ac:dyDescent="0.25">
      <c r="A1964" s="9" t="s">
        <v>2986</v>
      </c>
      <c r="B1964" s="2">
        <v>45333</v>
      </c>
      <c r="C1964" s="1" t="s">
        <v>2723</v>
      </c>
      <c r="D1964" s="1" t="s">
        <v>26</v>
      </c>
      <c r="E1964" s="1" t="s">
        <v>59</v>
      </c>
      <c r="F1964" s="1" t="s">
        <v>18</v>
      </c>
      <c r="G1964" s="1" t="s">
        <v>19</v>
      </c>
      <c r="H1964" s="1" t="s">
        <v>20</v>
      </c>
      <c r="I1964" s="1" t="s">
        <v>230</v>
      </c>
      <c r="J1964" s="1">
        <v>10</v>
      </c>
      <c r="K1964" s="3">
        <v>24779.08</v>
      </c>
      <c r="L1964" s="1">
        <v>5</v>
      </c>
      <c r="M1964" s="1" t="s">
        <v>56</v>
      </c>
      <c r="N1964" s="10" t="s">
        <v>23</v>
      </c>
      <c r="Q1964"/>
    </row>
    <row r="1965" spans="1:17" x14ac:dyDescent="0.25">
      <c r="A1965" s="9" t="s">
        <v>2987</v>
      </c>
      <c r="B1965" s="2">
        <v>45260</v>
      </c>
      <c r="C1965" s="1" t="s">
        <v>1178</v>
      </c>
      <c r="D1965" s="1" t="s">
        <v>33</v>
      </c>
      <c r="E1965" s="1" t="s">
        <v>72</v>
      </c>
      <c r="F1965" s="1" t="s">
        <v>99</v>
      </c>
      <c r="G1965" s="1" t="s">
        <v>42</v>
      </c>
      <c r="H1965" s="1" t="s">
        <v>43</v>
      </c>
      <c r="I1965" s="1" t="s">
        <v>323</v>
      </c>
      <c r="J1965" s="1">
        <v>8</v>
      </c>
      <c r="K1965" s="3">
        <v>5497.26</v>
      </c>
      <c r="L1965" s="1">
        <v>10</v>
      </c>
      <c r="M1965" s="1" t="s">
        <v>56</v>
      </c>
      <c r="N1965" s="10" t="s">
        <v>31</v>
      </c>
      <c r="Q1965"/>
    </row>
    <row r="1966" spans="1:17" x14ac:dyDescent="0.25">
      <c r="A1966" s="9" t="s">
        <v>2988</v>
      </c>
      <c r="B1966" s="2">
        <v>45281</v>
      </c>
      <c r="C1966" s="1" t="s">
        <v>2928</v>
      </c>
      <c r="D1966" s="1" t="s">
        <v>16</v>
      </c>
      <c r="E1966" s="1" t="s">
        <v>59</v>
      </c>
      <c r="F1966" s="1" t="s">
        <v>82</v>
      </c>
      <c r="G1966" s="1" t="s">
        <v>53</v>
      </c>
      <c r="H1966" s="1" t="s">
        <v>54</v>
      </c>
      <c r="I1966" s="1" t="s">
        <v>946</v>
      </c>
      <c r="J1966" s="1">
        <v>2</v>
      </c>
      <c r="K1966" s="3">
        <v>6012.02</v>
      </c>
      <c r="L1966" s="1" t="s">
        <v>110</v>
      </c>
      <c r="M1966" s="1" t="s">
        <v>69</v>
      </c>
      <c r="N1966" s="10" t="s">
        <v>31</v>
      </c>
      <c r="Q1966"/>
    </row>
    <row r="1967" spans="1:17" x14ac:dyDescent="0.25">
      <c r="A1967" s="9" t="s">
        <v>2989</v>
      </c>
      <c r="B1967" s="2">
        <v>45044</v>
      </c>
      <c r="C1967" s="1" t="s">
        <v>891</v>
      </c>
      <c r="D1967" s="1" t="s">
        <v>52</v>
      </c>
      <c r="E1967" s="1" t="s">
        <v>17</v>
      </c>
      <c r="F1967" s="1" t="s">
        <v>60</v>
      </c>
      <c r="G1967" s="1" t="s">
        <v>19</v>
      </c>
      <c r="H1967" s="1" t="s">
        <v>20</v>
      </c>
      <c r="I1967" s="1" t="s">
        <v>239</v>
      </c>
      <c r="J1967" s="1">
        <v>8</v>
      </c>
      <c r="K1967" s="3">
        <v>24481.71</v>
      </c>
      <c r="L1967" s="1">
        <v>15</v>
      </c>
      <c r="M1967" s="1" t="s">
        <v>56</v>
      </c>
      <c r="N1967" s="10" t="s">
        <v>23</v>
      </c>
      <c r="Q1967"/>
    </row>
    <row r="1968" spans="1:17" x14ac:dyDescent="0.25">
      <c r="A1968" s="9" t="s">
        <v>2990</v>
      </c>
      <c r="B1968" s="2">
        <v>45235</v>
      </c>
      <c r="C1968" s="1" t="s">
        <v>1110</v>
      </c>
      <c r="D1968" s="1" t="s">
        <v>16</v>
      </c>
      <c r="E1968" s="1" t="s">
        <v>59</v>
      </c>
      <c r="F1968" s="1" t="s">
        <v>60</v>
      </c>
      <c r="G1968" s="1" t="s">
        <v>42</v>
      </c>
      <c r="H1968" s="1" t="s">
        <v>61</v>
      </c>
      <c r="I1968" s="1" t="s">
        <v>402</v>
      </c>
      <c r="J1968" s="1">
        <v>3</v>
      </c>
      <c r="K1968" s="3">
        <v>1455.86</v>
      </c>
      <c r="L1968" s="1">
        <v>20</v>
      </c>
      <c r="M1968" s="1" t="s">
        <v>56</v>
      </c>
      <c r="N1968" s="10" t="s">
        <v>64</v>
      </c>
      <c r="Q1968"/>
    </row>
    <row r="1969" spans="1:17" x14ac:dyDescent="0.25">
      <c r="A1969" s="9" t="s">
        <v>2991</v>
      </c>
      <c r="B1969" s="2">
        <v>45473</v>
      </c>
      <c r="C1969" s="1" t="s">
        <v>1110</v>
      </c>
      <c r="D1969" s="1" t="s">
        <v>16</v>
      </c>
      <c r="E1969" s="1" t="s">
        <v>41</v>
      </c>
      <c r="F1969" s="1" t="s">
        <v>82</v>
      </c>
      <c r="G1969" s="1" t="s">
        <v>42</v>
      </c>
      <c r="H1969" s="1" t="s">
        <v>61</v>
      </c>
      <c r="I1969" s="1" t="s">
        <v>632</v>
      </c>
      <c r="J1969" s="1">
        <v>7</v>
      </c>
      <c r="K1969" s="3">
        <v>11199.2</v>
      </c>
      <c r="L1969" s="1">
        <v>0</v>
      </c>
      <c r="M1969" s="1" t="s">
        <v>36</v>
      </c>
      <c r="N1969" s="10" t="s">
        <v>45</v>
      </c>
      <c r="Q1969"/>
    </row>
    <row r="1970" spans="1:17" x14ac:dyDescent="0.25">
      <c r="A1970" s="9" t="s">
        <v>2992</v>
      </c>
      <c r="B1970" s="2">
        <v>45225</v>
      </c>
      <c r="C1970" s="1" t="s">
        <v>1178</v>
      </c>
      <c r="D1970" s="1" t="s">
        <v>52</v>
      </c>
      <c r="E1970" s="1" t="s">
        <v>59</v>
      </c>
      <c r="F1970" s="1" t="s">
        <v>82</v>
      </c>
      <c r="G1970" s="1" t="s">
        <v>42</v>
      </c>
      <c r="H1970" s="1" t="s">
        <v>61</v>
      </c>
      <c r="I1970" s="1" t="s">
        <v>247</v>
      </c>
      <c r="J1970" s="1">
        <v>10</v>
      </c>
      <c r="K1970" s="3">
        <v>15750.35</v>
      </c>
      <c r="L1970" s="1">
        <v>20</v>
      </c>
      <c r="M1970" s="1" t="s">
        <v>93</v>
      </c>
      <c r="N1970" s="10" t="s">
        <v>23</v>
      </c>
      <c r="Q1970"/>
    </row>
    <row r="1971" spans="1:17" x14ac:dyDescent="0.25">
      <c r="A1971" s="9" t="s">
        <v>2993</v>
      </c>
      <c r="B1971" s="2">
        <v>45158</v>
      </c>
      <c r="C1971" s="1" t="s">
        <v>1657</v>
      </c>
      <c r="D1971" s="1" t="s">
        <v>71</v>
      </c>
      <c r="E1971" s="1" t="s">
        <v>27</v>
      </c>
      <c r="F1971" s="1" t="s">
        <v>49</v>
      </c>
      <c r="G1971" s="1" t="s">
        <v>42</v>
      </c>
      <c r="H1971" s="1" t="s">
        <v>43</v>
      </c>
      <c r="I1971" s="1" t="s">
        <v>394</v>
      </c>
      <c r="J1971" s="1">
        <v>4</v>
      </c>
      <c r="K1971" s="3">
        <v>4690</v>
      </c>
      <c r="L1971" s="1">
        <v>15</v>
      </c>
      <c r="M1971" s="1" t="s">
        <v>22</v>
      </c>
      <c r="N1971" s="10" t="s">
        <v>31</v>
      </c>
      <c r="Q1971"/>
    </row>
    <row r="1972" spans="1:17" x14ac:dyDescent="0.25">
      <c r="A1972" s="9" t="s">
        <v>2994</v>
      </c>
      <c r="B1972" s="2">
        <v>45079</v>
      </c>
      <c r="C1972" s="1" t="s">
        <v>2887</v>
      </c>
      <c r="D1972" s="1" t="s">
        <v>87</v>
      </c>
      <c r="E1972" s="1" t="s">
        <v>72</v>
      </c>
      <c r="F1972" s="1" t="s">
        <v>88</v>
      </c>
      <c r="G1972" s="1" t="s">
        <v>42</v>
      </c>
      <c r="H1972" s="1" t="s">
        <v>61</v>
      </c>
      <c r="I1972" s="1" t="s">
        <v>388</v>
      </c>
      <c r="J1972" s="1">
        <v>1</v>
      </c>
      <c r="K1972" s="3">
        <v>4196.2299999999996</v>
      </c>
      <c r="L1972" s="1">
        <v>5</v>
      </c>
      <c r="M1972" s="1" t="s">
        <v>22</v>
      </c>
      <c r="N1972" s="10" t="s">
        <v>64</v>
      </c>
      <c r="Q1972"/>
    </row>
    <row r="1973" spans="1:17" x14ac:dyDescent="0.25">
      <c r="A1973" s="9" t="s">
        <v>2995</v>
      </c>
      <c r="B1973" s="2">
        <v>45132</v>
      </c>
      <c r="C1973" s="1" t="s">
        <v>372</v>
      </c>
      <c r="D1973" s="1" t="s">
        <v>26</v>
      </c>
      <c r="E1973" s="1" t="s">
        <v>72</v>
      </c>
      <c r="F1973" s="1" t="s">
        <v>82</v>
      </c>
      <c r="G1973" s="1" t="s">
        <v>83</v>
      </c>
      <c r="H1973" s="1" t="s">
        <v>43</v>
      </c>
      <c r="I1973" s="1" t="s">
        <v>182</v>
      </c>
      <c r="J1973" s="1">
        <v>7</v>
      </c>
      <c r="K1973" s="3">
        <v>28774.46</v>
      </c>
      <c r="L1973" s="1">
        <v>15</v>
      </c>
      <c r="M1973" s="1" t="s">
        <v>22</v>
      </c>
      <c r="N1973" s="10" t="s">
        <v>31</v>
      </c>
      <c r="Q1973"/>
    </row>
    <row r="1974" spans="1:17" x14ac:dyDescent="0.25">
      <c r="A1974" s="9" t="s">
        <v>2996</v>
      </c>
      <c r="B1974" s="2">
        <v>45250</v>
      </c>
      <c r="C1974" s="1" t="s">
        <v>550</v>
      </c>
      <c r="D1974" s="1" t="s">
        <v>71</v>
      </c>
      <c r="E1974" s="1" t="s">
        <v>72</v>
      </c>
      <c r="F1974" s="1" t="s">
        <v>82</v>
      </c>
      <c r="G1974" s="1" t="s">
        <v>42</v>
      </c>
      <c r="H1974" s="1" t="s">
        <v>43</v>
      </c>
      <c r="I1974" s="1" t="s">
        <v>329</v>
      </c>
      <c r="J1974" s="1">
        <v>1</v>
      </c>
      <c r="K1974" s="3">
        <v>4812.21</v>
      </c>
      <c r="L1974" s="1">
        <v>20</v>
      </c>
      <c r="M1974" s="1" t="s">
        <v>69</v>
      </c>
      <c r="N1974" s="10" t="s">
        <v>37</v>
      </c>
      <c r="Q1974"/>
    </row>
    <row r="1975" spans="1:17" x14ac:dyDescent="0.25">
      <c r="A1975" s="9" t="s">
        <v>2997</v>
      </c>
      <c r="B1975" s="2">
        <v>45425</v>
      </c>
      <c r="C1975" s="1" t="s">
        <v>284</v>
      </c>
      <c r="D1975" s="1" t="s">
        <v>52</v>
      </c>
      <c r="E1975" s="1" t="s">
        <v>59</v>
      </c>
      <c r="F1975" s="1" t="s">
        <v>82</v>
      </c>
      <c r="G1975" s="1" t="s">
        <v>53</v>
      </c>
      <c r="H1975" s="1" t="s">
        <v>54</v>
      </c>
      <c r="I1975" s="1" t="s">
        <v>272</v>
      </c>
      <c r="J1975" s="1">
        <v>5</v>
      </c>
      <c r="K1975" s="3">
        <v>10611.68</v>
      </c>
      <c r="L1975" s="1">
        <v>10</v>
      </c>
      <c r="M1975" s="1" t="s">
        <v>69</v>
      </c>
      <c r="N1975" s="10" t="s">
        <v>23</v>
      </c>
      <c r="Q1975"/>
    </row>
    <row r="1976" spans="1:17" x14ac:dyDescent="0.25">
      <c r="A1976" s="9" t="s">
        <v>2998</v>
      </c>
      <c r="B1976" s="2">
        <v>45290</v>
      </c>
      <c r="C1976" s="1" t="s">
        <v>2334</v>
      </c>
      <c r="D1976" s="1" t="s">
        <v>67</v>
      </c>
      <c r="E1976" s="1" t="s">
        <v>41</v>
      </c>
      <c r="F1976" s="1" t="s">
        <v>82</v>
      </c>
      <c r="G1976" s="1" t="s">
        <v>42</v>
      </c>
      <c r="H1976" s="1" t="s">
        <v>43</v>
      </c>
      <c r="I1976" s="1" t="s">
        <v>365</v>
      </c>
      <c r="J1976" s="1">
        <v>2</v>
      </c>
      <c r="K1976" s="3">
        <v>4776.6400000000003</v>
      </c>
      <c r="L1976" s="1">
        <v>15</v>
      </c>
      <c r="M1976" s="1" t="s">
        <v>22</v>
      </c>
      <c r="N1976" s="10" t="s">
        <v>45</v>
      </c>
      <c r="Q1976"/>
    </row>
    <row r="1977" spans="1:17" x14ac:dyDescent="0.25">
      <c r="A1977" s="9" t="s">
        <v>2999</v>
      </c>
      <c r="B1977" s="2">
        <v>45141</v>
      </c>
      <c r="C1977" s="1" t="s">
        <v>1411</v>
      </c>
      <c r="D1977" s="1" t="s">
        <v>26</v>
      </c>
      <c r="E1977" s="1" t="s">
        <v>72</v>
      </c>
      <c r="F1977" s="1" t="s">
        <v>88</v>
      </c>
      <c r="G1977" s="1" t="s">
        <v>83</v>
      </c>
      <c r="H1977" s="1" t="s">
        <v>43</v>
      </c>
      <c r="I1977" s="1" t="s">
        <v>244</v>
      </c>
      <c r="J1977" s="1">
        <v>3</v>
      </c>
      <c r="K1977" s="3">
        <v>2936.33</v>
      </c>
      <c r="L1977" s="1">
        <v>10</v>
      </c>
      <c r="M1977" s="1" t="s">
        <v>36</v>
      </c>
      <c r="N1977" s="10" t="s">
        <v>37</v>
      </c>
      <c r="Q1977"/>
    </row>
    <row r="1978" spans="1:17" x14ac:dyDescent="0.25">
      <c r="A1978" s="9" t="s">
        <v>3000</v>
      </c>
      <c r="B1978" s="2">
        <v>45540</v>
      </c>
      <c r="C1978" s="1" t="s">
        <v>958</v>
      </c>
      <c r="D1978" s="1" t="s">
        <v>147</v>
      </c>
      <c r="E1978" s="1" t="s">
        <v>17</v>
      </c>
      <c r="F1978" s="1" t="s">
        <v>99</v>
      </c>
      <c r="G1978" s="1" t="s">
        <v>42</v>
      </c>
      <c r="H1978" s="1" t="s">
        <v>61</v>
      </c>
      <c r="I1978" s="1" t="s">
        <v>234</v>
      </c>
      <c r="J1978" s="1">
        <v>2</v>
      </c>
      <c r="K1978" s="3">
        <v>540.35</v>
      </c>
      <c r="L1978" s="1">
        <v>10</v>
      </c>
      <c r="M1978" s="1" t="s">
        <v>56</v>
      </c>
      <c r="N1978" s="10" t="s">
        <v>31</v>
      </c>
      <c r="Q1978"/>
    </row>
    <row r="1979" spans="1:17" x14ac:dyDescent="0.25">
      <c r="A1979" s="9" t="s">
        <v>3001</v>
      </c>
      <c r="B1979" s="2">
        <v>45437</v>
      </c>
      <c r="C1979" s="1" t="s">
        <v>1423</v>
      </c>
      <c r="D1979" s="1" t="s">
        <v>52</v>
      </c>
      <c r="E1979" s="1" t="s">
        <v>72</v>
      </c>
      <c r="F1979" s="1" t="s">
        <v>18</v>
      </c>
      <c r="G1979" s="1" t="s">
        <v>42</v>
      </c>
      <c r="H1979" s="1" t="s">
        <v>43</v>
      </c>
      <c r="I1979" s="1" t="s">
        <v>494</v>
      </c>
      <c r="J1979" s="1">
        <v>10</v>
      </c>
      <c r="K1979" s="3">
        <v>5444.99</v>
      </c>
      <c r="L1979" s="1">
        <v>15</v>
      </c>
      <c r="M1979" s="1" t="s">
        <v>69</v>
      </c>
      <c r="N1979" s="10" t="s">
        <v>31</v>
      </c>
      <c r="Q1979"/>
    </row>
    <row r="1980" spans="1:17" x14ac:dyDescent="0.25">
      <c r="A1980" s="9" t="s">
        <v>3002</v>
      </c>
      <c r="B1980" s="2">
        <v>45226</v>
      </c>
      <c r="C1980" s="1" t="s">
        <v>384</v>
      </c>
      <c r="D1980" s="1" t="s">
        <v>147</v>
      </c>
      <c r="E1980" s="1" t="s">
        <v>27</v>
      </c>
      <c r="F1980" s="1" t="s">
        <v>60</v>
      </c>
      <c r="G1980" s="1" t="s">
        <v>42</v>
      </c>
      <c r="H1980" s="1" t="s">
        <v>61</v>
      </c>
      <c r="I1980" s="1" t="s">
        <v>317</v>
      </c>
      <c r="J1980" s="1">
        <v>4</v>
      </c>
      <c r="K1980" s="3">
        <v>16332.58</v>
      </c>
      <c r="L1980" s="1">
        <v>5</v>
      </c>
      <c r="M1980" s="1" t="s">
        <v>93</v>
      </c>
      <c r="N1980" s="10" t="s">
        <v>45</v>
      </c>
      <c r="Q1980"/>
    </row>
    <row r="1981" spans="1:17" x14ac:dyDescent="0.25">
      <c r="A1981" s="9" t="s">
        <v>3003</v>
      </c>
      <c r="B1981" s="2">
        <v>45646</v>
      </c>
      <c r="C1981" s="1" t="s">
        <v>841</v>
      </c>
      <c r="D1981" s="1" t="s">
        <v>399</v>
      </c>
      <c r="E1981" s="1" t="s">
        <v>17</v>
      </c>
      <c r="F1981" s="1" t="s">
        <v>18</v>
      </c>
      <c r="G1981" s="1" t="s">
        <v>53</v>
      </c>
      <c r="H1981" s="1" t="s">
        <v>54</v>
      </c>
      <c r="I1981" s="1" t="s">
        <v>55</v>
      </c>
      <c r="J1981" s="1">
        <v>3</v>
      </c>
      <c r="K1981" s="3">
        <v>10613.52</v>
      </c>
      <c r="L1981" s="1">
        <v>15</v>
      </c>
      <c r="M1981" s="1" t="s">
        <v>36</v>
      </c>
      <c r="N1981" s="10" t="s">
        <v>23</v>
      </c>
      <c r="Q1981"/>
    </row>
    <row r="1982" spans="1:17" x14ac:dyDescent="0.25">
      <c r="A1982" s="9" t="s">
        <v>3004</v>
      </c>
      <c r="B1982" s="2">
        <v>45116</v>
      </c>
      <c r="C1982" s="1" t="s">
        <v>629</v>
      </c>
      <c r="D1982" s="1" t="s">
        <v>81</v>
      </c>
      <c r="E1982" s="1" t="s">
        <v>27</v>
      </c>
      <c r="F1982" s="1" t="s">
        <v>60</v>
      </c>
      <c r="G1982" s="1" t="s">
        <v>42</v>
      </c>
      <c r="H1982" s="1" t="s">
        <v>61</v>
      </c>
      <c r="I1982" s="1" t="s">
        <v>440</v>
      </c>
      <c r="J1982" s="1">
        <v>9</v>
      </c>
      <c r="K1982" s="3">
        <v>21950.66</v>
      </c>
      <c r="L1982" s="1" t="s">
        <v>110</v>
      </c>
      <c r="M1982" s="1" t="s">
        <v>93</v>
      </c>
      <c r="N1982" s="10" t="s">
        <v>64</v>
      </c>
      <c r="Q1982"/>
    </row>
    <row r="1983" spans="1:17" x14ac:dyDescent="0.25">
      <c r="A1983" s="9" t="s">
        <v>3005</v>
      </c>
      <c r="B1983" s="2">
        <v>45495</v>
      </c>
      <c r="C1983" s="1" t="s">
        <v>212</v>
      </c>
      <c r="D1983" s="1" t="s">
        <v>81</v>
      </c>
      <c r="E1983" s="1" t="s">
        <v>41</v>
      </c>
      <c r="F1983" s="1" t="s">
        <v>28</v>
      </c>
      <c r="G1983" s="1" t="s">
        <v>83</v>
      </c>
      <c r="H1983" s="1" t="s">
        <v>43</v>
      </c>
      <c r="I1983" s="1" t="s">
        <v>244</v>
      </c>
      <c r="J1983" s="1">
        <v>3</v>
      </c>
      <c r="K1983" s="3">
        <v>9370.84</v>
      </c>
      <c r="L1983" s="1">
        <v>10</v>
      </c>
      <c r="M1983" s="1" t="s">
        <v>63</v>
      </c>
      <c r="N1983" s="10" t="s">
        <v>31</v>
      </c>
      <c r="Q1983"/>
    </row>
    <row r="1984" spans="1:17" x14ac:dyDescent="0.25">
      <c r="A1984" s="9" t="s">
        <v>3006</v>
      </c>
      <c r="B1984" s="2">
        <v>45646</v>
      </c>
      <c r="C1984" s="1" t="s">
        <v>3007</v>
      </c>
      <c r="D1984" s="1" t="s">
        <v>40</v>
      </c>
      <c r="E1984" s="1" t="s">
        <v>17</v>
      </c>
      <c r="F1984" s="1" t="s">
        <v>28</v>
      </c>
      <c r="G1984" s="1" t="s">
        <v>53</v>
      </c>
      <c r="H1984" s="1" t="s">
        <v>54</v>
      </c>
      <c r="I1984" s="1" t="s">
        <v>518</v>
      </c>
      <c r="J1984" s="1">
        <v>5</v>
      </c>
      <c r="K1984" s="3">
        <v>23267.56</v>
      </c>
      <c r="L1984" s="1">
        <v>10</v>
      </c>
      <c r="M1984" s="1" t="s">
        <v>63</v>
      </c>
      <c r="N1984" s="10" t="s">
        <v>31</v>
      </c>
      <c r="Q1984"/>
    </row>
    <row r="1985" spans="1:17" x14ac:dyDescent="0.25">
      <c r="A1985" s="9" t="s">
        <v>3008</v>
      </c>
      <c r="B1985" s="2">
        <v>45279</v>
      </c>
      <c r="C1985" s="1" t="s">
        <v>3009</v>
      </c>
      <c r="D1985" s="1" t="s">
        <v>26</v>
      </c>
      <c r="E1985" s="1" t="s">
        <v>17</v>
      </c>
      <c r="F1985" s="1" t="s">
        <v>82</v>
      </c>
      <c r="G1985" s="1" t="s">
        <v>42</v>
      </c>
      <c r="H1985" s="1" t="s">
        <v>43</v>
      </c>
      <c r="I1985" s="1" t="s">
        <v>488</v>
      </c>
      <c r="J1985" s="1">
        <v>9</v>
      </c>
      <c r="K1985" s="3">
        <v>20320.32</v>
      </c>
      <c r="L1985" s="1">
        <v>10</v>
      </c>
      <c r="M1985" s="1" t="s">
        <v>56</v>
      </c>
      <c r="N1985" s="10" t="s">
        <v>23</v>
      </c>
      <c r="Q1985"/>
    </row>
    <row r="1986" spans="1:17" x14ac:dyDescent="0.25">
      <c r="A1986" s="9" t="s">
        <v>3010</v>
      </c>
      <c r="B1986" s="2">
        <v>45472</v>
      </c>
      <c r="C1986" s="1" t="s">
        <v>1312</v>
      </c>
      <c r="D1986" s="1" t="s">
        <v>71</v>
      </c>
      <c r="E1986" s="1" t="s">
        <v>17</v>
      </c>
      <c r="F1986" s="1" t="s">
        <v>60</v>
      </c>
      <c r="G1986" s="1" t="s">
        <v>19</v>
      </c>
      <c r="H1986" s="1" t="s">
        <v>29</v>
      </c>
      <c r="I1986" s="1" t="s">
        <v>35</v>
      </c>
      <c r="J1986" s="1">
        <v>9</v>
      </c>
      <c r="K1986" s="3">
        <v>12805.1</v>
      </c>
      <c r="L1986" s="1">
        <v>5</v>
      </c>
      <c r="M1986" s="1" t="s">
        <v>69</v>
      </c>
      <c r="N1986" s="10" t="s">
        <v>45</v>
      </c>
      <c r="Q1986"/>
    </row>
    <row r="1987" spans="1:17" x14ac:dyDescent="0.25">
      <c r="A1987" s="9" t="s">
        <v>3011</v>
      </c>
      <c r="B1987" s="2">
        <v>45306</v>
      </c>
      <c r="C1987" s="1" t="s">
        <v>3012</v>
      </c>
      <c r="D1987" s="1" t="s">
        <v>118</v>
      </c>
      <c r="E1987" s="1" t="s">
        <v>72</v>
      </c>
      <c r="F1987" s="1" t="s">
        <v>28</v>
      </c>
      <c r="G1987" s="1" t="s">
        <v>19</v>
      </c>
      <c r="H1987" s="1" t="s">
        <v>20</v>
      </c>
      <c r="I1987" s="1" t="s">
        <v>326</v>
      </c>
      <c r="J1987" s="1">
        <v>2</v>
      </c>
      <c r="K1987" s="3">
        <v>5441.26</v>
      </c>
      <c r="L1987" s="1" t="s">
        <v>110</v>
      </c>
      <c r="M1987" s="1" t="s">
        <v>36</v>
      </c>
      <c r="N1987" s="10" t="s">
        <v>37</v>
      </c>
      <c r="Q1987"/>
    </row>
    <row r="1988" spans="1:17" x14ac:dyDescent="0.25">
      <c r="A1988" s="9" t="s">
        <v>3013</v>
      </c>
      <c r="B1988" s="2">
        <v>45224</v>
      </c>
      <c r="C1988" s="1" t="s">
        <v>849</v>
      </c>
      <c r="D1988" s="1" t="s">
        <v>26</v>
      </c>
      <c r="E1988" s="1" t="s">
        <v>17</v>
      </c>
      <c r="F1988" s="1" t="s">
        <v>49</v>
      </c>
      <c r="G1988" s="1" t="s">
        <v>19</v>
      </c>
      <c r="H1988" s="1" t="s">
        <v>29</v>
      </c>
      <c r="I1988" s="1" t="s">
        <v>452</v>
      </c>
      <c r="J1988" s="1">
        <v>6</v>
      </c>
      <c r="K1988" s="3">
        <v>8159.89</v>
      </c>
      <c r="L1988" s="1">
        <v>5</v>
      </c>
      <c r="M1988" s="1" t="s">
        <v>36</v>
      </c>
      <c r="N1988" s="10" t="s">
        <v>64</v>
      </c>
      <c r="Q1988"/>
    </row>
    <row r="1989" spans="1:17" x14ac:dyDescent="0.25">
      <c r="A1989" s="9" t="s">
        <v>3014</v>
      </c>
      <c r="B1989" s="2">
        <v>45082</v>
      </c>
      <c r="C1989" s="1" t="s">
        <v>2099</v>
      </c>
      <c r="D1989" s="1" t="s">
        <v>48</v>
      </c>
      <c r="E1989" s="1" t="s">
        <v>27</v>
      </c>
      <c r="F1989" s="1" t="s">
        <v>49</v>
      </c>
      <c r="G1989" s="1" t="s">
        <v>53</v>
      </c>
      <c r="H1989" s="1" t="s">
        <v>54</v>
      </c>
      <c r="I1989" s="1" t="s">
        <v>308</v>
      </c>
      <c r="J1989" s="1">
        <v>2</v>
      </c>
      <c r="K1989" s="3">
        <v>9421.76</v>
      </c>
      <c r="L1989" s="1">
        <v>15</v>
      </c>
      <c r="M1989" s="1" t="s">
        <v>56</v>
      </c>
      <c r="N1989" s="10" t="s">
        <v>23</v>
      </c>
      <c r="Q1989"/>
    </row>
    <row r="1990" spans="1:17" x14ac:dyDescent="0.25">
      <c r="A1990" s="9" t="s">
        <v>3015</v>
      </c>
      <c r="B1990" s="2">
        <v>45026</v>
      </c>
      <c r="C1990" s="1" t="s">
        <v>1371</v>
      </c>
      <c r="D1990" s="1" t="s">
        <v>81</v>
      </c>
      <c r="E1990" s="1" t="s">
        <v>17</v>
      </c>
      <c r="F1990" s="1" t="s">
        <v>18</v>
      </c>
      <c r="G1990" s="1" t="s">
        <v>19</v>
      </c>
      <c r="H1990" s="1" t="s">
        <v>20</v>
      </c>
      <c r="I1990" s="1" t="s">
        <v>21</v>
      </c>
      <c r="J1990" s="1">
        <v>6</v>
      </c>
      <c r="K1990" s="3">
        <v>1771.11</v>
      </c>
      <c r="L1990" s="1">
        <v>10</v>
      </c>
      <c r="M1990" s="1" t="s">
        <v>36</v>
      </c>
      <c r="N1990" s="10" t="s">
        <v>23</v>
      </c>
      <c r="Q1990"/>
    </row>
    <row r="1991" spans="1:17" x14ac:dyDescent="0.25">
      <c r="A1991" s="9" t="s">
        <v>3016</v>
      </c>
      <c r="B1991" s="2">
        <v>45547</v>
      </c>
      <c r="C1991" s="1" t="s">
        <v>1488</v>
      </c>
      <c r="D1991" s="1" t="s">
        <v>26</v>
      </c>
      <c r="E1991" s="1" t="s">
        <v>72</v>
      </c>
      <c r="F1991" s="1" t="s">
        <v>28</v>
      </c>
      <c r="G1991" s="1" t="s">
        <v>42</v>
      </c>
      <c r="H1991" s="1" t="s">
        <v>61</v>
      </c>
      <c r="I1991" s="1" t="s">
        <v>204</v>
      </c>
      <c r="J1991" s="1">
        <v>9</v>
      </c>
      <c r="K1991" s="3">
        <v>37703.03</v>
      </c>
      <c r="L1991" s="1">
        <v>10</v>
      </c>
      <c r="M1991" s="1" t="s">
        <v>69</v>
      </c>
      <c r="N1991" s="10" t="s">
        <v>23</v>
      </c>
      <c r="Q1991"/>
    </row>
    <row r="1992" spans="1:17" x14ac:dyDescent="0.25">
      <c r="A1992" s="9" t="s">
        <v>3017</v>
      </c>
      <c r="B1992" s="2">
        <v>45294</v>
      </c>
      <c r="C1992" s="1" t="s">
        <v>1921</v>
      </c>
      <c r="D1992" s="1" t="s">
        <v>67</v>
      </c>
      <c r="E1992" s="1" t="s">
        <v>17</v>
      </c>
      <c r="F1992" s="1" t="s">
        <v>88</v>
      </c>
      <c r="G1992" s="1" t="s">
        <v>42</v>
      </c>
      <c r="H1992" s="1" t="s">
        <v>43</v>
      </c>
      <c r="I1992" s="1" t="s">
        <v>704</v>
      </c>
      <c r="J1992" s="1">
        <v>5</v>
      </c>
      <c r="K1992" s="3">
        <v>7684.36</v>
      </c>
      <c r="L1992" s="1">
        <v>5</v>
      </c>
      <c r="M1992" s="1" t="s">
        <v>36</v>
      </c>
      <c r="N1992" s="10" t="s">
        <v>45</v>
      </c>
      <c r="Q1992"/>
    </row>
    <row r="1993" spans="1:17" x14ac:dyDescent="0.25">
      <c r="A1993" s="9" t="s">
        <v>3018</v>
      </c>
      <c r="B1993" s="2">
        <v>45179</v>
      </c>
      <c r="C1993" s="1" t="s">
        <v>1062</v>
      </c>
      <c r="D1993" s="1" t="s">
        <v>67</v>
      </c>
      <c r="E1993" s="1" t="s">
        <v>34</v>
      </c>
      <c r="F1993" s="1" t="s">
        <v>60</v>
      </c>
      <c r="G1993" s="1" t="s">
        <v>19</v>
      </c>
      <c r="H1993" s="1" t="s">
        <v>20</v>
      </c>
      <c r="I1993" s="1" t="s">
        <v>583</v>
      </c>
      <c r="J1993" s="1">
        <v>3</v>
      </c>
      <c r="K1993" s="3">
        <v>6656.85</v>
      </c>
      <c r="L1993" s="1">
        <v>5</v>
      </c>
      <c r="M1993" s="1" t="s">
        <v>63</v>
      </c>
      <c r="N1993" s="10" t="s">
        <v>45</v>
      </c>
      <c r="Q1993"/>
    </row>
    <row r="1994" spans="1:17" x14ac:dyDescent="0.25">
      <c r="A1994" s="9" t="s">
        <v>3019</v>
      </c>
      <c r="B1994" s="2">
        <v>45152</v>
      </c>
      <c r="C1994" s="1" t="s">
        <v>1853</v>
      </c>
      <c r="D1994" s="1" t="s">
        <v>26</v>
      </c>
      <c r="E1994" s="1" t="s">
        <v>27</v>
      </c>
      <c r="F1994" s="1" t="s">
        <v>60</v>
      </c>
      <c r="G1994" s="1" t="s">
        <v>42</v>
      </c>
      <c r="H1994" s="1" t="s">
        <v>43</v>
      </c>
      <c r="I1994" s="1" t="s">
        <v>84</v>
      </c>
      <c r="J1994" s="1">
        <v>9</v>
      </c>
      <c r="K1994" s="3">
        <v>7125.53</v>
      </c>
      <c r="L1994" s="1">
        <v>10</v>
      </c>
      <c r="M1994" s="1" t="s">
        <v>36</v>
      </c>
      <c r="N1994" s="10" t="s">
        <v>45</v>
      </c>
      <c r="Q1994"/>
    </row>
    <row r="1995" spans="1:17" x14ac:dyDescent="0.25">
      <c r="A1995" s="9" t="s">
        <v>3020</v>
      </c>
      <c r="B1995" s="2">
        <v>45120</v>
      </c>
      <c r="C1995" s="1" t="s">
        <v>1274</v>
      </c>
      <c r="D1995" s="1" t="s">
        <v>52</v>
      </c>
      <c r="E1995" s="1" t="s">
        <v>41</v>
      </c>
      <c r="F1995" s="1" t="s">
        <v>28</v>
      </c>
      <c r="G1995" s="1" t="s">
        <v>83</v>
      </c>
      <c r="H1995" s="1" t="s">
        <v>43</v>
      </c>
      <c r="I1995" s="1" t="s">
        <v>100</v>
      </c>
      <c r="J1995" s="1">
        <v>3</v>
      </c>
      <c r="K1995" s="3">
        <v>8814.75</v>
      </c>
      <c r="L1995" s="1">
        <v>20</v>
      </c>
      <c r="M1995" s="1" t="s">
        <v>22</v>
      </c>
      <c r="N1995" s="10" t="s">
        <v>64</v>
      </c>
      <c r="Q1995"/>
    </row>
    <row r="1996" spans="1:17" x14ac:dyDescent="0.25">
      <c r="A1996" s="9" t="s">
        <v>3021</v>
      </c>
      <c r="B1996" s="2">
        <v>45039</v>
      </c>
      <c r="C1996" s="1" t="s">
        <v>1250</v>
      </c>
      <c r="D1996" s="1" t="s">
        <v>40</v>
      </c>
      <c r="E1996" s="1" t="s">
        <v>27</v>
      </c>
      <c r="F1996" s="1" t="s">
        <v>82</v>
      </c>
      <c r="G1996" s="1" t="s">
        <v>83</v>
      </c>
      <c r="H1996" s="1" t="s">
        <v>43</v>
      </c>
      <c r="I1996" s="1" t="s">
        <v>84</v>
      </c>
      <c r="J1996" s="1">
        <v>3</v>
      </c>
      <c r="K1996" s="3">
        <v>2877.65</v>
      </c>
      <c r="L1996" s="1">
        <v>15</v>
      </c>
      <c r="M1996" s="1" t="s">
        <v>63</v>
      </c>
      <c r="N1996" s="10" t="s">
        <v>64</v>
      </c>
      <c r="Q1996"/>
    </row>
    <row r="1997" spans="1:17" x14ac:dyDescent="0.25">
      <c r="A1997" s="9" t="s">
        <v>3022</v>
      </c>
      <c r="B1997" s="2">
        <v>45522</v>
      </c>
      <c r="C1997" s="1" t="s">
        <v>873</v>
      </c>
      <c r="D1997" s="1" t="s">
        <v>52</v>
      </c>
      <c r="E1997" s="1" t="s">
        <v>17</v>
      </c>
      <c r="F1997" s="1" t="s">
        <v>60</v>
      </c>
      <c r="G1997" s="1" t="s">
        <v>42</v>
      </c>
      <c r="H1997" s="1" t="s">
        <v>43</v>
      </c>
      <c r="I1997" s="1" t="s">
        <v>380</v>
      </c>
      <c r="J1997" s="1">
        <v>7</v>
      </c>
      <c r="K1997" s="3">
        <v>11000.41</v>
      </c>
      <c r="L1997" s="1">
        <v>10</v>
      </c>
      <c r="M1997" s="1" t="s">
        <v>56</v>
      </c>
      <c r="N1997" s="10" t="s">
        <v>64</v>
      </c>
      <c r="Q1997"/>
    </row>
    <row r="1998" spans="1:17" x14ac:dyDescent="0.25">
      <c r="A1998" s="9" t="s">
        <v>3023</v>
      </c>
      <c r="B1998" s="2">
        <v>45448</v>
      </c>
      <c r="C1998" s="1" t="s">
        <v>1365</v>
      </c>
      <c r="D1998" s="1" t="s">
        <v>67</v>
      </c>
      <c r="E1998" s="1" t="s">
        <v>59</v>
      </c>
      <c r="F1998" s="1" t="s">
        <v>18</v>
      </c>
      <c r="G1998" s="1" t="s">
        <v>19</v>
      </c>
      <c r="H1998" s="1" t="s">
        <v>29</v>
      </c>
      <c r="I1998" s="1" t="s">
        <v>223</v>
      </c>
      <c r="J1998" s="1">
        <v>10</v>
      </c>
      <c r="K1998" s="3">
        <v>20075.52</v>
      </c>
      <c r="L1998" s="1" t="s">
        <v>110</v>
      </c>
      <c r="M1998" s="1" t="s">
        <v>36</v>
      </c>
      <c r="N1998" s="10" t="s">
        <v>64</v>
      </c>
      <c r="Q1998"/>
    </row>
    <row r="1999" spans="1:17" x14ac:dyDescent="0.25">
      <c r="A1999" s="9" t="s">
        <v>3024</v>
      </c>
      <c r="B1999" s="2">
        <v>45637</v>
      </c>
      <c r="C1999" s="1" t="s">
        <v>3025</v>
      </c>
      <c r="D1999" s="1" t="s">
        <v>52</v>
      </c>
      <c r="E1999" s="1" t="s">
        <v>34</v>
      </c>
      <c r="F1999" s="1" t="s">
        <v>60</v>
      </c>
      <c r="G1999" s="1" t="s">
        <v>19</v>
      </c>
      <c r="H1999" s="1" t="s">
        <v>29</v>
      </c>
      <c r="I1999" s="1" t="s">
        <v>320</v>
      </c>
      <c r="J1999" s="1">
        <v>7</v>
      </c>
      <c r="K1999" s="3">
        <v>13387.06</v>
      </c>
      <c r="L1999" s="1">
        <v>10</v>
      </c>
      <c r="M1999" s="1" t="s">
        <v>56</v>
      </c>
      <c r="N1999" s="10" t="s">
        <v>23</v>
      </c>
      <c r="Q1999"/>
    </row>
    <row r="2000" spans="1:17" x14ac:dyDescent="0.25">
      <c r="A2000" s="9" t="s">
        <v>3026</v>
      </c>
      <c r="B2000" s="2">
        <v>45587</v>
      </c>
      <c r="C2000" s="1" t="s">
        <v>1957</v>
      </c>
      <c r="D2000" s="1" t="s">
        <v>26</v>
      </c>
      <c r="E2000" s="1" t="s">
        <v>41</v>
      </c>
      <c r="F2000" s="1" t="s">
        <v>99</v>
      </c>
      <c r="G2000" s="1" t="s">
        <v>19</v>
      </c>
      <c r="H2000" s="1" t="s">
        <v>20</v>
      </c>
      <c r="I2000" s="1" t="s">
        <v>731</v>
      </c>
      <c r="J2000" s="1">
        <v>5</v>
      </c>
      <c r="K2000" s="3">
        <v>16903.7</v>
      </c>
      <c r="L2000" s="1">
        <v>5</v>
      </c>
      <c r="M2000" s="1" t="s">
        <v>22</v>
      </c>
      <c r="N2000" s="10" t="s">
        <v>37</v>
      </c>
      <c r="Q2000"/>
    </row>
    <row r="2001" spans="1:17" x14ac:dyDescent="0.25">
      <c r="A2001" s="9" t="s">
        <v>3027</v>
      </c>
      <c r="B2001" s="2">
        <v>45192</v>
      </c>
      <c r="C2001" s="1" t="s">
        <v>166</v>
      </c>
      <c r="D2001" s="1" t="s">
        <v>40</v>
      </c>
      <c r="E2001" s="1" t="s">
        <v>72</v>
      </c>
      <c r="F2001" s="1" t="s">
        <v>99</v>
      </c>
      <c r="G2001" s="1" t="s">
        <v>19</v>
      </c>
      <c r="H2001" s="1" t="s">
        <v>29</v>
      </c>
      <c r="I2001" s="1" t="s">
        <v>320</v>
      </c>
      <c r="J2001" s="1">
        <v>6</v>
      </c>
      <c r="K2001" s="3">
        <v>14032.64</v>
      </c>
      <c r="L2001" s="1">
        <v>10</v>
      </c>
      <c r="M2001" s="1" t="s">
        <v>63</v>
      </c>
      <c r="N2001" s="10" t="s">
        <v>37</v>
      </c>
      <c r="Q2001"/>
    </row>
    <row r="2002" spans="1:17" x14ac:dyDescent="0.25">
      <c r="A2002" s="9" t="s">
        <v>3028</v>
      </c>
      <c r="B2002" s="2">
        <v>45651</v>
      </c>
      <c r="C2002" s="1" t="s">
        <v>137</v>
      </c>
      <c r="D2002" s="1" t="s">
        <v>16</v>
      </c>
      <c r="E2002" s="1" t="s">
        <v>27</v>
      </c>
      <c r="F2002" s="1" t="s">
        <v>18</v>
      </c>
      <c r="G2002" s="1" t="s">
        <v>53</v>
      </c>
      <c r="H2002" s="1" t="s">
        <v>54</v>
      </c>
      <c r="I2002" s="1" t="s">
        <v>109</v>
      </c>
      <c r="J2002" s="1">
        <v>8</v>
      </c>
      <c r="K2002" s="3">
        <v>37476.199999999997</v>
      </c>
      <c r="L2002" s="1" t="s">
        <v>110</v>
      </c>
      <c r="M2002" s="1" t="s">
        <v>69</v>
      </c>
      <c r="N2002" s="10" t="s">
        <v>31</v>
      </c>
      <c r="Q2002"/>
    </row>
    <row r="2003" spans="1:17" x14ac:dyDescent="0.25">
      <c r="A2003" s="9" t="s">
        <v>3029</v>
      </c>
      <c r="B2003" s="2">
        <v>45474</v>
      </c>
      <c r="C2003" s="1" t="s">
        <v>15</v>
      </c>
      <c r="D2003" s="1" t="s">
        <v>40</v>
      </c>
      <c r="E2003" s="1" t="s">
        <v>72</v>
      </c>
      <c r="F2003" s="1" t="s">
        <v>49</v>
      </c>
      <c r="G2003" s="1" t="s">
        <v>19</v>
      </c>
      <c r="H2003" s="1" t="s">
        <v>20</v>
      </c>
      <c r="I2003" s="1" t="s">
        <v>230</v>
      </c>
      <c r="J2003" s="1">
        <v>2</v>
      </c>
      <c r="K2003" s="3">
        <v>2652.14</v>
      </c>
      <c r="L2003" s="1" t="s">
        <v>110</v>
      </c>
      <c r="M2003" s="1" t="s">
        <v>36</v>
      </c>
      <c r="N2003" s="10" t="s">
        <v>74</v>
      </c>
      <c r="Q2003"/>
    </row>
    <row r="2004" spans="1:17" x14ac:dyDescent="0.25">
      <c r="A2004" s="9" t="s">
        <v>3030</v>
      </c>
      <c r="B2004" s="2">
        <v>45378</v>
      </c>
      <c r="C2004" s="1" t="s">
        <v>909</v>
      </c>
      <c r="D2004" s="1" t="s">
        <v>71</v>
      </c>
      <c r="E2004" s="1" t="s">
        <v>72</v>
      </c>
      <c r="F2004" s="1" t="s">
        <v>49</v>
      </c>
      <c r="G2004" s="1" t="s">
        <v>53</v>
      </c>
      <c r="H2004" s="1" t="s">
        <v>54</v>
      </c>
      <c r="I2004" s="1" t="s">
        <v>333</v>
      </c>
      <c r="J2004" s="1">
        <v>9</v>
      </c>
      <c r="K2004" s="3">
        <v>16954.810000000001</v>
      </c>
      <c r="L2004" s="1">
        <v>20</v>
      </c>
      <c r="M2004" s="1" t="s">
        <v>36</v>
      </c>
      <c r="N2004" s="10" t="s">
        <v>45</v>
      </c>
      <c r="Q2004"/>
    </row>
    <row r="2005" spans="1:17" x14ac:dyDescent="0.25">
      <c r="A2005" s="9" t="s">
        <v>3031</v>
      </c>
      <c r="B2005" s="2">
        <v>45212</v>
      </c>
      <c r="C2005" s="1" t="s">
        <v>1881</v>
      </c>
      <c r="D2005" s="1" t="s">
        <v>192</v>
      </c>
      <c r="E2005" s="1" t="s">
        <v>59</v>
      </c>
      <c r="F2005" s="1" t="s">
        <v>18</v>
      </c>
      <c r="G2005" s="1" t="s">
        <v>42</v>
      </c>
      <c r="H2005" s="1" t="s">
        <v>43</v>
      </c>
      <c r="I2005" s="1" t="s">
        <v>274</v>
      </c>
      <c r="J2005" s="1">
        <v>-2</v>
      </c>
      <c r="K2005" s="3">
        <v>3642.84</v>
      </c>
      <c r="L2005" s="1">
        <v>0</v>
      </c>
      <c r="M2005" s="1" t="s">
        <v>56</v>
      </c>
      <c r="N2005" s="10" t="s">
        <v>23</v>
      </c>
      <c r="Q2005"/>
    </row>
    <row r="2006" spans="1:17" x14ac:dyDescent="0.25">
      <c r="A2006" s="9" t="s">
        <v>3032</v>
      </c>
      <c r="B2006" s="2">
        <v>45390</v>
      </c>
      <c r="C2006" s="1" t="s">
        <v>1909</v>
      </c>
      <c r="D2006" s="1" t="s">
        <v>67</v>
      </c>
      <c r="E2006" s="1" t="s">
        <v>17</v>
      </c>
      <c r="F2006" s="1" t="s">
        <v>60</v>
      </c>
      <c r="G2006" s="1" t="s">
        <v>19</v>
      </c>
      <c r="H2006" s="1" t="s">
        <v>29</v>
      </c>
      <c r="I2006" s="1" t="s">
        <v>370</v>
      </c>
      <c r="J2006" s="1">
        <v>3</v>
      </c>
      <c r="K2006" s="3">
        <v>901.67</v>
      </c>
      <c r="L2006" s="1">
        <v>20</v>
      </c>
      <c r="M2006" s="1" t="s">
        <v>93</v>
      </c>
      <c r="N2006" s="10" t="s">
        <v>64</v>
      </c>
      <c r="Q2006"/>
    </row>
    <row r="2007" spans="1:17" x14ac:dyDescent="0.25">
      <c r="A2007" s="9" t="s">
        <v>3033</v>
      </c>
      <c r="B2007" s="2">
        <v>45485</v>
      </c>
      <c r="C2007" s="1" t="s">
        <v>1605</v>
      </c>
      <c r="D2007" s="1" t="s">
        <v>40</v>
      </c>
      <c r="E2007" s="1" t="s">
        <v>17</v>
      </c>
      <c r="F2007" s="1" t="s">
        <v>82</v>
      </c>
      <c r="G2007" s="1" t="s">
        <v>42</v>
      </c>
      <c r="H2007" s="1" t="s">
        <v>61</v>
      </c>
      <c r="I2007" s="1" t="s">
        <v>196</v>
      </c>
      <c r="J2007" s="1">
        <v>7</v>
      </c>
      <c r="K2007" s="3">
        <v>20167.13</v>
      </c>
      <c r="L2007" s="1" t="s">
        <v>110</v>
      </c>
      <c r="M2007" s="1" t="s">
        <v>56</v>
      </c>
      <c r="N2007" s="10" t="s">
        <v>31</v>
      </c>
      <c r="Q2007"/>
    </row>
    <row r="2008" spans="1:17" x14ac:dyDescent="0.25">
      <c r="A2008" s="9" t="s">
        <v>3034</v>
      </c>
      <c r="B2008" s="2">
        <v>45032</v>
      </c>
      <c r="C2008" s="1" t="s">
        <v>3035</v>
      </c>
      <c r="D2008" s="1" t="s">
        <v>67</v>
      </c>
      <c r="E2008" s="1" t="s">
        <v>17</v>
      </c>
      <c r="F2008" s="1" t="s">
        <v>99</v>
      </c>
      <c r="G2008" s="1" t="s">
        <v>83</v>
      </c>
      <c r="H2008" s="1" t="s">
        <v>43</v>
      </c>
      <c r="I2008" s="1" t="s">
        <v>182</v>
      </c>
      <c r="J2008" s="1">
        <v>8</v>
      </c>
      <c r="K2008" s="3">
        <v>30148.89</v>
      </c>
      <c r="L2008" s="1" t="s">
        <v>110</v>
      </c>
      <c r="M2008" s="1" t="s">
        <v>36</v>
      </c>
      <c r="N2008" s="10" t="s">
        <v>31</v>
      </c>
      <c r="Q2008"/>
    </row>
    <row r="2009" spans="1:17" x14ac:dyDescent="0.25">
      <c r="A2009" s="9" t="s">
        <v>3036</v>
      </c>
      <c r="B2009" s="2">
        <v>45644</v>
      </c>
      <c r="C2009" s="1" t="s">
        <v>1971</v>
      </c>
      <c r="D2009" s="1" t="s">
        <v>147</v>
      </c>
      <c r="E2009" s="1" t="s">
        <v>34</v>
      </c>
      <c r="F2009" s="1" t="s">
        <v>28</v>
      </c>
      <c r="G2009" s="1" t="s">
        <v>83</v>
      </c>
      <c r="H2009" s="1" t="s">
        <v>43</v>
      </c>
      <c r="I2009" s="1" t="s">
        <v>157</v>
      </c>
      <c r="J2009" s="1">
        <v>1</v>
      </c>
      <c r="K2009" s="3">
        <v>1568.59</v>
      </c>
      <c r="L2009" s="1">
        <v>5</v>
      </c>
      <c r="M2009" s="1" t="s">
        <v>63</v>
      </c>
      <c r="N2009" s="10" t="s">
        <v>23</v>
      </c>
      <c r="Q2009"/>
    </row>
    <row r="2010" spans="1:17" x14ac:dyDescent="0.25">
      <c r="A2010" s="9" t="s">
        <v>3037</v>
      </c>
      <c r="B2010" s="2">
        <v>44953</v>
      </c>
      <c r="C2010" s="1" t="s">
        <v>1398</v>
      </c>
      <c r="D2010" s="1" t="s">
        <v>81</v>
      </c>
      <c r="E2010" s="1" t="s">
        <v>17</v>
      </c>
      <c r="F2010" s="1" t="s">
        <v>82</v>
      </c>
      <c r="G2010" s="1" t="s">
        <v>19</v>
      </c>
      <c r="H2010" s="1" t="s">
        <v>20</v>
      </c>
      <c r="I2010" s="1" t="s">
        <v>230</v>
      </c>
      <c r="J2010" s="1">
        <v>9</v>
      </c>
      <c r="K2010" s="3">
        <v>1261.1600000000001</v>
      </c>
      <c r="L2010" s="1">
        <v>20</v>
      </c>
      <c r="M2010" s="1" t="s">
        <v>69</v>
      </c>
      <c r="N2010" s="10" t="s">
        <v>64</v>
      </c>
      <c r="Q2010"/>
    </row>
    <row r="2011" spans="1:17" x14ac:dyDescent="0.25">
      <c r="A2011" s="9" t="s">
        <v>3038</v>
      </c>
      <c r="B2011" s="2">
        <v>45604</v>
      </c>
      <c r="C2011" s="1" t="s">
        <v>335</v>
      </c>
      <c r="D2011" s="1" t="s">
        <v>71</v>
      </c>
      <c r="E2011" s="1" t="s">
        <v>27</v>
      </c>
      <c r="F2011" s="1" t="s">
        <v>60</v>
      </c>
      <c r="G2011" s="1" t="s">
        <v>53</v>
      </c>
      <c r="H2011" s="1" t="s">
        <v>54</v>
      </c>
      <c r="I2011" s="1" t="s">
        <v>1272</v>
      </c>
      <c r="J2011" s="1">
        <v>4</v>
      </c>
      <c r="K2011" s="3">
        <v>928.1</v>
      </c>
      <c r="L2011" s="1">
        <v>20</v>
      </c>
      <c r="M2011" s="1" t="s">
        <v>63</v>
      </c>
      <c r="N2011" s="10" t="s">
        <v>64</v>
      </c>
      <c r="Q2011"/>
    </row>
    <row r="2012" spans="1:17" x14ac:dyDescent="0.25">
      <c r="A2012" s="9" t="s">
        <v>3039</v>
      </c>
      <c r="B2012" s="2">
        <v>45366</v>
      </c>
      <c r="C2012" s="1" t="s">
        <v>601</v>
      </c>
      <c r="D2012" s="1" t="s">
        <v>87</v>
      </c>
      <c r="E2012" s="1" t="s">
        <v>41</v>
      </c>
      <c r="F2012" s="1" t="s">
        <v>28</v>
      </c>
      <c r="G2012" s="1" t="s">
        <v>19</v>
      </c>
      <c r="H2012" s="1" t="s">
        <v>20</v>
      </c>
      <c r="I2012" s="1" t="s">
        <v>164</v>
      </c>
      <c r="J2012" s="1">
        <v>9</v>
      </c>
      <c r="K2012" s="3">
        <v>5480.95</v>
      </c>
      <c r="L2012" s="1">
        <v>10</v>
      </c>
      <c r="M2012" s="1" t="s">
        <v>56</v>
      </c>
      <c r="N2012" s="10" t="s">
        <v>74</v>
      </c>
      <c r="Q2012"/>
    </row>
    <row r="2013" spans="1:17" x14ac:dyDescent="0.25">
      <c r="A2013" s="9" t="s">
        <v>3040</v>
      </c>
      <c r="B2013" s="2">
        <v>45567</v>
      </c>
      <c r="C2013" s="1" t="s">
        <v>471</v>
      </c>
      <c r="D2013" s="1" t="s">
        <v>16</v>
      </c>
      <c r="E2013" s="1" t="s">
        <v>34</v>
      </c>
      <c r="F2013" s="1" t="s">
        <v>18</v>
      </c>
      <c r="G2013" s="1" t="s">
        <v>53</v>
      </c>
      <c r="H2013" s="1" t="s">
        <v>54</v>
      </c>
      <c r="I2013" s="1" t="s">
        <v>554</v>
      </c>
      <c r="J2013" s="1">
        <v>1</v>
      </c>
      <c r="K2013" s="3">
        <v>1889.88</v>
      </c>
      <c r="L2013" s="1">
        <v>10</v>
      </c>
      <c r="M2013" s="1" t="s">
        <v>63</v>
      </c>
      <c r="N2013" s="10" t="s">
        <v>37</v>
      </c>
      <c r="Q2013"/>
    </row>
    <row r="2014" spans="1:17" x14ac:dyDescent="0.25">
      <c r="A2014" s="9" t="s">
        <v>3041</v>
      </c>
      <c r="B2014" s="2">
        <v>44985</v>
      </c>
      <c r="C2014" s="1" t="s">
        <v>451</v>
      </c>
      <c r="D2014" s="1" t="s">
        <v>40</v>
      </c>
      <c r="E2014" s="1" t="s">
        <v>59</v>
      </c>
      <c r="F2014" s="1" t="s">
        <v>28</v>
      </c>
      <c r="G2014" s="1" t="s">
        <v>19</v>
      </c>
      <c r="H2014" s="1" t="s">
        <v>20</v>
      </c>
      <c r="I2014" s="1" t="s">
        <v>326</v>
      </c>
      <c r="J2014" s="1">
        <v>7</v>
      </c>
      <c r="K2014" s="3">
        <v>21229.52</v>
      </c>
      <c r="L2014" s="1">
        <v>5</v>
      </c>
      <c r="M2014" s="1" t="s">
        <v>22</v>
      </c>
      <c r="N2014" s="10" t="s">
        <v>23</v>
      </c>
      <c r="Q2014"/>
    </row>
    <row r="2015" spans="1:17" x14ac:dyDescent="0.25">
      <c r="A2015" s="9" t="s">
        <v>3042</v>
      </c>
      <c r="B2015" s="2">
        <v>45266</v>
      </c>
      <c r="C2015" s="1" t="s">
        <v>2053</v>
      </c>
      <c r="D2015" s="1" t="s">
        <v>147</v>
      </c>
      <c r="E2015" s="1" t="s">
        <v>72</v>
      </c>
      <c r="F2015" s="1" t="s">
        <v>60</v>
      </c>
      <c r="G2015" s="1" t="s">
        <v>19</v>
      </c>
      <c r="H2015" s="1" t="s">
        <v>20</v>
      </c>
      <c r="I2015" s="1" t="s">
        <v>226</v>
      </c>
      <c r="J2015" s="1">
        <v>7</v>
      </c>
      <c r="K2015" s="3">
        <v>30132.17</v>
      </c>
      <c r="L2015" s="1" t="s">
        <v>110</v>
      </c>
      <c r="M2015" s="1" t="s">
        <v>93</v>
      </c>
      <c r="N2015" s="10" t="s">
        <v>74</v>
      </c>
      <c r="Q2015"/>
    </row>
    <row r="2016" spans="1:17" x14ac:dyDescent="0.25">
      <c r="A2016" s="9" t="s">
        <v>3043</v>
      </c>
      <c r="B2016" s="2">
        <v>44949</v>
      </c>
      <c r="C2016" s="1" t="s">
        <v>706</v>
      </c>
      <c r="D2016" s="1" t="s">
        <v>33</v>
      </c>
      <c r="E2016" s="1" t="s">
        <v>59</v>
      </c>
      <c r="F2016" s="1" t="s">
        <v>28</v>
      </c>
      <c r="G2016" s="1" t="s">
        <v>53</v>
      </c>
      <c r="H2016" s="1" t="s">
        <v>54</v>
      </c>
      <c r="I2016" s="1" t="s">
        <v>92</v>
      </c>
      <c r="J2016" s="1">
        <v>10</v>
      </c>
      <c r="K2016" s="3">
        <v>2080.0500000000002</v>
      </c>
      <c r="L2016" s="1">
        <v>0</v>
      </c>
      <c r="M2016" s="1" t="s">
        <v>69</v>
      </c>
      <c r="N2016" s="10" t="s">
        <v>37</v>
      </c>
      <c r="Q2016"/>
    </row>
    <row r="2017" spans="1:17" x14ac:dyDescent="0.25">
      <c r="A2017" s="9" t="s">
        <v>3044</v>
      </c>
      <c r="B2017" s="2">
        <v>45599</v>
      </c>
      <c r="C2017" s="1" t="s">
        <v>1115</v>
      </c>
      <c r="D2017" s="1" t="s">
        <v>67</v>
      </c>
      <c r="E2017" s="1" t="s">
        <v>27</v>
      </c>
      <c r="F2017" s="1" t="s">
        <v>99</v>
      </c>
      <c r="G2017" s="1" t="s">
        <v>83</v>
      </c>
      <c r="H2017" s="1" t="s">
        <v>43</v>
      </c>
      <c r="I2017" s="1" t="s">
        <v>704</v>
      </c>
      <c r="J2017" s="1">
        <v>9</v>
      </c>
      <c r="K2017" s="3">
        <v>30547.96</v>
      </c>
      <c r="L2017" s="1">
        <v>0</v>
      </c>
      <c r="M2017" s="1" t="s">
        <v>36</v>
      </c>
      <c r="N2017" s="10" t="s">
        <v>31</v>
      </c>
      <c r="Q2017"/>
    </row>
    <row r="2018" spans="1:17" x14ac:dyDescent="0.25">
      <c r="A2018" s="9" t="s">
        <v>3045</v>
      </c>
      <c r="B2018" s="2">
        <v>45465</v>
      </c>
      <c r="C2018" s="1" t="s">
        <v>764</v>
      </c>
      <c r="D2018" s="1" t="s">
        <v>52</v>
      </c>
      <c r="E2018" s="1" t="s">
        <v>59</v>
      </c>
      <c r="F2018" s="1" t="s">
        <v>18</v>
      </c>
      <c r="G2018" s="1" t="s">
        <v>83</v>
      </c>
      <c r="H2018" s="1" t="s">
        <v>43</v>
      </c>
      <c r="I2018" s="1" t="s">
        <v>494</v>
      </c>
      <c r="J2018" s="1">
        <v>10</v>
      </c>
      <c r="K2018" s="3">
        <v>17422.36</v>
      </c>
      <c r="L2018" s="1" t="s">
        <v>110</v>
      </c>
      <c r="M2018" s="1" t="s">
        <v>22</v>
      </c>
      <c r="N2018" s="10" t="s">
        <v>31</v>
      </c>
      <c r="Q2018"/>
    </row>
    <row r="2019" spans="1:17" x14ac:dyDescent="0.25">
      <c r="A2019" s="9" t="s">
        <v>3046</v>
      </c>
      <c r="B2019" s="2">
        <v>45596</v>
      </c>
      <c r="C2019" s="1" t="s">
        <v>1830</v>
      </c>
      <c r="D2019" s="1" t="s">
        <v>169</v>
      </c>
      <c r="E2019" s="1" t="s">
        <v>41</v>
      </c>
      <c r="F2019" s="1" t="s">
        <v>99</v>
      </c>
      <c r="G2019" s="1" t="s">
        <v>42</v>
      </c>
      <c r="H2019" s="1" t="s">
        <v>43</v>
      </c>
      <c r="I2019" s="1" t="s">
        <v>100</v>
      </c>
      <c r="J2019" s="1">
        <v>2</v>
      </c>
      <c r="K2019" s="3">
        <v>1230.1199999999999</v>
      </c>
      <c r="L2019" s="1">
        <v>10</v>
      </c>
      <c r="M2019" s="1" t="s">
        <v>22</v>
      </c>
      <c r="N2019" s="10" t="s">
        <v>45</v>
      </c>
      <c r="Q2019"/>
    </row>
    <row r="2020" spans="1:17" x14ac:dyDescent="0.25">
      <c r="A2020" s="9" t="s">
        <v>3047</v>
      </c>
      <c r="B2020" s="2">
        <v>45115</v>
      </c>
      <c r="C2020" s="1" t="s">
        <v>212</v>
      </c>
      <c r="D2020" s="1" t="s">
        <v>67</v>
      </c>
      <c r="E2020" s="1" t="s">
        <v>17</v>
      </c>
      <c r="F2020" s="1" t="s">
        <v>88</v>
      </c>
      <c r="G2020" s="1" t="s">
        <v>42</v>
      </c>
      <c r="H2020" s="1" t="s">
        <v>61</v>
      </c>
      <c r="I2020" s="1" t="s">
        <v>357</v>
      </c>
      <c r="J2020" s="1">
        <v>3</v>
      </c>
      <c r="K2020" s="3">
        <v>4680.41</v>
      </c>
      <c r="L2020" s="1">
        <v>5</v>
      </c>
      <c r="M2020" s="1" t="s">
        <v>36</v>
      </c>
      <c r="N2020" s="10" t="s">
        <v>45</v>
      </c>
      <c r="Q2020"/>
    </row>
    <row r="2021" spans="1:17" x14ac:dyDescent="0.25">
      <c r="A2021" s="9" t="s">
        <v>3048</v>
      </c>
      <c r="B2021" s="2">
        <v>45581</v>
      </c>
      <c r="C2021" s="1" t="s">
        <v>1027</v>
      </c>
      <c r="D2021" s="1" t="s">
        <v>26</v>
      </c>
      <c r="E2021" s="1" t="s">
        <v>41</v>
      </c>
      <c r="F2021" s="1" t="s">
        <v>28</v>
      </c>
      <c r="G2021" s="1" t="s">
        <v>19</v>
      </c>
      <c r="H2021" s="1" t="s">
        <v>29</v>
      </c>
      <c r="I2021" s="1" t="s">
        <v>693</v>
      </c>
      <c r="J2021" s="1">
        <v>9</v>
      </c>
      <c r="K2021" s="3">
        <v>35445.040000000001</v>
      </c>
      <c r="L2021" s="1" t="s">
        <v>110</v>
      </c>
      <c r="M2021" s="1" t="s">
        <v>69</v>
      </c>
      <c r="N2021" s="10" t="s">
        <v>37</v>
      </c>
      <c r="Q2021"/>
    </row>
    <row r="2022" spans="1:17" x14ac:dyDescent="0.25">
      <c r="A2022" s="9" t="s">
        <v>3049</v>
      </c>
      <c r="B2022" s="2">
        <v>45538</v>
      </c>
      <c r="C2022" s="1" t="s">
        <v>290</v>
      </c>
      <c r="D2022" s="1" t="s">
        <v>118</v>
      </c>
      <c r="E2022" s="1" t="s">
        <v>72</v>
      </c>
      <c r="F2022" s="1" t="s">
        <v>18</v>
      </c>
      <c r="G2022" s="1" t="s">
        <v>19</v>
      </c>
      <c r="H2022" s="1" t="s">
        <v>29</v>
      </c>
      <c r="I2022" s="1" t="s">
        <v>370</v>
      </c>
      <c r="J2022" s="1">
        <v>8</v>
      </c>
      <c r="K2022" s="3">
        <v>14140.68</v>
      </c>
      <c r="L2022" s="1">
        <v>5</v>
      </c>
      <c r="M2022" s="1" t="s">
        <v>36</v>
      </c>
      <c r="N2022" s="10" t="s">
        <v>23</v>
      </c>
      <c r="Q2022"/>
    </row>
    <row r="2023" spans="1:17" x14ac:dyDescent="0.25">
      <c r="A2023" s="9" t="s">
        <v>3050</v>
      </c>
      <c r="B2023" s="2">
        <v>45502</v>
      </c>
      <c r="C2023" s="1" t="s">
        <v>1440</v>
      </c>
      <c r="D2023" s="1" t="s">
        <v>81</v>
      </c>
      <c r="E2023" s="1" t="s">
        <v>41</v>
      </c>
      <c r="F2023" s="1" t="s">
        <v>99</v>
      </c>
      <c r="G2023" s="1" t="s">
        <v>42</v>
      </c>
      <c r="H2023" s="1" t="s">
        <v>61</v>
      </c>
      <c r="I2023" s="1" t="s">
        <v>863</v>
      </c>
      <c r="J2023" s="1">
        <v>1</v>
      </c>
      <c r="K2023" s="3">
        <v>2417.83</v>
      </c>
      <c r="L2023" s="1">
        <v>0</v>
      </c>
      <c r="M2023" s="1" t="s">
        <v>69</v>
      </c>
      <c r="N2023" s="10" t="s">
        <v>37</v>
      </c>
      <c r="Q2023"/>
    </row>
    <row r="2024" spans="1:17" x14ac:dyDescent="0.25">
      <c r="A2024" s="9" t="s">
        <v>3051</v>
      </c>
      <c r="B2024" s="2">
        <v>45199</v>
      </c>
      <c r="C2024" s="1" t="s">
        <v>793</v>
      </c>
      <c r="D2024" s="1" t="s">
        <v>16</v>
      </c>
      <c r="E2024" s="1" t="s">
        <v>41</v>
      </c>
      <c r="F2024" s="1" t="s">
        <v>82</v>
      </c>
      <c r="G2024" s="1" t="s">
        <v>53</v>
      </c>
      <c r="H2024" s="1" t="s">
        <v>54</v>
      </c>
      <c r="I2024" s="1" t="s">
        <v>479</v>
      </c>
      <c r="J2024" s="1">
        <v>10</v>
      </c>
      <c r="K2024" s="3">
        <v>39711.24</v>
      </c>
      <c r="L2024" s="1">
        <v>20</v>
      </c>
      <c r="M2024" s="1" t="s">
        <v>22</v>
      </c>
      <c r="N2024" s="10" t="s">
        <v>45</v>
      </c>
      <c r="Q2024"/>
    </row>
    <row r="2025" spans="1:17" x14ac:dyDescent="0.25">
      <c r="A2025" s="9" t="s">
        <v>3052</v>
      </c>
      <c r="B2025" s="2">
        <v>45521</v>
      </c>
      <c r="C2025" s="1" t="s">
        <v>682</v>
      </c>
      <c r="D2025" s="1" t="s">
        <v>87</v>
      </c>
      <c r="E2025" s="1" t="s">
        <v>72</v>
      </c>
      <c r="F2025" s="1" t="s">
        <v>88</v>
      </c>
      <c r="G2025" s="1" t="s">
        <v>83</v>
      </c>
      <c r="H2025" s="1" t="s">
        <v>43</v>
      </c>
      <c r="I2025" s="1" t="s">
        <v>336</v>
      </c>
      <c r="J2025" s="1">
        <v>5</v>
      </c>
      <c r="K2025" s="3">
        <v>16123.73</v>
      </c>
      <c r="L2025" s="1">
        <v>15</v>
      </c>
      <c r="M2025" s="1" t="s">
        <v>63</v>
      </c>
      <c r="N2025" s="10" t="s">
        <v>23</v>
      </c>
      <c r="Q2025"/>
    </row>
    <row r="2026" spans="1:17" x14ac:dyDescent="0.25">
      <c r="A2026" s="9" t="s">
        <v>3053</v>
      </c>
      <c r="B2026" s="2">
        <v>45633</v>
      </c>
      <c r="C2026" s="1" t="s">
        <v>1085</v>
      </c>
      <c r="D2026" s="1" t="s">
        <v>147</v>
      </c>
      <c r="E2026" s="1" t="s">
        <v>59</v>
      </c>
      <c r="F2026" s="1" t="s">
        <v>88</v>
      </c>
      <c r="G2026" s="1" t="s">
        <v>19</v>
      </c>
      <c r="H2026" s="1" t="s">
        <v>20</v>
      </c>
      <c r="I2026" s="1" t="s">
        <v>928</v>
      </c>
      <c r="J2026" s="1">
        <v>7</v>
      </c>
      <c r="K2026" s="3">
        <v>32079.05</v>
      </c>
      <c r="L2026" s="1">
        <v>15</v>
      </c>
      <c r="M2026" s="1" t="s">
        <v>69</v>
      </c>
      <c r="N2026" s="10" t="s">
        <v>23</v>
      </c>
      <c r="Q2026"/>
    </row>
    <row r="2027" spans="1:17" x14ac:dyDescent="0.25">
      <c r="A2027" s="9" t="s">
        <v>3054</v>
      </c>
      <c r="B2027" s="2">
        <v>45428</v>
      </c>
      <c r="C2027" s="1" t="s">
        <v>1227</v>
      </c>
      <c r="D2027" s="1" t="s">
        <v>16</v>
      </c>
      <c r="E2027" s="1" t="s">
        <v>27</v>
      </c>
      <c r="F2027" s="1" t="s">
        <v>99</v>
      </c>
      <c r="G2027" s="1" t="s">
        <v>53</v>
      </c>
      <c r="H2027" s="1" t="s">
        <v>54</v>
      </c>
      <c r="I2027" s="1" t="s">
        <v>253</v>
      </c>
      <c r="J2027" s="1">
        <v>4</v>
      </c>
      <c r="K2027" s="3">
        <v>13624.73</v>
      </c>
      <c r="L2027" s="1">
        <v>5</v>
      </c>
      <c r="M2027" s="1" t="s">
        <v>22</v>
      </c>
      <c r="N2027" s="10" t="s">
        <v>23</v>
      </c>
      <c r="Q2027"/>
    </row>
    <row r="2028" spans="1:17" x14ac:dyDescent="0.25">
      <c r="A2028" s="9" t="s">
        <v>3055</v>
      </c>
      <c r="B2028" s="2">
        <v>45441</v>
      </c>
      <c r="C2028" s="1" t="s">
        <v>2312</v>
      </c>
      <c r="D2028" s="1" t="s">
        <v>399</v>
      </c>
      <c r="E2028" s="1" t="s">
        <v>59</v>
      </c>
      <c r="F2028" s="1" t="s">
        <v>99</v>
      </c>
      <c r="G2028" s="1" t="s">
        <v>19</v>
      </c>
      <c r="H2028" s="1" t="s">
        <v>29</v>
      </c>
      <c r="I2028" s="1" t="s">
        <v>385</v>
      </c>
      <c r="J2028" s="1">
        <v>3</v>
      </c>
      <c r="K2028" s="3">
        <v>2118.7800000000002</v>
      </c>
      <c r="L2028" s="1">
        <v>5</v>
      </c>
      <c r="M2028" s="1" t="s">
        <v>93</v>
      </c>
      <c r="N2028" s="10" t="s">
        <v>64</v>
      </c>
      <c r="Q2028"/>
    </row>
    <row r="2029" spans="1:17" x14ac:dyDescent="0.25">
      <c r="A2029" s="9" t="s">
        <v>3056</v>
      </c>
      <c r="B2029" s="2">
        <v>45252</v>
      </c>
      <c r="C2029" s="1" t="s">
        <v>1943</v>
      </c>
      <c r="D2029" s="1" t="s">
        <v>26</v>
      </c>
      <c r="E2029" s="1" t="s">
        <v>59</v>
      </c>
      <c r="F2029" s="1" t="s">
        <v>88</v>
      </c>
      <c r="G2029" s="1" t="s">
        <v>53</v>
      </c>
      <c r="H2029" s="1" t="s">
        <v>54</v>
      </c>
      <c r="I2029" s="1" t="s">
        <v>413</v>
      </c>
      <c r="J2029" s="1">
        <v>9</v>
      </c>
      <c r="K2029" s="3">
        <v>19428.849999999999</v>
      </c>
      <c r="L2029" s="1">
        <v>5</v>
      </c>
      <c r="M2029" s="1" t="s">
        <v>93</v>
      </c>
      <c r="N2029" s="10" t="s">
        <v>31</v>
      </c>
      <c r="Q2029"/>
    </row>
    <row r="2030" spans="1:17" x14ac:dyDescent="0.25">
      <c r="A2030" s="9" t="s">
        <v>3057</v>
      </c>
      <c r="B2030" s="2">
        <v>45578</v>
      </c>
      <c r="C2030" s="1" t="s">
        <v>601</v>
      </c>
      <c r="D2030" s="1" t="s">
        <v>26</v>
      </c>
      <c r="E2030" s="1" t="s">
        <v>72</v>
      </c>
      <c r="F2030" s="1" t="s">
        <v>49</v>
      </c>
      <c r="G2030" s="1" t="s">
        <v>42</v>
      </c>
      <c r="H2030" s="1" t="s">
        <v>43</v>
      </c>
      <c r="I2030" s="1" t="s">
        <v>258</v>
      </c>
      <c r="J2030" s="1">
        <v>1</v>
      </c>
      <c r="K2030" s="3">
        <v>3806.6</v>
      </c>
      <c r="L2030" s="1">
        <v>15</v>
      </c>
      <c r="M2030" s="1" t="s">
        <v>56</v>
      </c>
      <c r="N2030" s="10" t="s">
        <v>31</v>
      </c>
      <c r="Q2030"/>
    </row>
    <row r="2031" spans="1:17" x14ac:dyDescent="0.25">
      <c r="A2031" s="9" t="s">
        <v>3058</v>
      </c>
      <c r="B2031" s="2">
        <v>45409</v>
      </c>
      <c r="C2031" s="1" t="s">
        <v>1420</v>
      </c>
      <c r="D2031" s="1" t="s">
        <v>52</v>
      </c>
      <c r="E2031" s="1" t="s">
        <v>17</v>
      </c>
      <c r="F2031" s="1" t="s">
        <v>82</v>
      </c>
      <c r="G2031" s="1" t="s">
        <v>19</v>
      </c>
      <c r="H2031" s="1" t="s">
        <v>20</v>
      </c>
      <c r="I2031" s="1" t="s">
        <v>326</v>
      </c>
      <c r="J2031" s="1">
        <v>7</v>
      </c>
      <c r="K2031" s="3">
        <v>15195.28</v>
      </c>
      <c r="L2031" s="1">
        <v>20</v>
      </c>
      <c r="M2031" s="1" t="s">
        <v>69</v>
      </c>
      <c r="N2031" s="10" t="s">
        <v>31</v>
      </c>
      <c r="Q2031"/>
    </row>
    <row r="2032" spans="1:17" x14ac:dyDescent="0.25">
      <c r="A2032" s="9" t="s">
        <v>3059</v>
      </c>
      <c r="B2032" s="2">
        <v>45108</v>
      </c>
      <c r="C2032" s="1" t="s">
        <v>1669</v>
      </c>
      <c r="D2032" s="1" t="s">
        <v>87</v>
      </c>
      <c r="E2032" s="1" t="s">
        <v>41</v>
      </c>
      <c r="F2032" s="1" t="s">
        <v>49</v>
      </c>
      <c r="G2032" s="1" t="s">
        <v>53</v>
      </c>
      <c r="H2032" s="1" t="s">
        <v>54</v>
      </c>
      <c r="I2032" s="1" t="s">
        <v>55</v>
      </c>
      <c r="J2032" s="1">
        <v>9</v>
      </c>
      <c r="K2032" s="3">
        <v>18057.310000000001</v>
      </c>
      <c r="L2032" s="1">
        <v>0</v>
      </c>
      <c r="M2032" s="1" t="s">
        <v>69</v>
      </c>
      <c r="N2032" s="10" t="s">
        <v>74</v>
      </c>
      <c r="Q2032"/>
    </row>
    <row r="2033" spans="1:17" x14ac:dyDescent="0.25">
      <c r="A2033" s="9" t="s">
        <v>3060</v>
      </c>
      <c r="B2033" s="2">
        <v>44972</v>
      </c>
      <c r="C2033" s="1" t="s">
        <v>681</v>
      </c>
      <c r="D2033" s="1" t="s">
        <v>33</v>
      </c>
      <c r="E2033" s="1" t="s">
        <v>41</v>
      </c>
      <c r="F2033" s="1" t="s">
        <v>82</v>
      </c>
      <c r="G2033" s="1" t="s">
        <v>19</v>
      </c>
      <c r="H2033" s="1" t="s">
        <v>20</v>
      </c>
      <c r="I2033" s="1" t="s">
        <v>127</v>
      </c>
      <c r="J2033" s="1">
        <v>9</v>
      </c>
      <c r="K2033" s="3">
        <v>41506.92</v>
      </c>
      <c r="L2033" s="1">
        <v>0</v>
      </c>
      <c r="M2033" s="1" t="s">
        <v>69</v>
      </c>
      <c r="N2033" s="10" t="s">
        <v>45</v>
      </c>
      <c r="Q2033"/>
    </row>
    <row r="2034" spans="1:17" x14ac:dyDescent="0.25">
      <c r="A2034" s="9" t="s">
        <v>3061</v>
      </c>
      <c r="B2034" s="2">
        <v>45317</v>
      </c>
      <c r="C2034" s="1" t="s">
        <v>80</v>
      </c>
      <c r="D2034" s="1" t="s">
        <v>147</v>
      </c>
      <c r="E2034" s="1" t="s">
        <v>34</v>
      </c>
      <c r="F2034" s="1" t="s">
        <v>99</v>
      </c>
      <c r="G2034" s="1" t="s">
        <v>42</v>
      </c>
      <c r="H2034" s="1" t="s">
        <v>61</v>
      </c>
      <c r="I2034" s="1" t="s">
        <v>529</v>
      </c>
      <c r="J2034" s="1">
        <v>2</v>
      </c>
      <c r="K2034" s="3">
        <v>646.91999999999996</v>
      </c>
      <c r="L2034" s="1">
        <v>5</v>
      </c>
      <c r="M2034" s="1" t="s">
        <v>56</v>
      </c>
      <c r="N2034" s="10" t="s">
        <v>45</v>
      </c>
      <c r="Q2034"/>
    </row>
    <row r="2035" spans="1:17" x14ac:dyDescent="0.25">
      <c r="A2035" s="9" t="s">
        <v>3062</v>
      </c>
      <c r="B2035" s="2">
        <v>45583</v>
      </c>
      <c r="C2035" s="1" t="s">
        <v>2119</v>
      </c>
      <c r="D2035" s="1" t="s">
        <v>26</v>
      </c>
      <c r="E2035" s="1" t="s">
        <v>27</v>
      </c>
      <c r="F2035" s="1" t="s">
        <v>18</v>
      </c>
      <c r="G2035" s="1" t="s">
        <v>83</v>
      </c>
      <c r="H2035" s="1" t="s">
        <v>43</v>
      </c>
      <c r="I2035" s="1" t="s">
        <v>566</v>
      </c>
      <c r="J2035" s="1">
        <v>1</v>
      </c>
      <c r="K2035" s="3">
        <v>1084.6099999999999</v>
      </c>
      <c r="L2035" s="1">
        <v>10</v>
      </c>
      <c r="M2035" s="1" t="s">
        <v>36</v>
      </c>
      <c r="N2035" s="10" t="s">
        <v>23</v>
      </c>
      <c r="Q2035"/>
    </row>
    <row r="2036" spans="1:17" x14ac:dyDescent="0.25">
      <c r="A2036" s="9" t="s">
        <v>3063</v>
      </c>
      <c r="B2036" s="2">
        <v>45601</v>
      </c>
      <c r="C2036" s="1" t="s">
        <v>2269</v>
      </c>
      <c r="D2036" s="1" t="s">
        <v>33</v>
      </c>
      <c r="E2036" s="1" t="s">
        <v>27</v>
      </c>
      <c r="F2036" s="1" t="s">
        <v>60</v>
      </c>
      <c r="G2036" s="1" t="s">
        <v>42</v>
      </c>
      <c r="H2036" s="1" t="s">
        <v>43</v>
      </c>
      <c r="I2036" s="1" t="s">
        <v>44</v>
      </c>
      <c r="J2036" s="1">
        <v>7</v>
      </c>
      <c r="K2036" s="3">
        <v>20100.830000000002</v>
      </c>
      <c r="L2036" s="1">
        <v>15</v>
      </c>
      <c r="M2036" s="1" t="s">
        <v>56</v>
      </c>
      <c r="N2036" s="10" t="s">
        <v>74</v>
      </c>
      <c r="Q2036"/>
    </row>
    <row r="2037" spans="1:17" x14ac:dyDescent="0.25">
      <c r="A2037" s="9" t="s">
        <v>3064</v>
      </c>
      <c r="B2037" s="2">
        <v>45024</v>
      </c>
      <c r="C2037" s="1" t="s">
        <v>849</v>
      </c>
      <c r="D2037" s="1" t="s">
        <v>52</v>
      </c>
      <c r="E2037" s="1" t="s">
        <v>41</v>
      </c>
      <c r="F2037" s="1" t="s">
        <v>60</v>
      </c>
      <c r="G2037" s="1" t="s">
        <v>42</v>
      </c>
      <c r="H2037" s="1" t="s">
        <v>61</v>
      </c>
      <c r="I2037" s="1" t="s">
        <v>68</v>
      </c>
      <c r="J2037" s="1">
        <v>8</v>
      </c>
      <c r="K2037" s="3">
        <v>16425.18</v>
      </c>
      <c r="L2037" s="1">
        <v>15</v>
      </c>
      <c r="M2037" s="1" t="s">
        <v>36</v>
      </c>
      <c r="N2037" s="10" t="s">
        <v>45</v>
      </c>
      <c r="Q2037"/>
    </row>
    <row r="2038" spans="1:17" x14ac:dyDescent="0.25">
      <c r="A2038" s="9" t="s">
        <v>3065</v>
      </c>
      <c r="B2038" s="2">
        <v>45162</v>
      </c>
      <c r="C2038" s="1" t="s">
        <v>867</v>
      </c>
      <c r="D2038" s="1" t="s">
        <v>71</v>
      </c>
      <c r="E2038" s="1" t="s">
        <v>34</v>
      </c>
      <c r="F2038" s="1" t="s">
        <v>82</v>
      </c>
      <c r="G2038" s="1" t="s">
        <v>19</v>
      </c>
      <c r="H2038" s="1" t="s">
        <v>29</v>
      </c>
      <c r="I2038" s="1" t="s">
        <v>424</v>
      </c>
      <c r="J2038" s="1">
        <v>3</v>
      </c>
      <c r="K2038" s="3">
        <v>1902.61</v>
      </c>
      <c r="L2038" s="1">
        <v>10</v>
      </c>
      <c r="M2038" s="1" t="s">
        <v>36</v>
      </c>
      <c r="N2038" s="10" t="s">
        <v>37</v>
      </c>
      <c r="Q2038"/>
    </row>
    <row r="2039" spans="1:17" x14ac:dyDescent="0.25">
      <c r="A2039" s="9" t="s">
        <v>3066</v>
      </c>
      <c r="B2039" s="2">
        <v>44992</v>
      </c>
      <c r="C2039" s="1" t="s">
        <v>184</v>
      </c>
      <c r="D2039" s="1" t="s">
        <v>26</v>
      </c>
      <c r="E2039" s="1" t="s">
        <v>72</v>
      </c>
      <c r="F2039" s="1" t="s">
        <v>18</v>
      </c>
      <c r="G2039" s="1" t="s">
        <v>19</v>
      </c>
      <c r="H2039" s="1" t="s">
        <v>29</v>
      </c>
      <c r="I2039" s="1" t="s">
        <v>646</v>
      </c>
      <c r="J2039" s="1">
        <v>9</v>
      </c>
      <c r="K2039" s="3">
        <v>8532.24</v>
      </c>
      <c r="L2039" s="1">
        <v>5</v>
      </c>
      <c r="M2039" s="1" t="s">
        <v>93</v>
      </c>
      <c r="N2039" s="10" t="s">
        <v>23</v>
      </c>
      <c r="Q2039"/>
    </row>
    <row r="2040" spans="1:17" x14ac:dyDescent="0.25">
      <c r="A2040" s="9" t="s">
        <v>3067</v>
      </c>
      <c r="B2040" s="2">
        <v>45176</v>
      </c>
      <c r="C2040" s="1" t="s">
        <v>1048</v>
      </c>
      <c r="D2040" s="1" t="s">
        <v>71</v>
      </c>
      <c r="E2040" s="1" t="s">
        <v>72</v>
      </c>
      <c r="F2040" s="1" t="s">
        <v>99</v>
      </c>
      <c r="G2040" s="1" t="s">
        <v>19</v>
      </c>
      <c r="H2040" s="1" t="s">
        <v>29</v>
      </c>
      <c r="I2040" s="1" t="s">
        <v>220</v>
      </c>
      <c r="J2040" s="1">
        <v>10</v>
      </c>
      <c r="K2040" s="3">
        <v>33393.89</v>
      </c>
      <c r="L2040" s="1">
        <v>5</v>
      </c>
      <c r="M2040" s="1" t="s">
        <v>63</v>
      </c>
      <c r="N2040" s="10" t="s">
        <v>23</v>
      </c>
      <c r="Q2040"/>
    </row>
    <row r="2041" spans="1:17" x14ac:dyDescent="0.25">
      <c r="A2041" s="9" t="s">
        <v>3068</v>
      </c>
      <c r="B2041" s="2">
        <v>45611</v>
      </c>
      <c r="C2041" s="1" t="s">
        <v>1741</v>
      </c>
      <c r="D2041" s="1" t="s">
        <v>16</v>
      </c>
      <c r="E2041" s="1" t="s">
        <v>17</v>
      </c>
      <c r="F2041" s="1" t="s">
        <v>99</v>
      </c>
      <c r="G2041" s="1" t="s">
        <v>42</v>
      </c>
      <c r="H2041" s="1" t="s">
        <v>43</v>
      </c>
      <c r="I2041" s="1" t="s">
        <v>348</v>
      </c>
      <c r="J2041" s="1">
        <v>7</v>
      </c>
      <c r="K2041" s="3">
        <v>18944.22</v>
      </c>
      <c r="L2041" s="1">
        <v>5</v>
      </c>
      <c r="M2041" s="1" t="s">
        <v>56</v>
      </c>
      <c r="N2041" s="10" t="s">
        <v>37</v>
      </c>
      <c r="Q2041"/>
    </row>
    <row r="2042" spans="1:17" x14ac:dyDescent="0.25">
      <c r="A2042" s="9" t="s">
        <v>3069</v>
      </c>
      <c r="B2042" s="2">
        <v>45607</v>
      </c>
      <c r="C2042" s="1" t="s">
        <v>3070</v>
      </c>
      <c r="D2042" s="1" t="s">
        <v>52</v>
      </c>
      <c r="E2042" s="1" t="s">
        <v>34</v>
      </c>
      <c r="F2042" s="1" t="s">
        <v>88</v>
      </c>
      <c r="G2042" s="1" t="s">
        <v>53</v>
      </c>
      <c r="H2042" s="1" t="s">
        <v>54</v>
      </c>
      <c r="I2042" s="1" t="s">
        <v>1272</v>
      </c>
      <c r="J2042" s="1">
        <v>9</v>
      </c>
      <c r="K2042" s="3">
        <v>27920.35</v>
      </c>
      <c r="L2042" s="1">
        <v>20</v>
      </c>
      <c r="M2042" s="1" t="s">
        <v>63</v>
      </c>
      <c r="N2042" s="10" t="s">
        <v>45</v>
      </c>
      <c r="Q2042"/>
    </row>
    <row r="2043" spans="1:17" x14ac:dyDescent="0.25">
      <c r="A2043" s="9" t="s">
        <v>3071</v>
      </c>
      <c r="B2043" s="2">
        <v>45473</v>
      </c>
      <c r="C2043" s="1" t="s">
        <v>1914</v>
      </c>
      <c r="D2043" s="1" t="s">
        <v>87</v>
      </c>
      <c r="E2043" s="1" t="s">
        <v>59</v>
      </c>
      <c r="F2043" s="1" t="s">
        <v>60</v>
      </c>
      <c r="G2043" s="1" t="s">
        <v>42</v>
      </c>
      <c r="H2043" s="1" t="s">
        <v>61</v>
      </c>
      <c r="I2043" s="1" t="s">
        <v>247</v>
      </c>
      <c r="J2043" s="1">
        <v>6</v>
      </c>
      <c r="K2043" s="3">
        <v>8340.94</v>
      </c>
      <c r="L2043" s="1">
        <v>10</v>
      </c>
      <c r="M2043" s="1" t="s">
        <v>56</v>
      </c>
      <c r="N2043" s="10" t="s">
        <v>31</v>
      </c>
      <c r="Q2043"/>
    </row>
    <row r="2044" spans="1:17" x14ac:dyDescent="0.25">
      <c r="A2044" s="9" t="s">
        <v>3072</v>
      </c>
      <c r="B2044" s="2">
        <v>44969</v>
      </c>
      <c r="C2044" s="1" t="s">
        <v>3073</v>
      </c>
      <c r="D2044" s="1" t="s">
        <v>26</v>
      </c>
      <c r="E2044" s="1" t="s">
        <v>17</v>
      </c>
      <c r="F2044" s="1" t="s">
        <v>60</v>
      </c>
      <c r="G2044" s="1" t="s">
        <v>83</v>
      </c>
      <c r="H2044" s="1" t="s">
        <v>43</v>
      </c>
      <c r="I2044" s="1" t="s">
        <v>704</v>
      </c>
      <c r="J2044" s="1">
        <v>1</v>
      </c>
      <c r="K2044" s="3">
        <v>4970.33</v>
      </c>
      <c r="L2044" s="1">
        <v>20</v>
      </c>
      <c r="M2044" s="1" t="s">
        <v>93</v>
      </c>
      <c r="N2044" s="10" t="s">
        <v>74</v>
      </c>
      <c r="Q2044"/>
    </row>
    <row r="2045" spans="1:17" x14ac:dyDescent="0.25">
      <c r="A2045" s="9" t="s">
        <v>3074</v>
      </c>
      <c r="B2045" s="2">
        <v>45603</v>
      </c>
      <c r="C2045" s="1" t="s">
        <v>540</v>
      </c>
      <c r="D2045" s="1" t="s">
        <v>26</v>
      </c>
      <c r="E2045" s="1" t="s">
        <v>59</v>
      </c>
      <c r="F2045" s="1" t="s">
        <v>82</v>
      </c>
      <c r="G2045" s="1" t="s">
        <v>42</v>
      </c>
      <c r="H2045" s="1" t="s">
        <v>61</v>
      </c>
      <c r="I2045" s="1" t="s">
        <v>62</v>
      </c>
      <c r="J2045" s="1">
        <v>6</v>
      </c>
      <c r="K2045" s="3">
        <v>16766.82</v>
      </c>
      <c r="L2045" s="1">
        <v>0</v>
      </c>
      <c r="M2045" s="1" t="s">
        <v>56</v>
      </c>
      <c r="N2045" s="10" t="s">
        <v>45</v>
      </c>
      <c r="Q2045"/>
    </row>
    <row r="2046" spans="1:17" x14ac:dyDescent="0.25">
      <c r="A2046" s="9" t="s">
        <v>3075</v>
      </c>
      <c r="B2046" s="2">
        <v>45333</v>
      </c>
      <c r="C2046" s="1" t="s">
        <v>200</v>
      </c>
      <c r="D2046" s="1" t="s">
        <v>71</v>
      </c>
      <c r="E2046" s="1" t="s">
        <v>17</v>
      </c>
      <c r="F2046" s="1" t="s">
        <v>88</v>
      </c>
      <c r="G2046" s="1" t="s">
        <v>53</v>
      </c>
      <c r="H2046" s="1" t="s">
        <v>54</v>
      </c>
      <c r="I2046" s="1" t="s">
        <v>1066</v>
      </c>
      <c r="J2046" s="1">
        <v>10</v>
      </c>
      <c r="K2046" s="3">
        <v>17007.46</v>
      </c>
      <c r="L2046" s="1">
        <v>0</v>
      </c>
      <c r="M2046" s="1" t="s">
        <v>56</v>
      </c>
      <c r="N2046" s="10" t="s">
        <v>23</v>
      </c>
      <c r="Q2046"/>
    </row>
    <row r="2047" spans="1:17" x14ac:dyDescent="0.25">
      <c r="A2047" s="9" t="s">
        <v>3076</v>
      </c>
      <c r="B2047" s="2">
        <v>45264</v>
      </c>
      <c r="C2047" s="1" t="s">
        <v>1288</v>
      </c>
      <c r="D2047" s="1" t="s">
        <v>67</v>
      </c>
      <c r="E2047" s="1" t="s">
        <v>59</v>
      </c>
      <c r="F2047" s="1" t="s">
        <v>60</v>
      </c>
      <c r="G2047" s="1" t="s">
        <v>19</v>
      </c>
      <c r="H2047" s="1" t="s">
        <v>20</v>
      </c>
      <c r="I2047" s="1" t="s">
        <v>239</v>
      </c>
      <c r="J2047" s="1">
        <v>6</v>
      </c>
      <c r="K2047" s="3">
        <v>957.21</v>
      </c>
      <c r="L2047" s="1">
        <v>15</v>
      </c>
      <c r="M2047" s="1" t="s">
        <v>93</v>
      </c>
      <c r="N2047" s="10" t="s">
        <v>74</v>
      </c>
      <c r="Q2047"/>
    </row>
    <row r="2048" spans="1:17" x14ac:dyDescent="0.25">
      <c r="A2048" s="9" t="s">
        <v>3077</v>
      </c>
      <c r="B2048" s="2">
        <v>45277</v>
      </c>
      <c r="C2048" s="1" t="s">
        <v>102</v>
      </c>
      <c r="D2048" s="1" t="s">
        <v>26</v>
      </c>
      <c r="E2048" s="1" t="s">
        <v>41</v>
      </c>
      <c r="F2048" s="1" t="s">
        <v>28</v>
      </c>
      <c r="G2048" s="1" t="s">
        <v>19</v>
      </c>
      <c r="H2048" s="1" t="s">
        <v>20</v>
      </c>
      <c r="I2048" s="1" t="s">
        <v>164</v>
      </c>
      <c r="J2048" s="1">
        <v>3</v>
      </c>
      <c r="K2048" s="3">
        <v>3475.92</v>
      </c>
      <c r="L2048" s="1" t="s">
        <v>110</v>
      </c>
      <c r="M2048" s="1" t="s">
        <v>93</v>
      </c>
      <c r="N2048" s="10" t="s">
        <v>23</v>
      </c>
      <c r="Q2048"/>
    </row>
    <row r="2049" spans="1:17" x14ac:dyDescent="0.25">
      <c r="A2049" s="9" t="s">
        <v>3078</v>
      </c>
      <c r="B2049" s="2">
        <v>45189</v>
      </c>
      <c r="C2049" s="1" t="s">
        <v>387</v>
      </c>
      <c r="D2049" s="1" t="s">
        <v>378</v>
      </c>
      <c r="E2049" s="1" t="s">
        <v>72</v>
      </c>
      <c r="F2049" s="1" t="s">
        <v>88</v>
      </c>
      <c r="G2049" s="1" t="s">
        <v>42</v>
      </c>
      <c r="H2049" s="1" t="s">
        <v>61</v>
      </c>
      <c r="I2049" s="1" t="s">
        <v>151</v>
      </c>
      <c r="J2049" s="1">
        <v>9</v>
      </c>
      <c r="K2049" s="3">
        <v>13317.4</v>
      </c>
      <c r="L2049" s="1">
        <v>20</v>
      </c>
      <c r="M2049" s="1" t="s">
        <v>63</v>
      </c>
      <c r="N2049" s="10" t="s">
        <v>64</v>
      </c>
      <c r="Q2049"/>
    </row>
    <row r="2050" spans="1:17" x14ac:dyDescent="0.25">
      <c r="A2050" s="9" t="s">
        <v>3079</v>
      </c>
      <c r="B2050" s="2">
        <v>45104</v>
      </c>
      <c r="C2050" s="1" t="s">
        <v>2042</v>
      </c>
      <c r="D2050" s="1" t="s">
        <v>436</v>
      </c>
      <c r="E2050" s="1" t="s">
        <v>17</v>
      </c>
      <c r="F2050" s="1" t="s">
        <v>60</v>
      </c>
      <c r="G2050" s="1" t="s">
        <v>19</v>
      </c>
      <c r="H2050" s="1" t="s">
        <v>20</v>
      </c>
      <c r="I2050" s="1" t="s">
        <v>391</v>
      </c>
      <c r="J2050" s="1">
        <v>4</v>
      </c>
      <c r="K2050" s="3">
        <v>12970.62</v>
      </c>
      <c r="L2050" s="1">
        <v>10</v>
      </c>
      <c r="M2050" s="1" t="s">
        <v>36</v>
      </c>
      <c r="N2050" s="10" t="s">
        <v>45</v>
      </c>
      <c r="Q2050"/>
    </row>
    <row r="2051" spans="1:17" x14ac:dyDescent="0.25">
      <c r="A2051" s="9" t="s">
        <v>3080</v>
      </c>
      <c r="B2051" s="2">
        <v>45041</v>
      </c>
      <c r="C2051" s="1" t="s">
        <v>1526</v>
      </c>
      <c r="D2051" s="1" t="s">
        <v>33</v>
      </c>
      <c r="E2051" s="1" t="s">
        <v>59</v>
      </c>
      <c r="F2051" s="1" t="s">
        <v>88</v>
      </c>
      <c r="G2051" s="1" t="s">
        <v>83</v>
      </c>
      <c r="H2051" s="1" t="s">
        <v>43</v>
      </c>
      <c r="I2051" s="1" t="s">
        <v>494</v>
      </c>
      <c r="J2051" s="1">
        <v>7</v>
      </c>
      <c r="K2051" s="3">
        <v>3632.66</v>
      </c>
      <c r="L2051" s="1">
        <v>5</v>
      </c>
      <c r="M2051" s="1" t="s">
        <v>63</v>
      </c>
      <c r="N2051" s="10" t="s">
        <v>37</v>
      </c>
      <c r="Q2051"/>
    </row>
    <row r="2052" spans="1:17" x14ac:dyDescent="0.25">
      <c r="A2052" s="9" t="s">
        <v>3081</v>
      </c>
      <c r="B2052" s="2">
        <v>45569</v>
      </c>
      <c r="C2052" s="1" t="s">
        <v>504</v>
      </c>
      <c r="D2052" s="1" t="s">
        <v>67</v>
      </c>
      <c r="E2052" s="1" t="s">
        <v>27</v>
      </c>
      <c r="F2052" s="1" t="s">
        <v>60</v>
      </c>
      <c r="G2052" s="1" t="s">
        <v>53</v>
      </c>
      <c r="H2052" s="1" t="s">
        <v>54</v>
      </c>
      <c r="I2052" s="1" t="s">
        <v>518</v>
      </c>
      <c r="J2052" s="1">
        <v>6</v>
      </c>
      <c r="K2052" s="3">
        <v>25621.3</v>
      </c>
      <c r="L2052" s="1">
        <v>5</v>
      </c>
      <c r="M2052" s="1" t="s">
        <v>22</v>
      </c>
      <c r="N2052" s="10" t="s">
        <v>23</v>
      </c>
      <c r="Q2052"/>
    </row>
    <row r="2053" spans="1:17" x14ac:dyDescent="0.25">
      <c r="A2053" s="9" t="s">
        <v>3082</v>
      </c>
      <c r="B2053" s="2">
        <v>45111</v>
      </c>
      <c r="C2053" s="1" t="s">
        <v>1564</v>
      </c>
      <c r="D2053" s="1" t="s">
        <v>71</v>
      </c>
      <c r="E2053" s="1" t="s">
        <v>59</v>
      </c>
      <c r="F2053" s="1" t="s">
        <v>28</v>
      </c>
      <c r="G2053" s="1" t="s">
        <v>42</v>
      </c>
      <c r="H2053" s="1" t="s">
        <v>61</v>
      </c>
      <c r="I2053" s="1" t="s">
        <v>1011</v>
      </c>
      <c r="J2053" s="1">
        <v>10</v>
      </c>
      <c r="K2053" s="3">
        <v>2031.83</v>
      </c>
      <c r="L2053" s="1">
        <v>10</v>
      </c>
      <c r="M2053" s="1" t="s">
        <v>69</v>
      </c>
      <c r="N2053" s="10" t="s">
        <v>45</v>
      </c>
      <c r="Q2053"/>
    </row>
    <row r="2054" spans="1:17" x14ac:dyDescent="0.25">
      <c r="A2054" s="9" t="s">
        <v>3083</v>
      </c>
      <c r="B2054" s="2">
        <v>45022</v>
      </c>
      <c r="C2054" s="1" t="s">
        <v>3084</v>
      </c>
      <c r="D2054" s="1" t="s">
        <v>40</v>
      </c>
      <c r="E2054" s="1" t="s">
        <v>34</v>
      </c>
      <c r="F2054" s="1" t="s">
        <v>28</v>
      </c>
      <c r="G2054" s="1" t="s">
        <v>19</v>
      </c>
      <c r="H2054" s="1" t="s">
        <v>29</v>
      </c>
      <c r="I2054" s="1" t="s">
        <v>830</v>
      </c>
      <c r="J2054" s="1">
        <v>2</v>
      </c>
      <c r="K2054" s="3">
        <v>2765.81</v>
      </c>
      <c r="L2054" s="1">
        <v>0</v>
      </c>
      <c r="M2054" s="1" t="s">
        <v>56</v>
      </c>
      <c r="N2054" s="10" t="s">
        <v>31</v>
      </c>
      <c r="Q2054"/>
    </row>
    <row r="2055" spans="1:17" x14ac:dyDescent="0.25">
      <c r="A2055" s="9" t="s">
        <v>3085</v>
      </c>
      <c r="B2055" s="2">
        <v>45194</v>
      </c>
      <c r="C2055" s="1" t="s">
        <v>2122</v>
      </c>
      <c r="D2055" s="1" t="s">
        <v>87</v>
      </c>
      <c r="E2055" s="1" t="s">
        <v>17</v>
      </c>
      <c r="F2055" s="1" t="s">
        <v>60</v>
      </c>
      <c r="G2055" s="1" t="s">
        <v>19</v>
      </c>
      <c r="H2055" s="1" t="s">
        <v>29</v>
      </c>
      <c r="I2055" s="1" t="s">
        <v>1215</v>
      </c>
      <c r="J2055" s="1">
        <v>3</v>
      </c>
      <c r="K2055" s="3">
        <v>2512.35</v>
      </c>
      <c r="L2055" s="1">
        <v>15</v>
      </c>
      <c r="M2055" s="1" t="s">
        <v>93</v>
      </c>
      <c r="N2055" s="10" t="s">
        <v>64</v>
      </c>
      <c r="Q2055"/>
    </row>
    <row r="2056" spans="1:17" x14ac:dyDescent="0.25">
      <c r="A2056" s="9" t="s">
        <v>3086</v>
      </c>
      <c r="B2056" s="2">
        <v>45151</v>
      </c>
      <c r="C2056" s="1" t="s">
        <v>166</v>
      </c>
      <c r="D2056" s="1" t="s">
        <v>67</v>
      </c>
      <c r="E2056" s="1" t="s">
        <v>17</v>
      </c>
      <c r="F2056" s="1" t="s">
        <v>18</v>
      </c>
      <c r="G2056" s="1" t="s">
        <v>42</v>
      </c>
      <c r="H2056" s="1" t="s">
        <v>61</v>
      </c>
      <c r="I2056" s="1" t="s">
        <v>305</v>
      </c>
      <c r="J2056" s="1">
        <v>1</v>
      </c>
      <c r="K2056" s="3">
        <v>2310.1799999999998</v>
      </c>
      <c r="L2056" s="1">
        <v>5</v>
      </c>
      <c r="M2056" s="1" t="s">
        <v>63</v>
      </c>
      <c r="N2056" s="10" t="s">
        <v>74</v>
      </c>
      <c r="Q2056"/>
    </row>
    <row r="2057" spans="1:17" x14ac:dyDescent="0.25">
      <c r="A2057" s="9" t="s">
        <v>3087</v>
      </c>
      <c r="B2057" s="2">
        <v>45157</v>
      </c>
      <c r="C2057" s="1" t="s">
        <v>706</v>
      </c>
      <c r="D2057" s="1" t="s">
        <v>81</v>
      </c>
      <c r="E2057" s="1" t="s">
        <v>34</v>
      </c>
      <c r="F2057" s="1" t="s">
        <v>60</v>
      </c>
      <c r="G2057" s="1" t="s">
        <v>53</v>
      </c>
      <c r="H2057" s="1" t="s">
        <v>54</v>
      </c>
      <c r="I2057" s="1" t="s">
        <v>413</v>
      </c>
      <c r="J2057" s="1">
        <v>6</v>
      </c>
      <c r="K2057" s="3">
        <v>14929.39</v>
      </c>
      <c r="L2057" s="1">
        <v>20</v>
      </c>
      <c r="M2057" s="1" t="s">
        <v>69</v>
      </c>
      <c r="N2057" s="10" t="s">
        <v>37</v>
      </c>
      <c r="Q2057"/>
    </row>
    <row r="2058" spans="1:17" x14ac:dyDescent="0.25">
      <c r="A2058" s="9" t="s">
        <v>3088</v>
      </c>
      <c r="B2058" s="2">
        <v>45519</v>
      </c>
      <c r="C2058" s="1" t="s">
        <v>1640</v>
      </c>
      <c r="D2058" s="1" t="s">
        <v>87</v>
      </c>
      <c r="E2058" s="1" t="s">
        <v>17</v>
      </c>
      <c r="F2058" s="1" t="s">
        <v>28</v>
      </c>
      <c r="G2058" s="1" t="s">
        <v>42</v>
      </c>
      <c r="H2058" s="1" t="s">
        <v>43</v>
      </c>
      <c r="I2058" s="1" t="s">
        <v>494</v>
      </c>
      <c r="J2058" s="1">
        <v>7</v>
      </c>
      <c r="K2058" s="3">
        <v>25244.05</v>
      </c>
      <c r="L2058" s="1">
        <v>5</v>
      </c>
      <c r="M2058" s="1" t="s">
        <v>22</v>
      </c>
      <c r="N2058" s="10" t="s">
        <v>64</v>
      </c>
      <c r="Q2058"/>
    </row>
    <row r="2059" spans="1:17" x14ac:dyDescent="0.25">
      <c r="A2059" s="9" t="s">
        <v>3089</v>
      </c>
      <c r="B2059" s="2">
        <v>45570</v>
      </c>
      <c r="C2059" s="1" t="s">
        <v>774</v>
      </c>
      <c r="D2059" s="1" t="s">
        <v>71</v>
      </c>
      <c r="E2059" s="1" t="s">
        <v>17</v>
      </c>
      <c r="F2059" s="1" t="s">
        <v>82</v>
      </c>
      <c r="G2059" s="1" t="s">
        <v>19</v>
      </c>
      <c r="H2059" s="1" t="s">
        <v>20</v>
      </c>
      <c r="I2059" s="1" t="s">
        <v>230</v>
      </c>
      <c r="J2059" s="1">
        <v>5</v>
      </c>
      <c r="K2059" s="3">
        <v>9230.36</v>
      </c>
      <c r="L2059" s="1">
        <v>20</v>
      </c>
      <c r="M2059" s="1" t="s">
        <v>36</v>
      </c>
      <c r="N2059" s="10" t="s">
        <v>74</v>
      </c>
      <c r="Q2059"/>
    </row>
    <row r="2060" spans="1:17" x14ac:dyDescent="0.25">
      <c r="A2060" s="9" t="s">
        <v>3090</v>
      </c>
      <c r="B2060" s="2">
        <v>45522</v>
      </c>
      <c r="C2060" s="1" t="s">
        <v>819</v>
      </c>
      <c r="D2060" s="1" t="s">
        <v>71</v>
      </c>
      <c r="E2060" s="1" t="s">
        <v>59</v>
      </c>
      <c r="F2060" s="1" t="s">
        <v>18</v>
      </c>
      <c r="G2060" s="1" t="s">
        <v>53</v>
      </c>
      <c r="H2060" s="1" t="s">
        <v>54</v>
      </c>
      <c r="I2060" s="1" t="s">
        <v>946</v>
      </c>
      <c r="J2060" s="1">
        <v>1</v>
      </c>
      <c r="K2060" s="3">
        <v>2356.87</v>
      </c>
      <c r="L2060" s="1">
        <v>0</v>
      </c>
      <c r="M2060" s="1" t="s">
        <v>36</v>
      </c>
      <c r="N2060" s="10" t="s">
        <v>23</v>
      </c>
      <c r="Q2060"/>
    </row>
    <row r="2061" spans="1:17" x14ac:dyDescent="0.25">
      <c r="A2061" s="9" t="s">
        <v>3091</v>
      </c>
      <c r="B2061" s="2">
        <v>45213</v>
      </c>
      <c r="C2061" s="1" t="s">
        <v>1616</v>
      </c>
      <c r="D2061" s="1" t="s">
        <v>26</v>
      </c>
      <c r="E2061" s="1" t="s">
        <v>72</v>
      </c>
      <c r="F2061" s="1" t="s">
        <v>28</v>
      </c>
      <c r="G2061" s="1" t="s">
        <v>19</v>
      </c>
      <c r="H2061" s="1" t="s">
        <v>20</v>
      </c>
      <c r="I2061" s="1" t="s">
        <v>788</v>
      </c>
      <c r="J2061" s="1">
        <v>7</v>
      </c>
      <c r="K2061" s="3">
        <v>1876.04</v>
      </c>
      <c r="L2061" s="1">
        <v>15</v>
      </c>
      <c r="M2061" s="1" t="s">
        <v>93</v>
      </c>
      <c r="N2061" s="10" t="s">
        <v>45</v>
      </c>
      <c r="Q2061"/>
    </row>
    <row r="2062" spans="1:17" x14ac:dyDescent="0.25">
      <c r="A2062" s="9" t="s">
        <v>3092</v>
      </c>
      <c r="B2062" s="2">
        <v>44984</v>
      </c>
      <c r="C2062" s="1" t="s">
        <v>266</v>
      </c>
      <c r="D2062" s="1" t="s">
        <v>81</v>
      </c>
      <c r="E2062" s="1" t="s">
        <v>27</v>
      </c>
      <c r="F2062" s="1" t="s">
        <v>60</v>
      </c>
      <c r="G2062" s="1" t="s">
        <v>42</v>
      </c>
      <c r="H2062" s="1" t="s">
        <v>61</v>
      </c>
      <c r="I2062" s="1" t="s">
        <v>357</v>
      </c>
      <c r="J2062" s="1">
        <v>1</v>
      </c>
      <c r="K2062" s="3">
        <v>4558.59</v>
      </c>
      <c r="L2062" s="1">
        <v>15</v>
      </c>
      <c r="M2062" s="1" t="s">
        <v>56</v>
      </c>
      <c r="N2062" s="10" t="s">
        <v>45</v>
      </c>
      <c r="Q2062"/>
    </row>
    <row r="2063" spans="1:17" x14ac:dyDescent="0.25">
      <c r="A2063" s="9" t="s">
        <v>3093</v>
      </c>
      <c r="B2063" s="2">
        <v>45418</v>
      </c>
      <c r="C2063" s="1" t="s">
        <v>878</v>
      </c>
      <c r="D2063" s="1" t="s">
        <v>16</v>
      </c>
      <c r="E2063" s="1" t="s">
        <v>72</v>
      </c>
      <c r="F2063" s="1" t="s">
        <v>88</v>
      </c>
      <c r="G2063" s="1" t="s">
        <v>19</v>
      </c>
      <c r="H2063" s="1" t="s">
        <v>29</v>
      </c>
      <c r="I2063" s="1" t="s">
        <v>96</v>
      </c>
      <c r="J2063" s="1">
        <v>5</v>
      </c>
      <c r="K2063" s="3">
        <v>2127.54</v>
      </c>
      <c r="L2063" s="1">
        <v>15</v>
      </c>
      <c r="M2063" s="1" t="s">
        <v>22</v>
      </c>
      <c r="N2063" s="10" t="s">
        <v>45</v>
      </c>
      <c r="Q2063"/>
    </row>
    <row r="2064" spans="1:17" x14ac:dyDescent="0.25">
      <c r="A2064" s="9" t="s">
        <v>3094</v>
      </c>
      <c r="B2064" s="2">
        <v>45043</v>
      </c>
      <c r="C2064" s="1" t="s">
        <v>159</v>
      </c>
      <c r="D2064" s="1" t="s">
        <v>40</v>
      </c>
      <c r="E2064" s="1" t="s">
        <v>27</v>
      </c>
      <c r="F2064" s="1" t="s">
        <v>60</v>
      </c>
      <c r="G2064" s="1" t="s">
        <v>83</v>
      </c>
      <c r="H2064" s="1" t="s">
        <v>43</v>
      </c>
      <c r="I2064" s="1" t="s">
        <v>572</v>
      </c>
      <c r="J2064" s="1">
        <v>6</v>
      </c>
      <c r="K2064" s="3">
        <v>24437.74</v>
      </c>
      <c r="L2064" s="1">
        <v>15</v>
      </c>
      <c r="M2064" s="1" t="s">
        <v>56</v>
      </c>
      <c r="N2064" s="10" t="s">
        <v>37</v>
      </c>
      <c r="Q2064"/>
    </row>
    <row r="2065" spans="1:17" x14ac:dyDescent="0.25">
      <c r="A2065" s="9" t="s">
        <v>3095</v>
      </c>
      <c r="B2065" s="2">
        <v>44970</v>
      </c>
      <c r="C2065" s="1" t="s">
        <v>159</v>
      </c>
      <c r="D2065" s="1" t="s">
        <v>67</v>
      </c>
      <c r="E2065" s="1" t="s">
        <v>41</v>
      </c>
      <c r="F2065" s="1" t="s">
        <v>49</v>
      </c>
      <c r="G2065" s="1" t="s">
        <v>42</v>
      </c>
      <c r="H2065" s="1" t="s">
        <v>61</v>
      </c>
      <c r="I2065" s="1" t="s">
        <v>294</v>
      </c>
      <c r="J2065" s="1">
        <v>1</v>
      </c>
      <c r="K2065" s="3">
        <v>1203.1500000000001</v>
      </c>
      <c r="L2065" s="1">
        <v>10</v>
      </c>
      <c r="M2065" s="1" t="s">
        <v>69</v>
      </c>
      <c r="N2065" s="10" t="s">
        <v>45</v>
      </c>
      <c r="Q2065"/>
    </row>
    <row r="2066" spans="1:17" x14ac:dyDescent="0.25">
      <c r="A2066" s="9" t="s">
        <v>3096</v>
      </c>
      <c r="B2066" s="2">
        <v>45243</v>
      </c>
      <c r="C2066" s="1" t="s">
        <v>3097</v>
      </c>
      <c r="D2066" s="1" t="s">
        <v>33</v>
      </c>
      <c r="E2066" s="1" t="s">
        <v>27</v>
      </c>
      <c r="F2066" s="1" t="s">
        <v>99</v>
      </c>
      <c r="G2066" s="1" t="s">
        <v>53</v>
      </c>
      <c r="H2066" s="1" t="s">
        <v>54</v>
      </c>
      <c r="I2066" s="1" t="s">
        <v>121</v>
      </c>
      <c r="J2066" s="1">
        <v>4</v>
      </c>
      <c r="K2066" s="3">
        <v>10627.82</v>
      </c>
      <c r="L2066" s="1">
        <v>10</v>
      </c>
      <c r="M2066" s="1" t="s">
        <v>93</v>
      </c>
      <c r="N2066" s="10" t="s">
        <v>45</v>
      </c>
      <c r="Q2066"/>
    </row>
    <row r="2067" spans="1:17" x14ac:dyDescent="0.25">
      <c r="A2067" s="9" t="s">
        <v>3098</v>
      </c>
      <c r="B2067" s="2">
        <v>44951</v>
      </c>
      <c r="C2067" s="1" t="s">
        <v>1208</v>
      </c>
      <c r="D2067" s="1" t="s">
        <v>40</v>
      </c>
      <c r="E2067" s="1" t="s">
        <v>72</v>
      </c>
      <c r="F2067" s="1" t="s">
        <v>99</v>
      </c>
      <c r="G2067" s="1" t="s">
        <v>53</v>
      </c>
      <c r="H2067" s="1" t="s">
        <v>54</v>
      </c>
      <c r="I2067" s="1" t="s">
        <v>121</v>
      </c>
      <c r="J2067" s="1">
        <v>9</v>
      </c>
      <c r="K2067" s="3">
        <v>4856.21</v>
      </c>
      <c r="L2067" s="1">
        <v>15</v>
      </c>
      <c r="M2067" s="1" t="s">
        <v>69</v>
      </c>
      <c r="N2067" s="10" t="s">
        <v>45</v>
      </c>
      <c r="Q2067"/>
    </row>
    <row r="2068" spans="1:17" x14ac:dyDescent="0.25">
      <c r="A2068" s="9" t="s">
        <v>3099</v>
      </c>
      <c r="B2068" s="2">
        <v>45083</v>
      </c>
      <c r="C2068" s="1" t="s">
        <v>825</v>
      </c>
      <c r="D2068" s="1" t="s">
        <v>378</v>
      </c>
      <c r="E2068" s="1" t="s">
        <v>17</v>
      </c>
      <c r="F2068" s="1" t="s">
        <v>49</v>
      </c>
      <c r="G2068" s="1" t="s">
        <v>19</v>
      </c>
      <c r="H2068" s="1" t="s">
        <v>20</v>
      </c>
      <c r="I2068" s="1" t="s">
        <v>563</v>
      </c>
      <c r="J2068" s="1">
        <v>2</v>
      </c>
      <c r="K2068" s="3">
        <v>7978.41</v>
      </c>
      <c r="L2068" s="1">
        <v>10</v>
      </c>
      <c r="M2068" s="1" t="s">
        <v>56</v>
      </c>
      <c r="N2068" s="10" t="s">
        <v>37</v>
      </c>
      <c r="Q2068"/>
    </row>
    <row r="2069" spans="1:17" x14ac:dyDescent="0.25">
      <c r="A2069" s="9" t="s">
        <v>3100</v>
      </c>
      <c r="B2069" s="2">
        <v>45134</v>
      </c>
      <c r="C2069" s="1" t="s">
        <v>412</v>
      </c>
      <c r="D2069" s="1" t="s">
        <v>81</v>
      </c>
      <c r="E2069" s="1" t="s">
        <v>41</v>
      </c>
      <c r="F2069" s="1" t="s">
        <v>60</v>
      </c>
      <c r="G2069" s="1" t="s">
        <v>42</v>
      </c>
      <c r="H2069" s="1" t="s">
        <v>43</v>
      </c>
      <c r="I2069" s="1" t="s">
        <v>157</v>
      </c>
      <c r="J2069" s="1">
        <v>3</v>
      </c>
      <c r="K2069" s="3">
        <v>12438.36</v>
      </c>
      <c r="L2069" s="1">
        <v>20</v>
      </c>
      <c r="M2069" s="1" t="s">
        <v>93</v>
      </c>
      <c r="N2069" s="10" t="s">
        <v>45</v>
      </c>
      <c r="Q2069"/>
    </row>
    <row r="2070" spans="1:17" x14ac:dyDescent="0.25">
      <c r="A2070" s="9" t="s">
        <v>3101</v>
      </c>
      <c r="B2070" s="2">
        <v>45224</v>
      </c>
      <c r="C2070" s="1" t="s">
        <v>827</v>
      </c>
      <c r="D2070" s="1" t="s">
        <v>161</v>
      </c>
      <c r="E2070" s="1" t="s">
        <v>59</v>
      </c>
      <c r="F2070" s="1" t="s">
        <v>18</v>
      </c>
      <c r="G2070" s="1" t="s">
        <v>53</v>
      </c>
      <c r="H2070" s="1" t="s">
        <v>54</v>
      </c>
      <c r="I2070" s="1" t="s">
        <v>173</v>
      </c>
      <c r="J2070" s="1">
        <v>2</v>
      </c>
      <c r="K2070" s="3">
        <v>542.26</v>
      </c>
      <c r="L2070" s="1">
        <v>20</v>
      </c>
      <c r="M2070" s="1" t="s">
        <v>63</v>
      </c>
      <c r="N2070" s="10" t="s">
        <v>45</v>
      </c>
      <c r="Q2070"/>
    </row>
    <row r="2071" spans="1:17" x14ac:dyDescent="0.25">
      <c r="A2071" s="9" t="s">
        <v>3102</v>
      </c>
      <c r="B2071" s="2">
        <v>45124</v>
      </c>
      <c r="C2071" s="1" t="s">
        <v>2078</v>
      </c>
      <c r="D2071" s="1" t="s">
        <v>67</v>
      </c>
      <c r="E2071" s="1" t="s">
        <v>72</v>
      </c>
      <c r="F2071" s="1" t="s">
        <v>60</v>
      </c>
      <c r="G2071" s="1" t="s">
        <v>19</v>
      </c>
      <c r="H2071" s="1" t="s">
        <v>20</v>
      </c>
      <c r="I2071" s="1" t="s">
        <v>788</v>
      </c>
      <c r="J2071" s="1">
        <v>7</v>
      </c>
      <c r="K2071" s="3">
        <v>20311.810000000001</v>
      </c>
      <c r="L2071" s="1" t="s">
        <v>110</v>
      </c>
      <c r="M2071" s="1" t="s">
        <v>22</v>
      </c>
      <c r="N2071" s="10" t="s">
        <v>64</v>
      </c>
      <c r="Q2071"/>
    </row>
    <row r="2072" spans="1:17" x14ac:dyDescent="0.25">
      <c r="A2072" s="9" t="s">
        <v>3103</v>
      </c>
      <c r="B2072" s="2">
        <v>45352</v>
      </c>
      <c r="C2072" s="1" t="s">
        <v>1385</v>
      </c>
      <c r="D2072" s="1" t="s">
        <v>67</v>
      </c>
      <c r="E2072" s="1" t="s">
        <v>59</v>
      </c>
      <c r="F2072" s="1" t="s">
        <v>28</v>
      </c>
      <c r="G2072" s="1" t="s">
        <v>83</v>
      </c>
      <c r="H2072" s="1" t="s">
        <v>43</v>
      </c>
      <c r="I2072" s="1" t="s">
        <v>566</v>
      </c>
      <c r="J2072" s="1">
        <v>4</v>
      </c>
      <c r="K2072" s="3">
        <v>12083.67</v>
      </c>
      <c r="L2072" s="1">
        <v>5</v>
      </c>
      <c r="M2072" s="1" t="s">
        <v>22</v>
      </c>
      <c r="N2072" s="10" t="s">
        <v>74</v>
      </c>
      <c r="Q2072"/>
    </row>
    <row r="2073" spans="1:17" x14ac:dyDescent="0.25">
      <c r="A2073" s="9" t="s">
        <v>3104</v>
      </c>
      <c r="B2073" s="2">
        <v>45275</v>
      </c>
      <c r="C2073" s="1" t="s">
        <v>713</v>
      </c>
      <c r="D2073" s="1" t="s">
        <v>378</v>
      </c>
      <c r="E2073" s="1" t="s">
        <v>41</v>
      </c>
      <c r="F2073" s="1" t="s">
        <v>99</v>
      </c>
      <c r="G2073" s="1" t="s">
        <v>83</v>
      </c>
      <c r="H2073" s="1" t="s">
        <v>43</v>
      </c>
      <c r="I2073" s="1" t="s">
        <v>258</v>
      </c>
      <c r="J2073" s="1">
        <v>5</v>
      </c>
      <c r="K2073" s="3">
        <v>1849.5</v>
      </c>
      <c r="L2073" s="1">
        <v>5</v>
      </c>
      <c r="M2073" s="1" t="s">
        <v>69</v>
      </c>
      <c r="N2073" s="10" t="s">
        <v>64</v>
      </c>
      <c r="Q2073"/>
    </row>
    <row r="2074" spans="1:17" x14ac:dyDescent="0.25">
      <c r="A2074" s="9" t="s">
        <v>738</v>
      </c>
      <c r="B2074" s="2">
        <v>45488</v>
      </c>
      <c r="C2074" s="1" t="s">
        <v>458</v>
      </c>
      <c r="D2074" s="1" t="s">
        <v>26</v>
      </c>
      <c r="E2074" s="1" t="s">
        <v>17</v>
      </c>
      <c r="F2074" s="1" t="s">
        <v>88</v>
      </c>
      <c r="G2074" s="1" t="s">
        <v>42</v>
      </c>
      <c r="H2074" s="1" t="s">
        <v>61</v>
      </c>
      <c r="I2074" s="1" t="s">
        <v>587</v>
      </c>
      <c r="J2074" s="1">
        <v>3</v>
      </c>
      <c r="K2074" s="3">
        <v>10221.41</v>
      </c>
      <c r="L2074" s="1">
        <v>5</v>
      </c>
      <c r="M2074" s="1" t="s">
        <v>36</v>
      </c>
      <c r="N2074" s="10" t="s">
        <v>31</v>
      </c>
      <c r="Q2074"/>
    </row>
    <row r="2075" spans="1:17" x14ac:dyDescent="0.25">
      <c r="A2075" s="9" t="s">
        <v>3105</v>
      </c>
      <c r="B2075" s="2">
        <v>45064</v>
      </c>
      <c r="C2075" s="1" t="s">
        <v>354</v>
      </c>
      <c r="D2075" s="1" t="s">
        <v>16</v>
      </c>
      <c r="E2075" s="1" t="s">
        <v>72</v>
      </c>
      <c r="F2075" s="1" t="s">
        <v>49</v>
      </c>
      <c r="G2075" s="1" t="s">
        <v>53</v>
      </c>
      <c r="H2075" s="1" t="s">
        <v>54</v>
      </c>
      <c r="I2075" s="1" t="s">
        <v>1053</v>
      </c>
      <c r="J2075" s="1">
        <v>8</v>
      </c>
      <c r="K2075" s="3">
        <v>11127.51</v>
      </c>
      <c r="L2075" s="1">
        <v>20</v>
      </c>
      <c r="M2075" s="1" t="s">
        <v>56</v>
      </c>
      <c r="N2075" s="10" t="s">
        <v>37</v>
      </c>
      <c r="Q2075"/>
    </row>
    <row r="2076" spans="1:17" x14ac:dyDescent="0.25">
      <c r="A2076" s="9" t="s">
        <v>3106</v>
      </c>
      <c r="B2076" s="2">
        <v>44958</v>
      </c>
      <c r="C2076" s="1" t="s">
        <v>1355</v>
      </c>
      <c r="D2076" s="1" t="s">
        <v>33</v>
      </c>
      <c r="E2076" s="1" t="s">
        <v>59</v>
      </c>
      <c r="F2076" s="1" t="s">
        <v>18</v>
      </c>
      <c r="G2076" s="1" t="s">
        <v>19</v>
      </c>
      <c r="H2076" s="1" t="s">
        <v>29</v>
      </c>
      <c r="I2076" s="1" t="s">
        <v>30</v>
      </c>
      <c r="J2076" s="1">
        <v>6</v>
      </c>
      <c r="K2076" s="3">
        <v>10417.290000000001</v>
      </c>
      <c r="L2076" s="1" t="s">
        <v>110</v>
      </c>
      <c r="M2076" s="1" t="s">
        <v>36</v>
      </c>
      <c r="N2076" s="10" t="s">
        <v>37</v>
      </c>
      <c r="Q2076"/>
    </row>
    <row r="2077" spans="1:17" x14ac:dyDescent="0.25">
      <c r="A2077" s="9" t="s">
        <v>3107</v>
      </c>
      <c r="B2077" s="2">
        <v>45582</v>
      </c>
      <c r="C2077" s="1" t="s">
        <v>290</v>
      </c>
      <c r="D2077" s="1" t="s">
        <v>52</v>
      </c>
      <c r="E2077" s="1" t="s">
        <v>72</v>
      </c>
      <c r="F2077" s="1" t="s">
        <v>88</v>
      </c>
      <c r="G2077" s="1" t="s">
        <v>83</v>
      </c>
      <c r="H2077" s="1" t="s">
        <v>43</v>
      </c>
      <c r="I2077" s="1" t="s">
        <v>144</v>
      </c>
      <c r="J2077" s="1">
        <v>6</v>
      </c>
      <c r="K2077" s="3">
        <v>29677.21</v>
      </c>
      <c r="L2077" s="1" t="s">
        <v>110</v>
      </c>
      <c r="M2077" s="1" t="s">
        <v>63</v>
      </c>
      <c r="N2077" s="10" t="s">
        <v>45</v>
      </c>
      <c r="Q2077"/>
    </row>
    <row r="2078" spans="1:17" x14ac:dyDescent="0.25">
      <c r="A2078" s="9" t="s">
        <v>3108</v>
      </c>
      <c r="B2078" s="2">
        <v>45234</v>
      </c>
      <c r="C2078" s="1" t="s">
        <v>1741</v>
      </c>
      <c r="D2078" s="1" t="s">
        <v>360</v>
      </c>
      <c r="E2078" s="1" t="s">
        <v>41</v>
      </c>
      <c r="F2078" s="1" t="s">
        <v>28</v>
      </c>
      <c r="G2078" s="1" t="s">
        <v>19</v>
      </c>
      <c r="H2078" s="1" t="s">
        <v>20</v>
      </c>
      <c r="I2078" s="1" t="s">
        <v>731</v>
      </c>
      <c r="J2078" s="1">
        <v>8</v>
      </c>
      <c r="K2078" s="3">
        <v>7415.04</v>
      </c>
      <c r="L2078" s="1">
        <v>5</v>
      </c>
      <c r="M2078" s="1" t="s">
        <v>56</v>
      </c>
      <c r="N2078" s="10" t="s">
        <v>37</v>
      </c>
      <c r="Q2078"/>
    </row>
    <row r="2079" spans="1:17" x14ac:dyDescent="0.25">
      <c r="A2079" s="9" t="s">
        <v>3109</v>
      </c>
      <c r="B2079" s="2">
        <v>45008</v>
      </c>
      <c r="C2079" s="1" t="s">
        <v>1267</v>
      </c>
      <c r="D2079" s="1" t="s">
        <v>33</v>
      </c>
      <c r="E2079" s="1" t="s">
        <v>59</v>
      </c>
      <c r="F2079" s="1" t="s">
        <v>82</v>
      </c>
      <c r="G2079" s="1" t="s">
        <v>53</v>
      </c>
      <c r="H2079" s="1" t="s">
        <v>54</v>
      </c>
      <c r="I2079" s="1" t="s">
        <v>518</v>
      </c>
      <c r="J2079" s="1">
        <v>9</v>
      </c>
      <c r="K2079" s="3">
        <v>6357.26</v>
      </c>
      <c r="L2079" s="1">
        <v>0</v>
      </c>
      <c r="M2079" s="1" t="s">
        <v>63</v>
      </c>
      <c r="N2079" s="10" t="s">
        <v>31</v>
      </c>
      <c r="Q2079"/>
    </row>
    <row r="2080" spans="1:17" x14ac:dyDescent="0.25">
      <c r="A2080" s="9" t="s">
        <v>3110</v>
      </c>
      <c r="B2080" s="2">
        <v>45468</v>
      </c>
      <c r="C2080" s="1" t="s">
        <v>2099</v>
      </c>
      <c r="D2080" s="1" t="s">
        <v>52</v>
      </c>
      <c r="E2080" s="1" t="s">
        <v>72</v>
      </c>
      <c r="F2080" s="1" t="s">
        <v>99</v>
      </c>
      <c r="G2080" s="1" t="s">
        <v>83</v>
      </c>
      <c r="H2080" s="1" t="s">
        <v>43</v>
      </c>
      <c r="I2080" s="1" t="s">
        <v>652</v>
      </c>
      <c r="J2080" s="1">
        <v>7</v>
      </c>
      <c r="K2080" s="3">
        <v>12269.38</v>
      </c>
      <c r="L2080" s="1">
        <v>10</v>
      </c>
      <c r="M2080" s="1" t="s">
        <v>56</v>
      </c>
      <c r="N2080" s="10" t="s">
        <v>45</v>
      </c>
      <c r="Q2080"/>
    </row>
    <row r="2081" spans="1:17" x14ac:dyDescent="0.25">
      <c r="A2081" s="9" t="s">
        <v>3111</v>
      </c>
      <c r="B2081" s="2">
        <v>45408</v>
      </c>
      <c r="C2081" s="1" t="s">
        <v>920</v>
      </c>
      <c r="D2081" s="1" t="s">
        <v>378</v>
      </c>
      <c r="E2081" s="1" t="s">
        <v>34</v>
      </c>
      <c r="F2081" s="1" t="s">
        <v>99</v>
      </c>
      <c r="G2081" s="1" t="s">
        <v>42</v>
      </c>
      <c r="H2081" s="1" t="s">
        <v>43</v>
      </c>
      <c r="I2081" s="1" t="s">
        <v>84</v>
      </c>
      <c r="J2081" s="1">
        <v>9</v>
      </c>
      <c r="K2081" s="3">
        <v>23844.71</v>
      </c>
      <c r="L2081" s="1">
        <v>0</v>
      </c>
      <c r="M2081" s="1" t="s">
        <v>93</v>
      </c>
      <c r="N2081" s="10" t="s">
        <v>64</v>
      </c>
      <c r="Q2081"/>
    </row>
    <row r="2082" spans="1:17" x14ac:dyDescent="0.25">
      <c r="A2082" s="9" t="s">
        <v>3112</v>
      </c>
      <c r="B2082" s="2">
        <v>45164</v>
      </c>
      <c r="C2082" s="1" t="s">
        <v>1208</v>
      </c>
      <c r="D2082" s="1" t="s">
        <v>40</v>
      </c>
      <c r="E2082" s="1" t="s">
        <v>72</v>
      </c>
      <c r="F2082" s="1" t="s">
        <v>18</v>
      </c>
      <c r="G2082" s="1" t="s">
        <v>19</v>
      </c>
      <c r="H2082" s="1" t="s">
        <v>29</v>
      </c>
      <c r="I2082" s="1" t="s">
        <v>452</v>
      </c>
      <c r="J2082" s="1">
        <v>1</v>
      </c>
      <c r="K2082" s="3">
        <v>3480.01</v>
      </c>
      <c r="L2082" s="1">
        <v>0</v>
      </c>
      <c r="M2082" s="1" t="s">
        <v>36</v>
      </c>
      <c r="N2082" s="10" t="s">
        <v>45</v>
      </c>
      <c r="Q2082"/>
    </row>
    <row r="2083" spans="1:17" x14ac:dyDescent="0.25">
      <c r="A2083" s="9" t="s">
        <v>3113</v>
      </c>
      <c r="B2083" s="2">
        <v>45125</v>
      </c>
      <c r="C2083" s="1" t="s">
        <v>1628</v>
      </c>
      <c r="D2083" s="1" t="s">
        <v>33</v>
      </c>
      <c r="E2083" s="1" t="s">
        <v>59</v>
      </c>
      <c r="F2083" s="1" t="s">
        <v>18</v>
      </c>
      <c r="G2083" s="1" t="s">
        <v>19</v>
      </c>
      <c r="H2083" s="1" t="s">
        <v>20</v>
      </c>
      <c r="I2083" s="1" t="s">
        <v>187</v>
      </c>
      <c r="J2083" s="1">
        <v>2</v>
      </c>
      <c r="K2083" s="3">
        <v>3861.06</v>
      </c>
      <c r="L2083" s="1">
        <v>20</v>
      </c>
      <c r="M2083" s="1" t="s">
        <v>36</v>
      </c>
      <c r="N2083" s="10" t="s">
        <v>31</v>
      </c>
      <c r="Q2083"/>
    </row>
    <row r="2084" spans="1:17" x14ac:dyDescent="0.25">
      <c r="A2084" s="9" t="s">
        <v>3114</v>
      </c>
      <c r="B2084" s="2">
        <v>45196</v>
      </c>
      <c r="C2084" s="1" t="s">
        <v>2170</v>
      </c>
      <c r="D2084" s="1" t="s">
        <v>67</v>
      </c>
      <c r="E2084" s="1" t="s">
        <v>34</v>
      </c>
      <c r="F2084" s="1" t="s">
        <v>49</v>
      </c>
      <c r="G2084" s="1" t="s">
        <v>42</v>
      </c>
      <c r="H2084" s="1" t="s">
        <v>61</v>
      </c>
      <c r="I2084" s="1" t="s">
        <v>217</v>
      </c>
      <c r="J2084" s="1">
        <v>5</v>
      </c>
      <c r="K2084" s="3">
        <v>14886.89</v>
      </c>
      <c r="L2084" s="1">
        <v>15</v>
      </c>
      <c r="M2084" s="1" t="s">
        <v>36</v>
      </c>
      <c r="N2084" s="10" t="s">
        <v>45</v>
      </c>
      <c r="Q2084"/>
    </row>
    <row r="2085" spans="1:17" x14ac:dyDescent="0.25">
      <c r="A2085" s="9" t="s">
        <v>3115</v>
      </c>
      <c r="B2085" s="2">
        <v>45017</v>
      </c>
      <c r="C2085" s="1" t="s">
        <v>3116</v>
      </c>
      <c r="D2085" s="1" t="s">
        <v>67</v>
      </c>
      <c r="E2085" s="1" t="s">
        <v>59</v>
      </c>
      <c r="F2085" s="1" t="s">
        <v>18</v>
      </c>
      <c r="G2085" s="1" t="s">
        <v>83</v>
      </c>
      <c r="H2085" s="1" t="s">
        <v>43</v>
      </c>
      <c r="I2085" s="1" t="s">
        <v>50</v>
      </c>
      <c r="J2085" s="1">
        <v>7</v>
      </c>
      <c r="K2085" s="3">
        <v>10079.780000000001</v>
      </c>
      <c r="L2085" s="1">
        <v>20</v>
      </c>
      <c r="M2085" s="1" t="s">
        <v>56</v>
      </c>
      <c r="N2085" s="10" t="s">
        <v>64</v>
      </c>
      <c r="Q2085"/>
    </row>
    <row r="2086" spans="1:17" x14ac:dyDescent="0.25">
      <c r="A2086" s="9" t="s">
        <v>3117</v>
      </c>
      <c r="B2086" s="2">
        <v>45507</v>
      </c>
      <c r="C2086" s="1" t="s">
        <v>352</v>
      </c>
      <c r="D2086" s="1" t="s">
        <v>71</v>
      </c>
      <c r="E2086" s="1" t="s">
        <v>59</v>
      </c>
      <c r="F2086" s="1" t="s">
        <v>88</v>
      </c>
      <c r="G2086" s="1" t="s">
        <v>42</v>
      </c>
      <c r="H2086" s="1" t="s">
        <v>43</v>
      </c>
      <c r="I2086" s="1" t="s">
        <v>258</v>
      </c>
      <c r="J2086" s="1">
        <v>8</v>
      </c>
      <c r="K2086" s="3">
        <v>3927.72</v>
      </c>
      <c r="L2086" s="1">
        <v>10</v>
      </c>
      <c r="M2086" s="1" t="s">
        <v>56</v>
      </c>
      <c r="N2086" s="10" t="s">
        <v>64</v>
      </c>
      <c r="Q2086"/>
    </row>
    <row r="2087" spans="1:17" x14ac:dyDescent="0.25">
      <c r="A2087" s="9" t="s">
        <v>3118</v>
      </c>
      <c r="B2087" s="2">
        <v>45649</v>
      </c>
      <c r="C2087" s="1" t="s">
        <v>1039</v>
      </c>
      <c r="D2087" s="1" t="s">
        <v>81</v>
      </c>
      <c r="E2087" s="1" t="s">
        <v>27</v>
      </c>
      <c r="F2087" s="1" t="s">
        <v>88</v>
      </c>
      <c r="G2087" s="1" t="s">
        <v>42</v>
      </c>
      <c r="H2087" s="1" t="s">
        <v>43</v>
      </c>
      <c r="I2087" s="1" t="s">
        <v>44</v>
      </c>
      <c r="J2087" s="1">
        <v>6</v>
      </c>
      <c r="K2087" s="3">
        <v>12501.1</v>
      </c>
      <c r="L2087" s="1">
        <v>5</v>
      </c>
      <c r="M2087" s="1" t="s">
        <v>36</v>
      </c>
      <c r="N2087" s="10" t="s">
        <v>64</v>
      </c>
      <c r="Q2087"/>
    </row>
    <row r="2088" spans="1:17" x14ac:dyDescent="0.25">
      <c r="A2088" s="9" t="s">
        <v>3119</v>
      </c>
      <c r="B2088" s="2">
        <v>44987</v>
      </c>
      <c r="C2088" s="1" t="s">
        <v>369</v>
      </c>
      <c r="D2088" s="1" t="s">
        <v>26</v>
      </c>
      <c r="E2088" s="1" t="s">
        <v>41</v>
      </c>
      <c r="F2088" s="1" t="s">
        <v>49</v>
      </c>
      <c r="G2088" s="1" t="s">
        <v>19</v>
      </c>
      <c r="H2088" s="1" t="s">
        <v>20</v>
      </c>
      <c r="I2088" s="1" t="s">
        <v>801</v>
      </c>
      <c r="J2088" s="1">
        <v>7</v>
      </c>
      <c r="K2088" s="3">
        <v>7202.67</v>
      </c>
      <c r="L2088" s="1">
        <v>15</v>
      </c>
      <c r="M2088" s="1" t="s">
        <v>56</v>
      </c>
      <c r="N2088" s="10" t="s">
        <v>64</v>
      </c>
      <c r="Q2088"/>
    </row>
    <row r="2089" spans="1:17" x14ac:dyDescent="0.25">
      <c r="A2089" s="9" t="s">
        <v>3120</v>
      </c>
      <c r="B2089" s="2">
        <v>45057</v>
      </c>
      <c r="C2089" s="1" t="s">
        <v>1520</v>
      </c>
      <c r="D2089" s="1" t="s">
        <v>71</v>
      </c>
      <c r="E2089" s="1" t="s">
        <v>41</v>
      </c>
      <c r="F2089" s="1" t="s">
        <v>49</v>
      </c>
      <c r="G2089" s="1" t="s">
        <v>42</v>
      </c>
      <c r="H2089" s="1" t="s">
        <v>61</v>
      </c>
      <c r="I2089" s="1" t="s">
        <v>305</v>
      </c>
      <c r="J2089" s="1">
        <v>5</v>
      </c>
      <c r="K2089" s="3">
        <v>24557.29</v>
      </c>
      <c r="L2089" s="1">
        <v>10</v>
      </c>
      <c r="M2089" s="1" t="s">
        <v>69</v>
      </c>
      <c r="N2089" s="10" t="s">
        <v>74</v>
      </c>
      <c r="Q2089"/>
    </row>
    <row r="2090" spans="1:17" x14ac:dyDescent="0.25">
      <c r="A2090" s="9" t="s">
        <v>3121</v>
      </c>
      <c r="B2090" s="2">
        <v>45340</v>
      </c>
      <c r="C2090" s="1" t="s">
        <v>3122</v>
      </c>
      <c r="D2090" s="1" t="s">
        <v>71</v>
      </c>
      <c r="E2090" s="1" t="s">
        <v>27</v>
      </c>
      <c r="F2090" s="1" t="s">
        <v>99</v>
      </c>
      <c r="G2090" s="1" t="s">
        <v>19</v>
      </c>
      <c r="H2090" s="1" t="s">
        <v>20</v>
      </c>
      <c r="I2090" s="1" t="s">
        <v>226</v>
      </c>
      <c r="J2090" s="1">
        <v>10</v>
      </c>
      <c r="K2090" s="3">
        <v>25934.36</v>
      </c>
      <c r="L2090" s="1">
        <v>15</v>
      </c>
      <c r="M2090" s="1" t="s">
        <v>36</v>
      </c>
      <c r="N2090" s="10" t="s">
        <v>23</v>
      </c>
      <c r="Q2090"/>
    </row>
    <row r="2091" spans="1:17" x14ac:dyDescent="0.25">
      <c r="A2091" s="9" t="s">
        <v>3123</v>
      </c>
      <c r="B2091" s="2">
        <v>45539</v>
      </c>
      <c r="C2091" s="1" t="s">
        <v>790</v>
      </c>
      <c r="D2091" s="1" t="s">
        <v>71</v>
      </c>
      <c r="E2091" s="1" t="s">
        <v>72</v>
      </c>
      <c r="F2091" s="1" t="s">
        <v>18</v>
      </c>
      <c r="G2091" s="1" t="s">
        <v>42</v>
      </c>
      <c r="H2091" s="1" t="s">
        <v>43</v>
      </c>
      <c r="I2091" s="1" t="s">
        <v>494</v>
      </c>
      <c r="J2091" s="1">
        <v>3</v>
      </c>
      <c r="K2091" s="3">
        <v>13540.34</v>
      </c>
      <c r="L2091" s="1" t="s">
        <v>110</v>
      </c>
      <c r="M2091" s="1" t="s">
        <v>22</v>
      </c>
      <c r="N2091" s="10" t="s">
        <v>37</v>
      </c>
      <c r="Q2091"/>
    </row>
    <row r="2092" spans="1:17" x14ac:dyDescent="0.25">
      <c r="A2092" s="9" t="s">
        <v>3124</v>
      </c>
      <c r="B2092" s="2">
        <v>45409</v>
      </c>
      <c r="C2092" s="1" t="s">
        <v>2296</v>
      </c>
      <c r="D2092" s="1" t="s">
        <v>26</v>
      </c>
      <c r="E2092" s="1" t="s">
        <v>17</v>
      </c>
      <c r="F2092" s="1" t="s">
        <v>60</v>
      </c>
      <c r="G2092" s="1" t="s">
        <v>42</v>
      </c>
      <c r="H2092" s="1" t="s">
        <v>61</v>
      </c>
      <c r="I2092" s="1" t="s">
        <v>632</v>
      </c>
      <c r="J2092" s="1">
        <v>7</v>
      </c>
      <c r="K2092" s="3">
        <v>29711.040000000001</v>
      </c>
      <c r="L2092" s="1">
        <v>20</v>
      </c>
      <c r="M2092" s="1" t="s">
        <v>93</v>
      </c>
      <c r="N2092" s="10" t="s">
        <v>23</v>
      </c>
      <c r="Q2092"/>
    </row>
    <row r="2093" spans="1:17" x14ac:dyDescent="0.25">
      <c r="A2093" s="9" t="s">
        <v>3125</v>
      </c>
      <c r="B2093" s="2">
        <v>45348</v>
      </c>
      <c r="C2093" s="1" t="s">
        <v>2925</v>
      </c>
      <c r="D2093" s="1" t="s">
        <v>40</v>
      </c>
      <c r="E2093" s="1" t="s">
        <v>17</v>
      </c>
      <c r="F2093" s="1" t="s">
        <v>60</v>
      </c>
      <c r="G2093" s="1" t="s">
        <v>19</v>
      </c>
      <c r="H2093" s="1" t="s">
        <v>29</v>
      </c>
      <c r="I2093" s="1" t="s">
        <v>141</v>
      </c>
      <c r="J2093" s="1">
        <v>5</v>
      </c>
      <c r="K2093" s="3">
        <v>14930.73</v>
      </c>
      <c r="L2093" s="1">
        <v>5</v>
      </c>
      <c r="M2093" s="1" t="s">
        <v>22</v>
      </c>
      <c r="N2093" s="10" t="s">
        <v>37</v>
      </c>
      <c r="Q2093"/>
    </row>
    <row r="2094" spans="1:17" x14ac:dyDescent="0.25">
      <c r="A2094" s="9" t="s">
        <v>3126</v>
      </c>
      <c r="B2094" s="2">
        <v>45397</v>
      </c>
      <c r="C2094" s="1" t="s">
        <v>933</v>
      </c>
      <c r="D2094" s="1" t="s">
        <v>52</v>
      </c>
      <c r="E2094" s="1" t="s">
        <v>59</v>
      </c>
      <c r="F2094" s="1" t="s">
        <v>18</v>
      </c>
      <c r="G2094" s="1" t="s">
        <v>53</v>
      </c>
      <c r="H2094" s="1" t="s">
        <v>54</v>
      </c>
      <c r="I2094" s="1" t="s">
        <v>173</v>
      </c>
      <c r="J2094" s="1">
        <v>5</v>
      </c>
      <c r="K2094" s="3">
        <v>21397.78</v>
      </c>
      <c r="L2094" s="1">
        <v>15</v>
      </c>
      <c r="M2094" s="1" t="s">
        <v>22</v>
      </c>
      <c r="N2094" s="10" t="s">
        <v>64</v>
      </c>
      <c r="Q2094"/>
    </row>
    <row r="2095" spans="1:17" x14ac:dyDescent="0.25">
      <c r="A2095" s="9" t="s">
        <v>3127</v>
      </c>
      <c r="B2095" s="2">
        <v>45271</v>
      </c>
      <c r="C2095" s="1" t="s">
        <v>1091</v>
      </c>
      <c r="D2095" s="1" t="s">
        <v>81</v>
      </c>
      <c r="E2095" s="1" t="s">
        <v>72</v>
      </c>
      <c r="F2095" s="1" t="s">
        <v>82</v>
      </c>
      <c r="G2095" s="1" t="s">
        <v>19</v>
      </c>
      <c r="H2095" s="1" t="s">
        <v>29</v>
      </c>
      <c r="I2095" s="1" t="s">
        <v>424</v>
      </c>
      <c r="J2095" s="1">
        <v>9</v>
      </c>
      <c r="K2095" s="3">
        <v>30720.560000000001</v>
      </c>
      <c r="L2095" s="1">
        <v>10</v>
      </c>
      <c r="M2095" s="1" t="s">
        <v>56</v>
      </c>
      <c r="N2095" s="10" t="s">
        <v>45</v>
      </c>
      <c r="Q2095"/>
    </row>
    <row r="2096" spans="1:17" x14ac:dyDescent="0.25">
      <c r="A2096" s="9" t="s">
        <v>3128</v>
      </c>
      <c r="B2096" s="2">
        <v>45091</v>
      </c>
      <c r="C2096" s="1" t="s">
        <v>2608</v>
      </c>
      <c r="D2096" s="1" t="s">
        <v>87</v>
      </c>
      <c r="E2096" s="1" t="s">
        <v>27</v>
      </c>
      <c r="F2096" s="1" t="s">
        <v>99</v>
      </c>
      <c r="G2096" s="1" t="s">
        <v>19</v>
      </c>
      <c r="H2096" s="1" t="s">
        <v>29</v>
      </c>
      <c r="I2096" s="1" t="s">
        <v>370</v>
      </c>
      <c r="J2096" s="1">
        <v>1</v>
      </c>
      <c r="K2096" s="3">
        <v>1035.1300000000001</v>
      </c>
      <c r="L2096" s="1">
        <v>15</v>
      </c>
      <c r="M2096" s="1" t="s">
        <v>63</v>
      </c>
      <c r="N2096" s="10" t="s">
        <v>74</v>
      </c>
      <c r="Q2096"/>
    </row>
    <row r="2097" spans="1:17" x14ac:dyDescent="0.25">
      <c r="A2097" s="9" t="s">
        <v>3129</v>
      </c>
      <c r="B2097" s="2">
        <v>45418</v>
      </c>
      <c r="C2097" s="1" t="s">
        <v>2608</v>
      </c>
      <c r="D2097" s="1" t="s">
        <v>81</v>
      </c>
      <c r="E2097" s="1" t="s">
        <v>41</v>
      </c>
      <c r="F2097" s="1" t="s">
        <v>28</v>
      </c>
      <c r="G2097" s="1" t="s">
        <v>53</v>
      </c>
      <c r="H2097" s="1" t="s">
        <v>54</v>
      </c>
      <c r="I2097" s="1" t="s">
        <v>333</v>
      </c>
      <c r="J2097" s="1">
        <v>3</v>
      </c>
      <c r="K2097" s="3">
        <v>4741.7299999999996</v>
      </c>
      <c r="L2097" s="1">
        <v>20</v>
      </c>
      <c r="M2097" s="1" t="s">
        <v>93</v>
      </c>
      <c r="N2097" s="10" t="s">
        <v>74</v>
      </c>
      <c r="Q2097"/>
    </row>
    <row r="2098" spans="1:17" x14ac:dyDescent="0.25">
      <c r="A2098" s="9" t="s">
        <v>3130</v>
      </c>
      <c r="B2098" s="2">
        <v>45048</v>
      </c>
      <c r="C2098" s="1" t="s">
        <v>447</v>
      </c>
      <c r="D2098" s="1" t="s">
        <v>81</v>
      </c>
      <c r="E2098" s="1" t="s">
        <v>72</v>
      </c>
      <c r="F2098" s="1" t="s">
        <v>60</v>
      </c>
      <c r="G2098" s="1" t="s">
        <v>19</v>
      </c>
      <c r="H2098" s="1" t="s">
        <v>29</v>
      </c>
      <c r="I2098" s="1" t="s">
        <v>830</v>
      </c>
      <c r="J2098" s="1">
        <v>8</v>
      </c>
      <c r="K2098" s="3">
        <v>22023.14</v>
      </c>
      <c r="L2098" s="1">
        <v>0</v>
      </c>
      <c r="M2098" s="1" t="s">
        <v>36</v>
      </c>
      <c r="N2098" s="10" t="s">
        <v>31</v>
      </c>
      <c r="Q2098"/>
    </row>
    <row r="2099" spans="1:17" x14ac:dyDescent="0.25">
      <c r="A2099" s="9" t="s">
        <v>3131</v>
      </c>
      <c r="B2099" s="2">
        <v>45271</v>
      </c>
      <c r="C2099" s="1" t="s">
        <v>1371</v>
      </c>
      <c r="D2099" s="1" t="s">
        <v>147</v>
      </c>
      <c r="E2099" s="1" t="s">
        <v>59</v>
      </c>
      <c r="F2099" s="1" t="s">
        <v>49</v>
      </c>
      <c r="G2099" s="1" t="s">
        <v>19</v>
      </c>
      <c r="H2099" s="1" t="s">
        <v>20</v>
      </c>
      <c r="I2099" s="1" t="s">
        <v>280</v>
      </c>
      <c r="J2099" s="1">
        <v>5</v>
      </c>
      <c r="K2099" s="3">
        <v>15085.35</v>
      </c>
      <c r="L2099" s="1">
        <v>0</v>
      </c>
      <c r="M2099" s="1" t="s">
        <v>63</v>
      </c>
      <c r="N2099" s="10" t="s">
        <v>37</v>
      </c>
      <c r="Q2099"/>
    </row>
    <row r="2100" spans="1:17" x14ac:dyDescent="0.25">
      <c r="A2100" s="9" t="s">
        <v>3132</v>
      </c>
      <c r="B2100" s="2">
        <v>45639</v>
      </c>
      <c r="C2100" s="1" t="s">
        <v>1988</v>
      </c>
      <c r="D2100" s="1" t="s">
        <v>87</v>
      </c>
      <c r="E2100" s="1" t="s">
        <v>41</v>
      </c>
      <c r="F2100" s="1" t="s">
        <v>88</v>
      </c>
      <c r="G2100" s="1" t="s">
        <v>19</v>
      </c>
      <c r="H2100" s="1" t="s">
        <v>29</v>
      </c>
      <c r="I2100" s="1" t="s">
        <v>220</v>
      </c>
      <c r="J2100" s="1">
        <v>1</v>
      </c>
      <c r="K2100" s="3">
        <v>420.65</v>
      </c>
      <c r="L2100" s="1">
        <v>5</v>
      </c>
      <c r="M2100" s="1" t="s">
        <v>69</v>
      </c>
      <c r="N2100" s="10" t="s">
        <v>23</v>
      </c>
      <c r="Q2100"/>
    </row>
    <row r="2101" spans="1:17" x14ac:dyDescent="0.25">
      <c r="A2101" s="9" t="s">
        <v>3133</v>
      </c>
      <c r="B2101" s="2">
        <v>45576</v>
      </c>
      <c r="C2101" s="1" t="s">
        <v>1941</v>
      </c>
      <c r="D2101" s="1" t="s">
        <v>26</v>
      </c>
      <c r="E2101" s="1" t="s">
        <v>17</v>
      </c>
      <c r="F2101" s="1" t="s">
        <v>60</v>
      </c>
      <c r="G2101" s="1" t="s">
        <v>19</v>
      </c>
      <c r="H2101" s="1" t="s">
        <v>29</v>
      </c>
      <c r="I2101" s="1" t="s">
        <v>635</v>
      </c>
      <c r="J2101" s="1">
        <v>9</v>
      </c>
      <c r="K2101" s="3">
        <v>22641.13</v>
      </c>
      <c r="L2101" s="1">
        <v>5</v>
      </c>
      <c r="M2101" s="1" t="s">
        <v>22</v>
      </c>
      <c r="N2101" s="10" t="s">
        <v>45</v>
      </c>
      <c r="Q2101"/>
    </row>
    <row r="2102" spans="1:17" x14ac:dyDescent="0.25">
      <c r="A2102" s="9" t="s">
        <v>3134</v>
      </c>
      <c r="B2102" s="2">
        <v>45290</v>
      </c>
      <c r="C2102" s="1" t="s">
        <v>887</v>
      </c>
      <c r="D2102" s="1" t="s">
        <v>16</v>
      </c>
      <c r="E2102" s="1" t="s">
        <v>27</v>
      </c>
      <c r="F2102" s="1" t="s">
        <v>60</v>
      </c>
      <c r="G2102" s="1" t="s">
        <v>53</v>
      </c>
      <c r="H2102" s="1" t="s">
        <v>54</v>
      </c>
      <c r="I2102" s="1" t="s">
        <v>518</v>
      </c>
      <c r="J2102" s="1">
        <v>6</v>
      </c>
      <c r="K2102" s="3">
        <v>4237.3100000000004</v>
      </c>
      <c r="L2102" s="1">
        <v>20</v>
      </c>
      <c r="M2102" s="1" t="s">
        <v>93</v>
      </c>
      <c r="N2102" s="10" t="s">
        <v>74</v>
      </c>
      <c r="Q2102"/>
    </row>
    <row r="2103" spans="1:17" x14ac:dyDescent="0.25">
      <c r="A2103" s="9" t="s">
        <v>3135</v>
      </c>
      <c r="B2103" s="2">
        <v>45189</v>
      </c>
      <c r="C2103" s="1" t="s">
        <v>1977</v>
      </c>
      <c r="D2103" s="1" t="s">
        <v>147</v>
      </c>
      <c r="E2103" s="1" t="s">
        <v>41</v>
      </c>
      <c r="F2103" s="1" t="s">
        <v>99</v>
      </c>
      <c r="G2103" s="1" t="s">
        <v>42</v>
      </c>
      <c r="H2103" s="1" t="s">
        <v>61</v>
      </c>
      <c r="I2103" s="1" t="s">
        <v>357</v>
      </c>
      <c r="J2103" s="1">
        <v>6</v>
      </c>
      <c r="K2103" s="3">
        <v>2890.65</v>
      </c>
      <c r="L2103" s="1" t="s">
        <v>110</v>
      </c>
      <c r="M2103" s="1" t="s">
        <v>63</v>
      </c>
      <c r="N2103" s="10" t="s">
        <v>31</v>
      </c>
      <c r="Q2103"/>
    </row>
    <row r="2104" spans="1:17" x14ac:dyDescent="0.25">
      <c r="A2104" s="9" t="s">
        <v>3136</v>
      </c>
      <c r="B2104" s="2">
        <v>45136</v>
      </c>
      <c r="C2104" s="1" t="s">
        <v>2643</v>
      </c>
      <c r="D2104" s="1" t="s">
        <v>16</v>
      </c>
      <c r="E2104" s="1" t="s">
        <v>41</v>
      </c>
      <c r="F2104" s="1" t="s">
        <v>49</v>
      </c>
      <c r="G2104" s="1" t="s">
        <v>19</v>
      </c>
      <c r="H2104" s="1" t="s">
        <v>20</v>
      </c>
      <c r="I2104" s="1" t="s">
        <v>391</v>
      </c>
      <c r="J2104" s="1">
        <v>4</v>
      </c>
      <c r="K2104" s="3">
        <v>19103.03</v>
      </c>
      <c r="L2104" s="1">
        <v>20</v>
      </c>
      <c r="M2104" s="1" t="s">
        <v>69</v>
      </c>
      <c r="N2104" s="10" t="s">
        <v>45</v>
      </c>
      <c r="Q2104"/>
    </row>
    <row r="2105" spans="1:17" x14ac:dyDescent="0.25">
      <c r="A2105" s="9" t="s">
        <v>3137</v>
      </c>
      <c r="B2105" s="2">
        <v>45564</v>
      </c>
      <c r="C2105" s="1" t="s">
        <v>747</v>
      </c>
      <c r="D2105" s="1" t="s">
        <v>71</v>
      </c>
      <c r="E2105" s="1" t="s">
        <v>27</v>
      </c>
      <c r="F2105" s="1" t="s">
        <v>82</v>
      </c>
      <c r="G2105" s="1" t="s">
        <v>19</v>
      </c>
      <c r="H2105" s="1" t="s">
        <v>29</v>
      </c>
      <c r="I2105" s="1" t="s">
        <v>124</v>
      </c>
      <c r="J2105" s="1">
        <v>9</v>
      </c>
      <c r="K2105" s="3">
        <v>28235.49</v>
      </c>
      <c r="L2105" s="1">
        <v>15</v>
      </c>
      <c r="M2105" s="1" t="s">
        <v>69</v>
      </c>
      <c r="N2105" s="10" t="s">
        <v>45</v>
      </c>
      <c r="Q2105"/>
    </row>
    <row r="2106" spans="1:17" x14ac:dyDescent="0.25">
      <c r="A2106" s="9" t="s">
        <v>3138</v>
      </c>
      <c r="B2106" s="2">
        <v>45326</v>
      </c>
      <c r="C2106" s="1" t="s">
        <v>981</v>
      </c>
      <c r="D2106" s="1" t="s">
        <v>71</v>
      </c>
      <c r="E2106" s="1" t="s">
        <v>17</v>
      </c>
      <c r="F2106" s="1" t="s">
        <v>49</v>
      </c>
      <c r="G2106" s="1" t="s">
        <v>19</v>
      </c>
      <c r="H2106" s="1" t="s">
        <v>20</v>
      </c>
      <c r="I2106" s="1" t="s">
        <v>563</v>
      </c>
      <c r="J2106" s="1">
        <v>4</v>
      </c>
      <c r="K2106" s="3">
        <v>11820.72</v>
      </c>
      <c r="L2106" s="1">
        <v>10</v>
      </c>
      <c r="M2106" s="1" t="s">
        <v>69</v>
      </c>
      <c r="N2106" s="10" t="s">
        <v>45</v>
      </c>
      <c r="Q2106"/>
    </row>
    <row r="2107" spans="1:17" x14ac:dyDescent="0.25">
      <c r="A2107" s="9" t="s">
        <v>3139</v>
      </c>
      <c r="B2107" s="2">
        <v>45599</v>
      </c>
      <c r="C2107" s="1" t="s">
        <v>741</v>
      </c>
      <c r="D2107" s="1" t="s">
        <v>161</v>
      </c>
      <c r="E2107" s="1" t="s">
        <v>17</v>
      </c>
      <c r="F2107" s="1" t="s">
        <v>82</v>
      </c>
      <c r="G2107" s="1" t="s">
        <v>19</v>
      </c>
      <c r="H2107" s="1" t="s">
        <v>29</v>
      </c>
      <c r="I2107" s="1" t="s">
        <v>148</v>
      </c>
      <c r="J2107" s="1">
        <v>7</v>
      </c>
      <c r="K2107" s="3">
        <v>3934.83</v>
      </c>
      <c r="L2107" s="1">
        <v>20</v>
      </c>
      <c r="M2107" s="1" t="s">
        <v>36</v>
      </c>
      <c r="N2107" s="10" t="s">
        <v>74</v>
      </c>
      <c r="Q2107"/>
    </row>
    <row r="2108" spans="1:17" x14ac:dyDescent="0.25">
      <c r="A2108" s="9" t="s">
        <v>3140</v>
      </c>
      <c r="B2108" s="2">
        <v>44939</v>
      </c>
      <c r="C2108" s="1" t="s">
        <v>2318</v>
      </c>
      <c r="D2108" s="1" t="s">
        <v>67</v>
      </c>
      <c r="E2108" s="1" t="s">
        <v>17</v>
      </c>
      <c r="F2108" s="1" t="s">
        <v>49</v>
      </c>
      <c r="G2108" s="1" t="s">
        <v>42</v>
      </c>
      <c r="H2108" s="1" t="s">
        <v>43</v>
      </c>
      <c r="I2108" s="1" t="s">
        <v>182</v>
      </c>
      <c r="J2108" s="1">
        <v>6</v>
      </c>
      <c r="K2108" s="3">
        <v>3787.24</v>
      </c>
      <c r="L2108" s="1">
        <v>5</v>
      </c>
      <c r="M2108" s="1" t="s">
        <v>93</v>
      </c>
      <c r="N2108" s="10" t="s">
        <v>45</v>
      </c>
      <c r="Q2108"/>
    </row>
    <row r="2109" spans="1:17" x14ac:dyDescent="0.25">
      <c r="A2109" s="9" t="s">
        <v>3141</v>
      </c>
      <c r="B2109" s="2">
        <v>45076</v>
      </c>
      <c r="C2109" s="1" t="s">
        <v>1149</v>
      </c>
      <c r="D2109" s="1" t="s">
        <v>147</v>
      </c>
      <c r="E2109" s="1" t="s">
        <v>72</v>
      </c>
      <c r="F2109" s="1" t="s">
        <v>18</v>
      </c>
      <c r="G2109" s="1" t="s">
        <v>19</v>
      </c>
      <c r="H2109" s="1" t="s">
        <v>29</v>
      </c>
      <c r="I2109" s="1" t="s">
        <v>148</v>
      </c>
      <c r="J2109" s="1">
        <v>10</v>
      </c>
      <c r="K2109" s="3">
        <v>39890.730000000003</v>
      </c>
      <c r="L2109" s="1">
        <v>20</v>
      </c>
      <c r="M2109" s="1" t="s">
        <v>69</v>
      </c>
      <c r="N2109" s="10" t="s">
        <v>64</v>
      </c>
      <c r="Q2109"/>
    </row>
    <row r="2110" spans="1:17" x14ac:dyDescent="0.25">
      <c r="A2110" s="9" t="s">
        <v>3142</v>
      </c>
      <c r="B2110" s="2">
        <v>45084</v>
      </c>
      <c r="C2110" s="1" t="s">
        <v>645</v>
      </c>
      <c r="D2110" s="1" t="s">
        <v>87</v>
      </c>
      <c r="E2110" s="1" t="s">
        <v>41</v>
      </c>
      <c r="F2110" s="1" t="s">
        <v>82</v>
      </c>
      <c r="G2110" s="1" t="s">
        <v>83</v>
      </c>
      <c r="H2110" s="1" t="s">
        <v>43</v>
      </c>
      <c r="I2110" s="1" t="s">
        <v>323</v>
      </c>
      <c r="J2110" s="1">
        <v>3</v>
      </c>
      <c r="K2110" s="3">
        <v>9552.85</v>
      </c>
      <c r="L2110" s="1">
        <v>5</v>
      </c>
      <c r="M2110" s="1" t="s">
        <v>63</v>
      </c>
      <c r="N2110" s="10" t="s">
        <v>31</v>
      </c>
      <c r="Q2110"/>
    </row>
    <row r="2111" spans="1:17" x14ac:dyDescent="0.25">
      <c r="A2111" s="9" t="s">
        <v>3143</v>
      </c>
      <c r="B2111" s="2">
        <v>45574</v>
      </c>
      <c r="C2111" s="1" t="s">
        <v>900</v>
      </c>
      <c r="D2111" s="1" t="s">
        <v>77</v>
      </c>
      <c r="E2111" s="1" t="s">
        <v>34</v>
      </c>
      <c r="F2111" s="1" t="s">
        <v>60</v>
      </c>
      <c r="G2111" s="1" t="s">
        <v>42</v>
      </c>
      <c r="H2111" s="1" t="s">
        <v>61</v>
      </c>
      <c r="I2111" s="1" t="s">
        <v>234</v>
      </c>
      <c r="J2111" s="1">
        <v>4</v>
      </c>
      <c r="K2111" s="3">
        <v>7075.68</v>
      </c>
      <c r="L2111" s="1">
        <v>15</v>
      </c>
      <c r="M2111" s="1" t="s">
        <v>22</v>
      </c>
      <c r="N2111" s="10" t="s">
        <v>64</v>
      </c>
      <c r="Q2111"/>
    </row>
    <row r="2112" spans="1:17" x14ac:dyDescent="0.25">
      <c r="A2112" s="9" t="s">
        <v>3144</v>
      </c>
      <c r="B2112" s="2">
        <v>45479</v>
      </c>
      <c r="C2112" s="1" t="s">
        <v>191</v>
      </c>
      <c r="D2112" s="1" t="s">
        <v>87</v>
      </c>
      <c r="E2112" s="1" t="s">
        <v>17</v>
      </c>
      <c r="F2112" s="1" t="s">
        <v>28</v>
      </c>
      <c r="G2112" s="1" t="s">
        <v>53</v>
      </c>
      <c r="H2112" s="1" t="s">
        <v>54</v>
      </c>
      <c r="I2112" s="1" t="s">
        <v>73</v>
      </c>
      <c r="J2112" s="1">
        <v>9</v>
      </c>
      <c r="K2112" s="3">
        <v>33124.230000000003</v>
      </c>
      <c r="L2112" s="1">
        <v>20</v>
      </c>
      <c r="M2112" s="1" t="s">
        <v>36</v>
      </c>
      <c r="N2112" s="10" t="s">
        <v>45</v>
      </c>
      <c r="Q2112"/>
    </row>
    <row r="2113" spans="1:17" x14ac:dyDescent="0.25">
      <c r="A2113" s="9" t="s">
        <v>3145</v>
      </c>
      <c r="B2113" s="2">
        <v>45648</v>
      </c>
      <c r="C2113" s="1" t="s">
        <v>1752</v>
      </c>
      <c r="D2113" s="1" t="s">
        <v>16</v>
      </c>
      <c r="E2113" s="1" t="s">
        <v>72</v>
      </c>
      <c r="F2113" s="1" t="s">
        <v>18</v>
      </c>
      <c r="G2113" s="1" t="s">
        <v>53</v>
      </c>
      <c r="H2113" s="1" t="s">
        <v>54</v>
      </c>
      <c r="I2113" s="1" t="s">
        <v>103</v>
      </c>
      <c r="J2113" s="1">
        <v>-3</v>
      </c>
      <c r="K2113" s="3">
        <v>14535.21</v>
      </c>
      <c r="L2113" s="1">
        <v>20</v>
      </c>
      <c r="M2113" s="1" t="s">
        <v>56</v>
      </c>
      <c r="N2113" s="10" t="s">
        <v>23</v>
      </c>
      <c r="Q2113"/>
    </row>
    <row r="2114" spans="1:17" x14ac:dyDescent="0.25">
      <c r="A2114" s="9" t="s">
        <v>3146</v>
      </c>
      <c r="B2114" s="2">
        <v>45309</v>
      </c>
      <c r="C2114" s="1" t="s">
        <v>856</v>
      </c>
      <c r="D2114" s="1" t="s">
        <v>40</v>
      </c>
      <c r="E2114" s="1" t="s">
        <v>59</v>
      </c>
      <c r="F2114" s="1" t="s">
        <v>18</v>
      </c>
      <c r="G2114" s="1" t="s">
        <v>42</v>
      </c>
      <c r="H2114" s="1" t="s">
        <v>61</v>
      </c>
      <c r="I2114" s="1" t="s">
        <v>196</v>
      </c>
      <c r="J2114" s="1">
        <v>5</v>
      </c>
      <c r="K2114" s="3">
        <v>766.99</v>
      </c>
      <c r="L2114" s="1">
        <v>20</v>
      </c>
      <c r="M2114" s="1" t="s">
        <v>63</v>
      </c>
      <c r="N2114" s="10" t="s">
        <v>74</v>
      </c>
      <c r="Q2114"/>
    </row>
    <row r="2115" spans="1:17" x14ac:dyDescent="0.25">
      <c r="A2115" s="9" t="s">
        <v>3147</v>
      </c>
      <c r="B2115" s="2">
        <v>45579</v>
      </c>
      <c r="C2115" s="1" t="s">
        <v>609</v>
      </c>
      <c r="D2115" s="1" t="s">
        <v>40</v>
      </c>
      <c r="E2115" s="1" t="s">
        <v>41</v>
      </c>
      <c r="F2115" s="1" t="s">
        <v>82</v>
      </c>
      <c r="G2115" s="1" t="s">
        <v>19</v>
      </c>
      <c r="H2115" s="1" t="s">
        <v>20</v>
      </c>
      <c r="I2115" s="1" t="s">
        <v>731</v>
      </c>
      <c r="J2115" s="1">
        <v>6</v>
      </c>
      <c r="K2115" s="3">
        <v>14577.77</v>
      </c>
      <c r="L2115" s="1" t="s">
        <v>110</v>
      </c>
      <c r="M2115" s="1" t="s">
        <v>63</v>
      </c>
      <c r="N2115" s="10" t="s">
        <v>31</v>
      </c>
      <c r="Q2115"/>
    </row>
    <row r="2116" spans="1:17" x14ac:dyDescent="0.25">
      <c r="A2116" s="9" t="s">
        <v>3148</v>
      </c>
      <c r="B2116" s="2">
        <v>45619</v>
      </c>
      <c r="C2116" s="1" t="s">
        <v>955</v>
      </c>
      <c r="D2116" s="1" t="s">
        <v>147</v>
      </c>
      <c r="E2116" s="1" t="s">
        <v>34</v>
      </c>
      <c r="F2116" s="1" t="s">
        <v>82</v>
      </c>
      <c r="G2116" s="1" t="s">
        <v>42</v>
      </c>
      <c r="H2116" s="1" t="s">
        <v>61</v>
      </c>
      <c r="I2116" s="1" t="s">
        <v>196</v>
      </c>
      <c r="J2116" s="1">
        <v>2</v>
      </c>
      <c r="K2116" s="3">
        <v>6793.76</v>
      </c>
      <c r="L2116" s="1">
        <v>0</v>
      </c>
      <c r="M2116" s="1" t="s">
        <v>22</v>
      </c>
      <c r="N2116" s="10" t="s">
        <v>23</v>
      </c>
      <c r="Q2116"/>
    </row>
    <row r="2117" spans="1:17" x14ac:dyDescent="0.25">
      <c r="A2117" s="9" t="s">
        <v>3149</v>
      </c>
      <c r="B2117" s="2">
        <v>45218</v>
      </c>
      <c r="C2117" s="1" t="s">
        <v>1633</v>
      </c>
      <c r="D2117" s="1" t="s">
        <v>52</v>
      </c>
      <c r="E2117" s="1" t="s">
        <v>34</v>
      </c>
      <c r="F2117" s="1" t="s">
        <v>88</v>
      </c>
      <c r="G2117" s="1" t="s">
        <v>53</v>
      </c>
      <c r="H2117" s="1" t="s">
        <v>54</v>
      </c>
      <c r="I2117" s="1" t="s">
        <v>132</v>
      </c>
      <c r="J2117" s="1">
        <v>6</v>
      </c>
      <c r="K2117" s="3">
        <v>18943.419999999998</v>
      </c>
      <c r="L2117" s="1">
        <v>15</v>
      </c>
      <c r="M2117" s="1" t="s">
        <v>22</v>
      </c>
      <c r="N2117" s="10" t="s">
        <v>31</v>
      </c>
      <c r="Q2117"/>
    </row>
    <row r="2118" spans="1:17" x14ac:dyDescent="0.25">
      <c r="A2118" s="9" t="s">
        <v>3150</v>
      </c>
      <c r="B2118" s="2">
        <v>45598</v>
      </c>
      <c r="C2118" s="1" t="s">
        <v>1928</v>
      </c>
      <c r="D2118" s="1" t="s">
        <v>71</v>
      </c>
      <c r="E2118" s="1" t="s">
        <v>34</v>
      </c>
      <c r="F2118" s="1" t="s">
        <v>18</v>
      </c>
      <c r="G2118" s="1" t="s">
        <v>53</v>
      </c>
      <c r="H2118" s="1" t="s">
        <v>54</v>
      </c>
      <c r="I2118" s="1" t="s">
        <v>558</v>
      </c>
      <c r="J2118" s="1">
        <v>8</v>
      </c>
      <c r="K2118" s="3">
        <v>24512.47</v>
      </c>
      <c r="L2118" s="1">
        <v>5</v>
      </c>
      <c r="M2118" s="1" t="s">
        <v>22</v>
      </c>
      <c r="N2118" s="10" t="s">
        <v>45</v>
      </c>
      <c r="Q2118"/>
    </row>
    <row r="2119" spans="1:17" x14ac:dyDescent="0.25">
      <c r="A2119" s="9" t="s">
        <v>3151</v>
      </c>
      <c r="B2119" s="2">
        <v>45087</v>
      </c>
      <c r="C2119" s="1" t="s">
        <v>1697</v>
      </c>
      <c r="D2119" s="1" t="s">
        <v>147</v>
      </c>
      <c r="E2119" s="1" t="s">
        <v>41</v>
      </c>
      <c r="F2119" s="1" t="s">
        <v>49</v>
      </c>
      <c r="G2119" s="1" t="s">
        <v>42</v>
      </c>
      <c r="H2119" s="1" t="s">
        <v>61</v>
      </c>
      <c r="I2119" s="1" t="s">
        <v>317</v>
      </c>
      <c r="J2119" s="1">
        <v>1</v>
      </c>
      <c r="K2119" s="3">
        <v>784.06</v>
      </c>
      <c r="L2119" s="1">
        <v>15</v>
      </c>
      <c r="M2119" s="1" t="s">
        <v>56</v>
      </c>
      <c r="N2119" s="10" t="s">
        <v>23</v>
      </c>
      <c r="Q2119"/>
    </row>
    <row r="2120" spans="1:17" x14ac:dyDescent="0.25">
      <c r="A2120" s="9" t="s">
        <v>3152</v>
      </c>
      <c r="B2120" s="2">
        <v>44965</v>
      </c>
      <c r="C2120" s="1" t="s">
        <v>2218</v>
      </c>
      <c r="D2120" s="1" t="s">
        <v>71</v>
      </c>
      <c r="E2120" s="1" t="s">
        <v>27</v>
      </c>
      <c r="F2120" s="1" t="s">
        <v>82</v>
      </c>
      <c r="G2120" s="1" t="s">
        <v>19</v>
      </c>
      <c r="H2120" s="1" t="s">
        <v>20</v>
      </c>
      <c r="I2120" s="1" t="s">
        <v>130</v>
      </c>
      <c r="J2120" s="1">
        <v>6</v>
      </c>
      <c r="K2120" s="3">
        <v>5209.3500000000004</v>
      </c>
      <c r="L2120" s="1">
        <v>0</v>
      </c>
      <c r="M2120" s="1" t="s">
        <v>36</v>
      </c>
      <c r="N2120" s="10" t="s">
        <v>74</v>
      </c>
      <c r="Q2120"/>
    </row>
    <row r="2121" spans="1:17" x14ac:dyDescent="0.25">
      <c r="A2121" s="9" t="s">
        <v>3153</v>
      </c>
      <c r="B2121" s="2">
        <v>44971</v>
      </c>
      <c r="C2121" s="1" t="s">
        <v>298</v>
      </c>
      <c r="D2121" s="1" t="s">
        <v>40</v>
      </c>
      <c r="E2121" s="1" t="s">
        <v>17</v>
      </c>
      <c r="F2121" s="1" t="s">
        <v>60</v>
      </c>
      <c r="G2121" s="1" t="s">
        <v>19</v>
      </c>
      <c r="H2121" s="1" t="s">
        <v>20</v>
      </c>
      <c r="I2121" s="1" t="s">
        <v>928</v>
      </c>
      <c r="J2121" s="1">
        <v>2</v>
      </c>
      <c r="K2121" s="3">
        <v>2688.77</v>
      </c>
      <c r="L2121" s="1">
        <v>5</v>
      </c>
      <c r="M2121" s="1" t="s">
        <v>22</v>
      </c>
      <c r="N2121" s="10" t="s">
        <v>74</v>
      </c>
      <c r="Q2121"/>
    </row>
    <row r="2122" spans="1:17" x14ac:dyDescent="0.25">
      <c r="A2122" s="9" t="s">
        <v>3154</v>
      </c>
      <c r="B2122" s="2">
        <v>45646</v>
      </c>
      <c r="C2122" s="1" t="s">
        <v>1713</v>
      </c>
      <c r="D2122" s="1" t="s">
        <v>33</v>
      </c>
      <c r="E2122" s="1" t="s">
        <v>17</v>
      </c>
      <c r="F2122" s="1" t="s">
        <v>28</v>
      </c>
      <c r="G2122" s="1" t="s">
        <v>42</v>
      </c>
      <c r="H2122" s="1" t="s">
        <v>43</v>
      </c>
      <c r="I2122" s="1" t="s">
        <v>244</v>
      </c>
      <c r="J2122" s="1">
        <v>8</v>
      </c>
      <c r="K2122" s="3">
        <v>4761.51</v>
      </c>
      <c r="L2122" s="1">
        <v>10</v>
      </c>
      <c r="M2122" s="1" t="s">
        <v>63</v>
      </c>
      <c r="N2122" s="10" t="s">
        <v>37</v>
      </c>
      <c r="Q2122"/>
    </row>
    <row r="2123" spans="1:17" x14ac:dyDescent="0.25">
      <c r="A2123" s="9" t="s">
        <v>3155</v>
      </c>
      <c r="B2123" s="2">
        <v>45207</v>
      </c>
      <c r="C2123" s="1" t="s">
        <v>1178</v>
      </c>
      <c r="D2123" s="1" t="s">
        <v>81</v>
      </c>
      <c r="E2123" s="1" t="s">
        <v>27</v>
      </c>
      <c r="F2123" s="1" t="s">
        <v>28</v>
      </c>
      <c r="G2123" s="1" t="s">
        <v>19</v>
      </c>
      <c r="H2123" s="1" t="s">
        <v>29</v>
      </c>
      <c r="I2123" s="1" t="s">
        <v>30</v>
      </c>
      <c r="J2123" s="1">
        <v>5</v>
      </c>
      <c r="K2123" s="3">
        <v>21547.54</v>
      </c>
      <c r="L2123" s="1">
        <v>0</v>
      </c>
      <c r="M2123" s="1" t="s">
        <v>63</v>
      </c>
      <c r="N2123" s="10" t="s">
        <v>23</v>
      </c>
      <c r="Q2123"/>
    </row>
    <row r="2124" spans="1:17" x14ac:dyDescent="0.25">
      <c r="A2124" s="9" t="s">
        <v>3156</v>
      </c>
      <c r="B2124" s="2">
        <v>45328</v>
      </c>
      <c r="C2124" s="1" t="s">
        <v>1640</v>
      </c>
      <c r="D2124" s="1" t="s">
        <v>33</v>
      </c>
      <c r="E2124" s="1" t="s">
        <v>59</v>
      </c>
      <c r="F2124" s="1" t="s">
        <v>82</v>
      </c>
      <c r="G2124" s="1" t="s">
        <v>42</v>
      </c>
      <c r="H2124" s="1" t="s">
        <v>61</v>
      </c>
      <c r="I2124" s="1" t="s">
        <v>317</v>
      </c>
      <c r="J2124" s="1">
        <v>5</v>
      </c>
      <c r="K2124" s="3">
        <v>10357.219999999999</v>
      </c>
      <c r="L2124" s="1">
        <v>0</v>
      </c>
      <c r="M2124" s="1" t="s">
        <v>22</v>
      </c>
      <c r="N2124" s="10" t="s">
        <v>64</v>
      </c>
      <c r="Q2124"/>
    </row>
    <row r="2125" spans="1:17" x14ac:dyDescent="0.25">
      <c r="A2125" s="9" t="s">
        <v>3157</v>
      </c>
      <c r="B2125" s="2">
        <v>45336</v>
      </c>
      <c r="C2125" s="1" t="s">
        <v>1474</v>
      </c>
      <c r="D2125" s="1" t="s">
        <v>67</v>
      </c>
      <c r="E2125" s="1" t="s">
        <v>72</v>
      </c>
      <c r="F2125" s="1" t="s">
        <v>88</v>
      </c>
      <c r="G2125" s="1" t="s">
        <v>42</v>
      </c>
      <c r="H2125" s="1" t="s">
        <v>43</v>
      </c>
      <c r="I2125" s="1" t="s">
        <v>491</v>
      </c>
      <c r="J2125" s="1">
        <v>7</v>
      </c>
      <c r="K2125" s="3">
        <v>34652.120000000003</v>
      </c>
      <c r="L2125" s="1">
        <v>0</v>
      </c>
      <c r="M2125" s="1" t="s">
        <v>56</v>
      </c>
      <c r="N2125" s="10" t="s">
        <v>23</v>
      </c>
      <c r="Q2125"/>
    </row>
    <row r="2126" spans="1:17" x14ac:dyDescent="0.25">
      <c r="A2126" s="9" t="s">
        <v>3158</v>
      </c>
      <c r="B2126" s="2">
        <v>45642</v>
      </c>
      <c r="C2126" s="1" t="s">
        <v>2965</v>
      </c>
      <c r="D2126" s="1" t="s">
        <v>16</v>
      </c>
      <c r="E2126" s="1" t="s">
        <v>59</v>
      </c>
      <c r="F2126" s="1" t="s">
        <v>60</v>
      </c>
      <c r="G2126" s="1" t="s">
        <v>19</v>
      </c>
      <c r="H2126" s="1" t="s">
        <v>20</v>
      </c>
      <c r="I2126" s="1" t="s">
        <v>213</v>
      </c>
      <c r="J2126" s="1">
        <v>6</v>
      </c>
      <c r="K2126" s="3">
        <v>7542.33</v>
      </c>
      <c r="L2126" s="1">
        <v>10</v>
      </c>
      <c r="M2126" s="1" t="s">
        <v>56</v>
      </c>
      <c r="N2126" s="10" t="s">
        <v>64</v>
      </c>
      <c r="Q2126"/>
    </row>
    <row r="2127" spans="1:17" x14ac:dyDescent="0.25">
      <c r="A2127" s="9" t="s">
        <v>3159</v>
      </c>
      <c r="B2127" s="2">
        <v>45485</v>
      </c>
      <c r="C2127" s="1" t="s">
        <v>879</v>
      </c>
      <c r="D2127" s="1" t="s">
        <v>16</v>
      </c>
      <c r="E2127" s="1" t="s">
        <v>27</v>
      </c>
      <c r="F2127" s="1" t="s">
        <v>18</v>
      </c>
      <c r="G2127" s="1" t="s">
        <v>19</v>
      </c>
      <c r="H2127" s="1" t="s">
        <v>29</v>
      </c>
      <c r="I2127" s="1" t="s">
        <v>452</v>
      </c>
      <c r="J2127" s="1">
        <v>7</v>
      </c>
      <c r="K2127" s="3">
        <v>22650.59</v>
      </c>
      <c r="L2127" s="1">
        <v>20</v>
      </c>
      <c r="M2127" s="1" t="s">
        <v>36</v>
      </c>
      <c r="N2127" s="10" t="s">
        <v>74</v>
      </c>
      <c r="Q2127"/>
    </row>
    <row r="2128" spans="1:17" x14ac:dyDescent="0.25">
      <c r="A2128" s="9" t="s">
        <v>3160</v>
      </c>
      <c r="B2128" s="2">
        <v>45339</v>
      </c>
      <c r="C2128" s="1" t="s">
        <v>1564</v>
      </c>
      <c r="D2128" s="1" t="s">
        <v>147</v>
      </c>
      <c r="E2128" s="1" t="s">
        <v>41</v>
      </c>
      <c r="F2128" s="1" t="s">
        <v>18</v>
      </c>
      <c r="G2128" s="1" t="s">
        <v>19</v>
      </c>
      <c r="H2128" s="1" t="s">
        <v>20</v>
      </c>
      <c r="I2128" s="1" t="s">
        <v>187</v>
      </c>
      <c r="J2128" s="1">
        <v>2</v>
      </c>
      <c r="K2128" s="3">
        <v>6333.33</v>
      </c>
      <c r="L2128" s="1" t="s">
        <v>110</v>
      </c>
      <c r="M2128" s="1" t="s">
        <v>56</v>
      </c>
      <c r="N2128" s="10" t="s">
        <v>45</v>
      </c>
      <c r="Q2128"/>
    </row>
    <row r="2129" spans="1:17" x14ac:dyDescent="0.25">
      <c r="A2129" s="9" t="s">
        <v>3161</v>
      </c>
      <c r="B2129" s="2">
        <v>44929</v>
      </c>
      <c r="C2129" s="1" t="s">
        <v>661</v>
      </c>
      <c r="D2129" s="1" t="s">
        <v>40</v>
      </c>
      <c r="E2129" s="1" t="s">
        <v>72</v>
      </c>
      <c r="F2129" s="1" t="s">
        <v>99</v>
      </c>
      <c r="G2129" s="1" t="s">
        <v>19</v>
      </c>
      <c r="H2129" s="1" t="s">
        <v>20</v>
      </c>
      <c r="I2129" s="1" t="s">
        <v>391</v>
      </c>
      <c r="J2129" s="1">
        <v>3</v>
      </c>
      <c r="K2129" s="3">
        <v>10615.2</v>
      </c>
      <c r="L2129" s="1">
        <v>0</v>
      </c>
      <c r="M2129" s="1" t="s">
        <v>63</v>
      </c>
      <c r="N2129" s="10" t="s">
        <v>23</v>
      </c>
      <c r="Q2129"/>
    </row>
    <row r="2130" spans="1:17" x14ac:dyDescent="0.25">
      <c r="A2130" s="9" t="s">
        <v>3162</v>
      </c>
      <c r="B2130" s="2">
        <v>45148</v>
      </c>
      <c r="C2130" s="1" t="s">
        <v>1840</v>
      </c>
      <c r="D2130" s="1" t="s">
        <v>40</v>
      </c>
      <c r="E2130" s="1" t="s">
        <v>41</v>
      </c>
      <c r="F2130" s="1" t="s">
        <v>88</v>
      </c>
      <c r="G2130" s="1" t="s">
        <v>42</v>
      </c>
      <c r="H2130" s="1" t="s">
        <v>61</v>
      </c>
      <c r="I2130" s="1" t="s">
        <v>62</v>
      </c>
      <c r="J2130" s="1">
        <v>2</v>
      </c>
      <c r="K2130" s="3">
        <v>1682.72</v>
      </c>
      <c r="L2130" s="1">
        <v>15</v>
      </c>
      <c r="M2130" s="1" t="s">
        <v>93</v>
      </c>
      <c r="N2130" s="10" t="s">
        <v>31</v>
      </c>
      <c r="Q2130"/>
    </row>
    <row r="2131" spans="1:17" x14ac:dyDescent="0.25">
      <c r="A2131" s="9" t="s">
        <v>3163</v>
      </c>
      <c r="B2131" s="2">
        <v>45133</v>
      </c>
      <c r="C2131" s="1" t="s">
        <v>781</v>
      </c>
      <c r="D2131" s="1" t="s">
        <v>26</v>
      </c>
      <c r="E2131" s="1" t="s">
        <v>72</v>
      </c>
      <c r="F2131" s="1" t="s">
        <v>82</v>
      </c>
      <c r="G2131" s="1" t="s">
        <v>42</v>
      </c>
      <c r="H2131" s="1" t="s">
        <v>43</v>
      </c>
      <c r="I2131" s="1" t="s">
        <v>348</v>
      </c>
      <c r="J2131" s="1">
        <v>3</v>
      </c>
      <c r="K2131" s="3">
        <v>2415.79</v>
      </c>
      <c r="L2131" s="1">
        <v>15</v>
      </c>
      <c r="M2131" s="1" t="s">
        <v>36</v>
      </c>
      <c r="N2131" s="10" t="s">
        <v>74</v>
      </c>
      <c r="Q2131"/>
    </row>
    <row r="2132" spans="1:17" x14ac:dyDescent="0.25">
      <c r="A2132" s="9" t="s">
        <v>3164</v>
      </c>
      <c r="B2132" s="2">
        <v>45260</v>
      </c>
      <c r="C2132" s="1" t="s">
        <v>570</v>
      </c>
      <c r="D2132" s="1" t="s">
        <v>67</v>
      </c>
      <c r="E2132" s="1" t="s">
        <v>41</v>
      </c>
      <c r="F2132" s="1" t="s">
        <v>99</v>
      </c>
      <c r="G2132" s="1" t="s">
        <v>42</v>
      </c>
      <c r="H2132" s="1" t="s">
        <v>43</v>
      </c>
      <c r="I2132" s="1" t="s">
        <v>100</v>
      </c>
      <c r="J2132" s="1">
        <v>2</v>
      </c>
      <c r="K2132" s="3">
        <v>948.16</v>
      </c>
      <c r="L2132" s="1">
        <v>15</v>
      </c>
      <c r="M2132" s="1" t="s">
        <v>63</v>
      </c>
      <c r="N2132" s="10" t="s">
        <v>64</v>
      </c>
      <c r="Q2132"/>
    </row>
    <row r="2133" spans="1:17" x14ac:dyDescent="0.25">
      <c r="A2133" s="9" t="s">
        <v>3165</v>
      </c>
      <c r="B2133" s="2">
        <v>45318</v>
      </c>
      <c r="C2133" s="1" t="s">
        <v>1023</v>
      </c>
      <c r="D2133" s="1" t="s">
        <v>87</v>
      </c>
      <c r="E2133" s="1" t="s">
        <v>59</v>
      </c>
      <c r="F2133" s="1" t="s">
        <v>82</v>
      </c>
      <c r="G2133" s="1" t="s">
        <v>19</v>
      </c>
      <c r="H2133" s="1" t="s">
        <v>29</v>
      </c>
      <c r="I2133" s="1" t="s">
        <v>472</v>
      </c>
      <c r="J2133" s="1">
        <v>5</v>
      </c>
      <c r="K2133" s="3">
        <v>15041.34</v>
      </c>
      <c r="L2133" s="1">
        <v>0</v>
      </c>
      <c r="M2133" s="1" t="s">
        <v>93</v>
      </c>
      <c r="N2133" s="10" t="s">
        <v>74</v>
      </c>
      <c r="Q2133"/>
    </row>
    <row r="2134" spans="1:17" x14ac:dyDescent="0.25">
      <c r="A2134" s="9" t="s">
        <v>3166</v>
      </c>
      <c r="B2134" s="2">
        <v>45109</v>
      </c>
      <c r="C2134" s="1" t="s">
        <v>198</v>
      </c>
      <c r="D2134" s="1" t="s">
        <v>147</v>
      </c>
      <c r="E2134" s="1" t="s">
        <v>27</v>
      </c>
      <c r="F2134" s="1" t="s">
        <v>88</v>
      </c>
      <c r="G2134" s="1" t="s">
        <v>53</v>
      </c>
      <c r="H2134" s="1" t="s">
        <v>54</v>
      </c>
      <c r="I2134" s="1" t="s">
        <v>639</v>
      </c>
      <c r="J2134" s="1">
        <v>2</v>
      </c>
      <c r="K2134" s="3">
        <v>2033.76</v>
      </c>
      <c r="L2134" s="1">
        <v>5</v>
      </c>
      <c r="M2134" s="1" t="s">
        <v>69</v>
      </c>
      <c r="N2134" s="10" t="s">
        <v>64</v>
      </c>
      <c r="Q2134"/>
    </row>
    <row r="2135" spans="1:17" x14ac:dyDescent="0.25">
      <c r="A2135" s="9" t="s">
        <v>3167</v>
      </c>
      <c r="B2135" s="2">
        <v>45107</v>
      </c>
      <c r="C2135" s="1" t="s">
        <v>460</v>
      </c>
      <c r="D2135" s="1" t="s">
        <v>81</v>
      </c>
      <c r="E2135" s="1" t="s">
        <v>72</v>
      </c>
      <c r="F2135" s="1" t="s">
        <v>28</v>
      </c>
      <c r="G2135" s="1" t="s">
        <v>53</v>
      </c>
      <c r="H2135" s="1" t="s">
        <v>54</v>
      </c>
      <c r="I2135" s="1" t="s">
        <v>207</v>
      </c>
      <c r="J2135" s="1">
        <v>8</v>
      </c>
      <c r="K2135" s="3">
        <v>37448.97</v>
      </c>
      <c r="L2135" s="1">
        <v>5</v>
      </c>
      <c r="M2135" s="1" t="s">
        <v>93</v>
      </c>
      <c r="N2135" s="10" t="s">
        <v>23</v>
      </c>
      <c r="Q2135"/>
    </row>
    <row r="2136" spans="1:17" x14ac:dyDescent="0.25">
      <c r="A2136" s="9" t="s">
        <v>3168</v>
      </c>
      <c r="B2136" s="2">
        <v>45286</v>
      </c>
      <c r="C2136" s="1" t="s">
        <v>166</v>
      </c>
      <c r="D2136" s="1" t="s">
        <v>16</v>
      </c>
      <c r="E2136" s="1" t="s">
        <v>59</v>
      </c>
      <c r="F2136" s="1" t="s">
        <v>49</v>
      </c>
      <c r="G2136" s="1" t="s">
        <v>19</v>
      </c>
      <c r="H2136" s="1" t="s">
        <v>29</v>
      </c>
      <c r="I2136" s="1" t="s">
        <v>370</v>
      </c>
      <c r="J2136" s="1">
        <v>10</v>
      </c>
      <c r="K2136" s="3">
        <v>42263.93</v>
      </c>
      <c r="L2136" s="1">
        <v>20</v>
      </c>
      <c r="M2136" s="1" t="s">
        <v>22</v>
      </c>
      <c r="N2136" s="10" t="s">
        <v>37</v>
      </c>
      <c r="Q2136"/>
    </row>
    <row r="2137" spans="1:17" x14ac:dyDescent="0.25">
      <c r="A2137" s="9" t="s">
        <v>3169</v>
      </c>
      <c r="B2137" s="2">
        <v>45384</v>
      </c>
      <c r="C2137" s="1" t="s">
        <v>153</v>
      </c>
      <c r="D2137" s="1" t="s">
        <v>33</v>
      </c>
      <c r="E2137" s="1" t="s">
        <v>27</v>
      </c>
      <c r="F2137" s="1" t="s">
        <v>60</v>
      </c>
      <c r="G2137" s="1" t="s">
        <v>42</v>
      </c>
      <c r="H2137" s="1" t="s">
        <v>43</v>
      </c>
      <c r="I2137" s="1" t="s">
        <v>274</v>
      </c>
      <c r="J2137" s="1">
        <v>9</v>
      </c>
      <c r="K2137" s="3">
        <v>5054.21</v>
      </c>
      <c r="L2137" s="1">
        <v>10</v>
      </c>
      <c r="M2137" s="1" t="s">
        <v>63</v>
      </c>
      <c r="N2137" s="10" t="s">
        <v>31</v>
      </c>
      <c r="Q2137"/>
    </row>
    <row r="2138" spans="1:17" x14ac:dyDescent="0.25">
      <c r="A2138" s="9" t="s">
        <v>3170</v>
      </c>
      <c r="B2138" s="2">
        <v>45145</v>
      </c>
      <c r="C2138" s="1" t="s">
        <v>435</v>
      </c>
      <c r="D2138" s="1" t="s">
        <v>52</v>
      </c>
      <c r="E2138" s="1" t="s">
        <v>59</v>
      </c>
      <c r="F2138" s="1" t="s">
        <v>18</v>
      </c>
      <c r="G2138" s="1" t="s">
        <v>42</v>
      </c>
      <c r="H2138" s="1" t="s">
        <v>61</v>
      </c>
      <c r="I2138" s="1" t="s">
        <v>115</v>
      </c>
      <c r="J2138" s="1">
        <v>10</v>
      </c>
      <c r="K2138" s="3">
        <v>28965.1</v>
      </c>
      <c r="L2138" s="1">
        <v>5</v>
      </c>
      <c r="M2138" s="1" t="s">
        <v>69</v>
      </c>
      <c r="N2138" s="10" t="s">
        <v>74</v>
      </c>
      <c r="Q2138"/>
    </row>
    <row r="2139" spans="1:17" x14ac:dyDescent="0.25">
      <c r="A2139" s="9" t="s">
        <v>3171</v>
      </c>
      <c r="B2139" s="2">
        <v>45654</v>
      </c>
      <c r="C2139" s="1" t="s">
        <v>507</v>
      </c>
      <c r="D2139" s="1" t="s">
        <v>40</v>
      </c>
      <c r="E2139" s="1" t="s">
        <v>41</v>
      </c>
      <c r="F2139" s="1" t="s">
        <v>99</v>
      </c>
      <c r="G2139" s="1" t="s">
        <v>19</v>
      </c>
      <c r="H2139" s="1" t="s">
        <v>29</v>
      </c>
      <c r="I2139" s="1" t="s">
        <v>885</v>
      </c>
      <c r="J2139" s="1">
        <v>2</v>
      </c>
      <c r="K2139" s="3">
        <v>7290.93</v>
      </c>
      <c r="L2139" s="1">
        <v>5</v>
      </c>
      <c r="M2139" s="1" t="s">
        <v>36</v>
      </c>
      <c r="N2139" s="10" t="s">
        <v>31</v>
      </c>
      <c r="Q2139"/>
    </row>
    <row r="2140" spans="1:17" x14ac:dyDescent="0.25">
      <c r="A2140" s="9" t="s">
        <v>3172</v>
      </c>
      <c r="B2140" s="2">
        <v>45325</v>
      </c>
      <c r="C2140" s="1" t="s">
        <v>2321</v>
      </c>
      <c r="D2140" s="1" t="s">
        <v>147</v>
      </c>
      <c r="E2140" s="1" t="s">
        <v>41</v>
      </c>
      <c r="F2140" s="1" t="s">
        <v>82</v>
      </c>
      <c r="G2140" s="1" t="s">
        <v>19</v>
      </c>
      <c r="H2140" s="1" t="s">
        <v>20</v>
      </c>
      <c r="I2140" s="1" t="s">
        <v>312</v>
      </c>
      <c r="J2140" s="1">
        <v>9</v>
      </c>
      <c r="K2140" s="3">
        <v>44210.84</v>
      </c>
      <c r="L2140" s="1">
        <v>5</v>
      </c>
      <c r="M2140" s="1" t="s">
        <v>69</v>
      </c>
      <c r="N2140" s="10" t="s">
        <v>74</v>
      </c>
      <c r="Q2140"/>
    </row>
    <row r="2141" spans="1:17" x14ac:dyDescent="0.25">
      <c r="A2141" s="9" t="s">
        <v>3173</v>
      </c>
      <c r="B2141" s="2">
        <v>45505</v>
      </c>
      <c r="C2141" s="1" t="s">
        <v>827</v>
      </c>
      <c r="D2141" s="1" t="s">
        <v>87</v>
      </c>
      <c r="E2141" s="1" t="s">
        <v>59</v>
      </c>
      <c r="F2141" s="1" t="s">
        <v>60</v>
      </c>
      <c r="G2141" s="1" t="s">
        <v>19</v>
      </c>
      <c r="H2141" s="1" t="s">
        <v>29</v>
      </c>
      <c r="I2141" s="1" t="s">
        <v>113</v>
      </c>
      <c r="J2141" s="1">
        <v>10</v>
      </c>
      <c r="K2141" s="3">
        <v>22641.64</v>
      </c>
      <c r="L2141" s="1" t="s">
        <v>110</v>
      </c>
      <c r="M2141" s="1" t="s">
        <v>93</v>
      </c>
      <c r="N2141" s="10" t="s">
        <v>45</v>
      </c>
      <c r="Q2141"/>
    </row>
    <row r="2142" spans="1:17" x14ac:dyDescent="0.25">
      <c r="A2142" s="9" t="s">
        <v>3174</v>
      </c>
      <c r="B2142" s="2">
        <v>45114</v>
      </c>
      <c r="C2142" s="1" t="s">
        <v>971</v>
      </c>
      <c r="D2142" s="1" t="s">
        <v>87</v>
      </c>
      <c r="E2142" s="1" t="s">
        <v>59</v>
      </c>
      <c r="F2142" s="1" t="s">
        <v>88</v>
      </c>
      <c r="G2142" s="1" t="s">
        <v>19</v>
      </c>
      <c r="H2142" s="1" t="s">
        <v>20</v>
      </c>
      <c r="I2142" s="1" t="s">
        <v>21</v>
      </c>
      <c r="J2142" s="1">
        <v>9</v>
      </c>
      <c r="K2142" s="3">
        <v>16150.28</v>
      </c>
      <c r="L2142" s="1" t="s">
        <v>110</v>
      </c>
      <c r="M2142" s="1" t="s">
        <v>69</v>
      </c>
      <c r="N2142" s="10" t="s">
        <v>23</v>
      </c>
      <c r="Q2142"/>
    </row>
    <row r="2143" spans="1:17" x14ac:dyDescent="0.25">
      <c r="A2143" s="9" t="s">
        <v>3175</v>
      </c>
      <c r="B2143" s="2">
        <v>45051</v>
      </c>
      <c r="C2143" s="1" t="s">
        <v>2838</v>
      </c>
      <c r="D2143" s="1" t="s">
        <v>87</v>
      </c>
      <c r="E2143" s="1" t="s">
        <v>72</v>
      </c>
      <c r="F2143" s="1" t="s">
        <v>99</v>
      </c>
      <c r="G2143" s="1" t="s">
        <v>42</v>
      </c>
      <c r="H2143" s="1" t="s">
        <v>61</v>
      </c>
      <c r="I2143" s="1" t="s">
        <v>250</v>
      </c>
      <c r="J2143" s="1">
        <v>1</v>
      </c>
      <c r="K2143" s="3">
        <v>2677</v>
      </c>
      <c r="L2143" s="1">
        <v>10</v>
      </c>
      <c r="M2143" s="1" t="s">
        <v>22</v>
      </c>
      <c r="N2143" s="10" t="s">
        <v>31</v>
      </c>
      <c r="Q2143"/>
    </row>
    <row r="2144" spans="1:17" x14ac:dyDescent="0.25">
      <c r="A2144" s="9" t="s">
        <v>3176</v>
      </c>
      <c r="B2144" s="2">
        <v>45526</v>
      </c>
      <c r="C2144" s="1" t="s">
        <v>2330</v>
      </c>
      <c r="D2144" s="1" t="s">
        <v>81</v>
      </c>
      <c r="E2144" s="1" t="s">
        <v>17</v>
      </c>
      <c r="F2144" s="1" t="s">
        <v>18</v>
      </c>
      <c r="G2144" s="1" t="s">
        <v>53</v>
      </c>
      <c r="H2144" s="1" t="s">
        <v>54</v>
      </c>
      <c r="I2144" s="1" t="s">
        <v>1272</v>
      </c>
      <c r="J2144" s="1">
        <v>7</v>
      </c>
      <c r="K2144" s="3">
        <v>19890.21</v>
      </c>
      <c r="L2144" s="1">
        <v>10</v>
      </c>
      <c r="M2144" s="1" t="s">
        <v>56</v>
      </c>
      <c r="N2144" s="10" t="s">
        <v>37</v>
      </c>
      <c r="Q2144"/>
    </row>
    <row r="2145" spans="1:17" x14ac:dyDescent="0.25">
      <c r="A2145" s="9" t="s">
        <v>3177</v>
      </c>
      <c r="B2145" s="2">
        <v>45542</v>
      </c>
      <c r="C2145" s="1" t="s">
        <v>146</v>
      </c>
      <c r="D2145" s="1" t="s">
        <v>71</v>
      </c>
      <c r="E2145" s="1" t="s">
        <v>34</v>
      </c>
      <c r="F2145" s="1" t="s">
        <v>82</v>
      </c>
      <c r="G2145" s="1" t="s">
        <v>19</v>
      </c>
      <c r="H2145" s="1" t="s">
        <v>29</v>
      </c>
      <c r="I2145" s="1" t="s">
        <v>472</v>
      </c>
      <c r="J2145" s="1">
        <v>6</v>
      </c>
      <c r="K2145" s="3">
        <v>12917.32</v>
      </c>
      <c r="L2145" s="1">
        <v>0</v>
      </c>
      <c r="M2145" s="1" t="s">
        <v>63</v>
      </c>
      <c r="N2145" s="10" t="s">
        <v>45</v>
      </c>
      <c r="Q2145"/>
    </row>
    <row r="2146" spans="1:17" x14ac:dyDescent="0.25">
      <c r="A2146" s="9" t="s">
        <v>3178</v>
      </c>
      <c r="B2146" s="2">
        <v>45012</v>
      </c>
      <c r="C2146" s="1" t="s">
        <v>1098</v>
      </c>
      <c r="D2146" s="1" t="s">
        <v>67</v>
      </c>
      <c r="E2146" s="1" t="s">
        <v>17</v>
      </c>
      <c r="F2146" s="1" t="s">
        <v>99</v>
      </c>
      <c r="G2146" s="1" t="s">
        <v>19</v>
      </c>
      <c r="H2146" s="1" t="s">
        <v>29</v>
      </c>
      <c r="I2146" s="1" t="s">
        <v>148</v>
      </c>
      <c r="J2146" s="1">
        <v>2</v>
      </c>
      <c r="K2146" s="3">
        <v>5542.23</v>
      </c>
      <c r="L2146" s="1">
        <v>0</v>
      </c>
      <c r="M2146" s="1" t="s">
        <v>63</v>
      </c>
      <c r="N2146" s="10" t="s">
        <v>37</v>
      </c>
      <c r="Q2146"/>
    </row>
    <row r="2147" spans="1:17" x14ac:dyDescent="0.25">
      <c r="A2147" s="9" t="s">
        <v>3179</v>
      </c>
      <c r="B2147" s="2">
        <v>45275</v>
      </c>
      <c r="C2147" s="1" t="s">
        <v>912</v>
      </c>
      <c r="D2147" s="1" t="s">
        <v>71</v>
      </c>
      <c r="E2147" s="1" t="s">
        <v>34</v>
      </c>
      <c r="F2147" s="1" t="s">
        <v>88</v>
      </c>
      <c r="G2147" s="1" t="s">
        <v>42</v>
      </c>
      <c r="H2147" s="1" t="s">
        <v>61</v>
      </c>
      <c r="I2147" s="1" t="s">
        <v>247</v>
      </c>
      <c r="J2147" s="1">
        <v>2</v>
      </c>
      <c r="K2147" s="3">
        <v>1525</v>
      </c>
      <c r="L2147" s="1" t="s">
        <v>110</v>
      </c>
      <c r="M2147" s="1" t="s">
        <v>63</v>
      </c>
      <c r="N2147" s="10" t="s">
        <v>74</v>
      </c>
      <c r="Q2147"/>
    </row>
    <row r="2148" spans="1:17" x14ac:dyDescent="0.25">
      <c r="A2148" s="9" t="s">
        <v>3180</v>
      </c>
      <c r="B2148" s="2">
        <v>45365</v>
      </c>
      <c r="C2148" s="1" t="s">
        <v>1414</v>
      </c>
      <c r="D2148" s="1" t="s">
        <v>118</v>
      </c>
      <c r="E2148" s="1" t="s">
        <v>34</v>
      </c>
      <c r="F2148" s="1" t="s">
        <v>28</v>
      </c>
      <c r="G2148" s="1" t="s">
        <v>53</v>
      </c>
      <c r="H2148" s="1" t="s">
        <v>54</v>
      </c>
      <c r="I2148" s="1" t="s">
        <v>1334</v>
      </c>
      <c r="J2148" s="1">
        <v>6</v>
      </c>
      <c r="K2148" s="3">
        <v>3678.9</v>
      </c>
      <c r="L2148" s="1">
        <v>15</v>
      </c>
      <c r="M2148" s="1" t="s">
        <v>36</v>
      </c>
      <c r="N2148" s="10" t="s">
        <v>45</v>
      </c>
      <c r="Q2148"/>
    </row>
    <row r="2149" spans="1:17" x14ac:dyDescent="0.25">
      <c r="A2149" s="9" t="s">
        <v>3181</v>
      </c>
      <c r="B2149" s="2">
        <v>45367</v>
      </c>
      <c r="C2149" s="1" t="s">
        <v>757</v>
      </c>
      <c r="D2149" s="1" t="s">
        <v>26</v>
      </c>
      <c r="E2149" s="1" t="s">
        <v>17</v>
      </c>
      <c r="F2149" s="1" t="s">
        <v>99</v>
      </c>
      <c r="G2149" s="1" t="s">
        <v>19</v>
      </c>
      <c r="H2149" s="1" t="s">
        <v>20</v>
      </c>
      <c r="I2149" s="1" t="s">
        <v>239</v>
      </c>
      <c r="J2149" s="1">
        <v>3</v>
      </c>
      <c r="K2149" s="3">
        <v>6477.98</v>
      </c>
      <c r="L2149" s="1">
        <v>10</v>
      </c>
      <c r="M2149" s="1" t="s">
        <v>36</v>
      </c>
      <c r="N2149" s="10" t="s">
        <v>45</v>
      </c>
      <c r="Q2149"/>
    </row>
    <row r="2150" spans="1:17" x14ac:dyDescent="0.25">
      <c r="A2150" s="9" t="s">
        <v>3182</v>
      </c>
      <c r="B2150" s="2">
        <v>45074</v>
      </c>
      <c r="C2150" s="1" t="s">
        <v>1916</v>
      </c>
      <c r="D2150" s="1" t="s">
        <v>81</v>
      </c>
      <c r="E2150" s="1" t="s">
        <v>17</v>
      </c>
      <c r="F2150" s="1" t="s">
        <v>99</v>
      </c>
      <c r="G2150" s="1" t="s">
        <v>83</v>
      </c>
      <c r="H2150" s="1" t="s">
        <v>43</v>
      </c>
      <c r="I2150" s="1" t="s">
        <v>572</v>
      </c>
      <c r="J2150" s="1">
        <v>10</v>
      </c>
      <c r="K2150" s="3">
        <v>24950.67</v>
      </c>
      <c r="L2150" s="1">
        <v>0</v>
      </c>
      <c r="M2150" s="1" t="s">
        <v>56</v>
      </c>
      <c r="N2150" s="10" t="s">
        <v>37</v>
      </c>
      <c r="Q2150"/>
    </row>
    <row r="2151" spans="1:17" x14ac:dyDescent="0.25">
      <c r="A2151" s="9" t="s">
        <v>3183</v>
      </c>
      <c r="B2151" s="2">
        <v>45464</v>
      </c>
      <c r="C2151" s="1" t="s">
        <v>711</v>
      </c>
      <c r="D2151" s="1" t="s">
        <v>67</v>
      </c>
      <c r="E2151" s="1" t="s">
        <v>27</v>
      </c>
      <c r="F2151" s="1" t="s">
        <v>28</v>
      </c>
      <c r="G2151" s="1" t="s">
        <v>42</v>
      </c>
      <c r="H2151" s="1" t="s">
        <v>61</v>
      </c>
      <c r="I2151" s="1" t="s">
        <v>151</v>
      </c>
      <c r="J2151" s="1">
        <v>4</v>
      </c>
      <c r="K2151" s="3">
        <v>9249.81</v>
      </c>
      <c r="L2151" s="1">
        <v>5</v>
      </c>
      <c r="M2151" s="1" t="s">
        <v>36</v>
      </c>
      <c r="N2151" s="10" t="s">
        <v>31</v>
      </c>
      <c r="Q2151"/>
    </row>
    <row r="2152" spans="1:17" x14ac:dyDescent="0.25">
      <c r="A2152" s="9" t="s">
        <v>3184</v>
      </c>
      <c r="B2152" s="2">
        <v>45563</v>
      </c>
      <c r="C2152" s="1" t="s">
        <v>920</v>
      </c>
      <c r="D2152" s="1" t="s">
        <v>52</v>
      </c>
      <c r="E2152" s="1" t="s">
        <v>34</v>
      </c>
      <c r="F2152" s="1" t="s">
        <v>60</v>
      </c>
      <c r="G2152" s="1" t="s">
        <v>42</v>
      </c>
      <c r="H2152" s="1" t="s">
        <v>61</v>
      </c>
      <c r="I2152" s="1" t="s">
        <v>250</v>
      </c>
      <c r="J2152" s="1">
        <v>4</v>
      </c>
      <c r="K2152" s="3">
        <v>13235.21</v>
      </c>
      <c r="L2152" s="1" t="s">
        <v>110</v>
      </c>
      <c r="M2152" s="1" t="s">
        <v>93</v>
      </c>
      <c r="N2152" s="10" t="s">
        <v>31</v>
      </c>
      <c r="Q2152"/>
    </row>
    <row r="2153" spans="1:17" x14ac:dyDescent="0.25">
      <c r="A2153" s="9" t="s">
        <v>3185</v>
      </c>
      <c r="B2153" s="2">
        <v>45629</v>
      </c>
      <c r="C2153" s="1" t="s">
        <v>3070</v>
      </c>
      <c r="D2153" s="1" t="s">
        <v>67</v>
      </c>
      <c r="E2153" s="1" t="s">
        <v>17</v>
      </c>
      <c r="F2153" s="1" t="s">
        <v>99</v>
      </c>
      <c r="G2153" s="1" t="s">
        <v>42</v>
      </c>
      <c r="H2153" s="1" t="s">
        <v>61</v>
      </c>
      <c r="I2153" s="1" t="s">
        <v>106</v>
      </c>
      <c r="J2153" s="1">
        <v>7</v>
      </c>
      <c r="K2153" s="3">
        <v>6652.34</v>
      </c>
      <c r="L2153" s="1">
        <v>5</v>
      </c>
      <c r="M2153" s="1" t="s">
        <v>63</v>
      </c>
      <c r="N2153" s="10" t="s">
        <v>45</v>
      </c>
      <c r="Q2153"/>
    </row>
    <row r="2154" spans="1:17" x14ac:dyDescent="0.25">
      <c r="A2154" s="9" t="s">
        <v>3186</v>
      </c>
      <c r="B2154" s="2">
        <v>45403</v>
      </c>
      <c r="C2154" s="1" t="s">
        <v>2088</v>
      </c>
      <c r="D2154" s="1" t="s">
        <v>87</v>
      </c>
      <c r="E2154" s="1" t="s">
        <v>72</v>
      </c>
      <c r="F2154" s="1" t="s">
        <v>49</v>
      </c>
      <c r="G2154" s="1" t="s">
        <v>19</v>
      </c>
      <c r="H2154" s="1" t="s">
        <v>29</v>
      </c>
      <c r="I2154" s="1" t="s">
        <v>141</v>
      </c>
      <c r="J2154" s="1">
        <v>2</v>
      </c>
      <c r="K2154" s="3">
        <v>322.38</v>
      </c>
      <c r="L2154" s="1">
        <v>15</v>
      </c>
      <c r="M2154" s="1" t="s">
        <v>63</v>
      </c>
      <c r="N2154" s="10" t="s">
        <v>45</v>
      </c>
      <c r="Q2154"/>
    </row>
    <row r="2155" spans="1:17" x14ac:dyDescent="0.25">
      <c r="A2155" s="9" t="s">
        <v>3187</v>
      </c>
      <c r="B2155" s="2">
        <v>45504</v>
      </c>
      <c r="C2155" s="1" t="s">
        <v>2119</v>
      </c>
      <c r="D2155" s="1" t="s">
        <v>436</v>
      </c>
      <c r="E2155" s="1" t="s">
        <v>59</v>
      </c>
      <c r="F2155" s="1" t="s">
        <v>82</v>
      </c>
      <c r="G2155" s="1" t="s">
        <v>42</v>
      </c>
      <c r="H2155" s="1" t="s">
        <v>43</v>
      </c>
      <c r="I2155" s="1" t="s">
        <v>488</v>
      </c>
      <c r="J2155" s="1">
        <v>9</v>
      </c>
      <c r="K2155" s="3">
        <v>38978.9</v>
      </c>
      <c r="L2155" s="1" t="s">
        <v>110</v>
      </c>
      <c r="M2155" s="1" t="s">
        <v>22</v>
      </c>
      <c r="N2155" s="10" t="s">
        <v>37</v>
      </c>
      <c r="Q2155"/>
    </row>
    <row r="2156" spans="1:17" x14ac:dyDescent="0.25">
      <c r="A2156" s="9" t="s">
        <v>3188</v>
      </c>
      <c r="B2156" s="2">
        <v>45390</v>
      </c>
      <c r="C2156" s="1" t="s">
        <v>1050</v>
      </c>
      <c r="D2156" s="1" t="s">
        <v>26</v>
      </c>
      <c r="E2156" s="1" t="s">
        <v>72</v>
      </c>
      <c r="F2156" s="1" t="s">
        <v>18</v>
      </c>
      <c r="G2156" s="1" t="s">
        <v>42</v>
      </c>
      <c r="H2156" s="1" t="s">
        <v>43</v>
      </c>
      <c r="I2156" s="1" t="s">
        <v>336</v>
      </c>
      <c r="J2156" s="1">
        <v>10</v>
      </c>
      <c r="K2156" s="3">
        <v>13619.53</v>
      </c>
      <c r="L2156" s="1">
        <v>0</v>
      </c>
      <c r="M2156" s="1" t="s">
        <v>93</v>
      </c>
      <c r="N2156" s="10" t="s">
        <v>37</v>
      </c>
      <c r="Q2156"/>
    </row>
    <row r="2157" spans="1:17" x14ac:dyDescent="0.25">
      <c r="A2157" s="9" t="s">
        <v>3189</v>
      </c>
      <c r="B2157" s="2">
        <v>45303</v>
      </c>
      <c r="C2157" s="1" t="s">
        <v>1392</v>
      </c>
      <c r="D2157" s="1" t="s">
        <v>87</v>
      </c>
      <c r="E2157" s="1" t="s">
        <v>72</v>
      </c>
      <c r="F2157" s="1" t="s">
        <v>28</v>
      </c>
      <c r="G2157" s="1" t="s">
        <v>19</v>
      </c>
      <c r="H2157" s="1" t="s">
        <v>20</v>
      </c>
      <c r="I2157" s="1" t="s">
        <v>391</v>
      </c>
      <c r="J2157" s="1">
        <v>4</v>
      </c>
      <c r="K2157" s="3">
        <v>19304.73</v>
      </c>
      <c r="L2157" s="1">
        <v>5</v>
      </c>
      <c r="M2157" s="1" t="s">
        <v>22</v>
      </c>
      <c r="N2157" s="10" t="s">
        <v>37</v>
      </c>
      <c r="Q2157"/>
    </row>
    <row r="2158" spans="1:17" x14ac:dyDescent="0.25">
      <c r="A2158" s="9" t="s">
        <v>3190</v>
      </c>
      <c r="B2158" s="2">
        <v>45081</v>
      </c>
      <c r="C2158" s="1" t="s">
        <v>2770</v>
      </c>
      <c r="D2158" s="1" t="s">
        <v>26</v>
      </c>
      <c r="E2158" s="1" t="s">
        <v>41</v>
      </c>
      <c r="F2158" s="1" t="s">
        <v>88</v>
      </c>
      <c r="G2158" s="1" t="s">
        <v>53</v>
      </c>
      <c r="H2158" s="1" t="s">
        <v>54</v>
      </c>
      <c r="I2158" s="1" t="s">
        <v>132</v>
      </c>
      <c r="J2158" s="1">
        <v>4</v>
      </c>
      <c r="K2158" s="3">
        <v>15361.19</v>
      </c>
      <c r="L2158" s="1">
        <v>5</v>
      </c>
      <c r="M2158" s="1" t="s">
        <v>36</v>
      </c>
      <c r="N2158" s="10" t="s">
        <v>74</v>
      </c>
      <c r="Q2158"/>
    </row>
    <row r="2159" spans="1:17" x14ac:dyDescent="0.25">
      <c r="A2159" s="9" t="s">
        <v>3191</v>
      </c>
      <c r="B2159" s="2">
        <v>45018</v>
      </c>
      <c r="C2159" s="1" t="s">
        <v>560</v>
      </c>
      <c r="D2159" s="1" t="s">
        <v>16</v>
      </c>
      <c r="E2159" s="1" t="s">
        <v>17</v>
      </c>
      <c r="F2159" s="1" t="s">
        <v>82</v>
      </c>
      <c r="G2159" s="1" t="s">
        <v>42</v>
      </c>
      <c r="H2159" s="1" t="s">
        <v>61</v>
      </c>
      <c r="I2159" s="1" t="s">
        <v>667</v>
      </c>
      <c r="J2159" s="1">
        <v>10</v>
      </c>
      <c r="K2159" s="3">
        <v>6921.28</v>
      </c>
      <c r="L2159" s="1">
        <v>5</v>
      </c>
      <c r="M2159" s="1" t="s">
        <v>63</v>
      </c>
      <c r="N2159" s="10" t="s">
        <v>37</v>
      </c>
      <c r="Q2159"/>
    </row>
    <row r="2160" spans="1:17" x14ac:dyDescent="0.25">
      <c r="A2160" s="9" t="s">
        <v>3192</v>
      </c>
      <c r="B2160" s="2">
        <v>45528</v>
      </c>
      <c r="C2160" s="1" t="s">
        <v>2752</v>
      </c>
      <c r="D2160" s="1" t="s">
        <v>192</v>
      </c>
      <c r="E2160" s="1" t="s">
        <v>34</v>
      </c>
      <c r="F2160" s="1" t="s">
        <v>99</v>
      </c>
      <c r="G2160" s="1" t="s">
        <v>53</v>
      </c>
      <c r="H2160" s="1" t="s">
        <v>54</v>
      </c>
      <c r="I2160" s="1" t="s">
        <v>109</v>
      </c>
      <c r="J2160" s="1">
        <v>2</v>
      </c>
      <c r="K2160" s="3">
        <v>665.2</v>
      </c>
      <c r="L2160" s="1">
        <v>20</v>
      </c>
      <c r="M2160" s="1" t="s">
        <v>93</v>
      </c>
      <c r="N2160" s="10" t="s">
        <v>31</v>
      </c>
      <c r="Q2160"/>
    </row>
    <row r="2161" spans="1:17" x14ac:dyDescent="0.25">
      <c r="A2161" s="9" t="s">
        <v>3193</v>
      </c>
      <c r="B2161" s="2">
        <v>45435</v>
      </c>
      <c r="C2161" s="1" t="s">
        <v>3122</v>
      </c>
      <c r="D2161" s="1" t="s">
        <v>26</v>
      </c>
      <c r="E2161" s="1" t="s">
        <v>17</v>
      </c>
      <c r="F2161" s="1" t="s">
        <v>99</v>
      </c>
      <c r="G2161" s="1" t="s">
        <v>42</v>
      </c>
      <c r="H2161" s="1" t="s">
        <v>61</v>
      </c>
      <c r="I2161" s="1" t="s">
        <v>185</v>
      </c>
      <c r="J2161" s="1">
        <v>5</v>
      </c>
      <c r="K2161" s="3">
        <v>3529</v>
      </c>
      <c r="L2161" s="1">
        <v>5</v>
      </c>
      <c r="M2161" s="1" t="s">
        <v>93</v>
      </c>
      <c r="N2161" s="10" t="s">
        <v>31</v>
      </c>
      <c r="Q2161"/>
    </row>
    <row r="2162" spans="1:17" x14ac:dyDescent="0.25">
      <c r="A2162" s="9" t="s">
        <v>3194</v>
      </c>
      <c r="B2162" s="2">
        <v>45507</v>
      </c>
      <c r="C2162" s="1" t="s">
        <v>2565</v>
      </c>
      <c r="D2162" s="1" t="s">
        <v>67</v>
      </c>
      <c r="E2162" s="1" t="s">
        <v>34</v>
      </c>
      <c r="F2162" s="1" t="s">
        <v>99</v>
      </c>
      <c r="G2162" s="1" t="s">
        <v>42</v>
      </c>
      <c r="H2162" s="1" t="s">
        <v>61</v>
      </c>
      <c r="I2162" s="1" t="s">
        <v>294</v>
      </c>
      <c r="J2162" s="1">
        <v>4</v>
      </c>
      <c r="K2162" s="3">
        <v>11145.03</v>
      </c>
      <c r="L2162" s="1">
        <v>15</v>
      </c>
      <c r="M2162" s="1" t="s">
        <v>56</v>
      </c>
      <c r="N2162" s="10" t="s">
        <v>45</v>
      </c>
      <c r="Q2162"/>
    </row>
    <row r="2163" spans="1:17" x14ac:dyDescent="0.25">
      <c r="A2163" s="9" t="s">
        <v>3195</v>
      </c>
      <c r="B2163" s="2">
        <v>44969</v>
      </c>
      <c r="C2163" s="1" t="s">
        <v>1076</v>
      </c>
      <c r="D2163" s="1" t="s">
        <v>40</v>
      </c>
      <c r="E2163" s="1" t="s">
        <v>72</v>
      </c>
      <c r="F2163" s="1" t="s">
        <v>82</v>
      </c>
      <c r="G2163" s="1" t="s">
        <v>42</v>
      </c>
      <c r="H2163" s="1" t="s">
        <v>61</v>
      </c>
      <c r="I2163" s="1" t="s">
        <v>529</v>
      </c>
      <c r="J2163" s="1">
        <v>-10</v>
      </c>
      <c r="K2163" s="3">
        <v>49508.480000000003</v>
      </c>
      <c r="L2163" s="1">
        <v>10</v>
      </c>
      <c r="M2163" s="1" t="s">
        <v>69</v>
      </c>
      <c r="N2163" s="10" t="s">
        <v>64</v>
      </c>
      <c r="Q2163"/>
    </row>
    <row r="2164" spans="1:17" x14ac:dyDescent="0.25">
      <c r="A2164" s="9" t="s">
        <v>3196</v>
      </c>
      <c r="B2164" s="2">
        <v>44969</v>
      </c>
      <c r="C2164" s="1" t="s">
        <v>3097</v>
      </c>
      <c r="D2164" s="1" t="s">
        <v>87</v>
      </c>
      <c r="E2164" s="1" t="s">
        <v>72</v>
      </c>
      <c r="F2164" s="1" t="s">
        <v>49</v>
      </c>
      <c r="G2164" s="1" t="s">
        <v>19</v>
      </c>
      <c r="H2164" s="1" t="s">
        <v>29</v>
      </c>
      <c r="I2164" s="1" t="s">
        <v>267</v>
      </c>
      <c r="J2164" s="1">
        <v>5</v>
      </c>
      <c r="K2164" s="3">
        <v>18659.28</v>
      </c>
      <c r="L2164" s="1">
        <v>5</v>
      </c>
      <c r="M2164" s="1" t="s">
        <v>56</v>
      </c>
      <c r="N2164" s="10" t="s">
        <v>45</v>
      </c>
      <c r="Q2164"/>
    </row>
    <row r="2165" spans="1:17" x14ac:dyDescent="0.25">
      <c r="A2165" s="9" t="s">
        <v>3197</v>
      </c>
      <c r="B2165" s="2">
        <v>45007</v>
      </c>
      <c r="C2165" s="1" t="s">
        <v>1545</v>
      </c>
      <c r="D2165" s="1" t="s">
        <v>67</v>
      </c>
      <c r="E2165" s="1" t="s">
        <v>41</v>
      </c>
      <c r="F2165" s="1" t="s">
        <v>88</v>
      </c>
      <c r="G2165" s="1" t="s">
        <v>42</v>
      </c>
      <c r="H2165" s="1" t="s">
        <v>61</v>
      </c>
      <c r="I2165" s="1" t="s">
        <v>1096</v>
      </c>
      <c r="J2165" s="1">
        <v>2</v>
      </c>
      <c r="K2165" s="3">
        <v>2286.8200000000002</v>
      </c>
      <c r="L2165" s="1">
        <v>5</v>
      </c>
      <c r="M2165" s="1" t="s">
        <v>93</v>
      </c>
      <c r="N2165" s="10" t="s">
        <v>23</v>
      </c>
      <c r="Q2165"/>
    </row>
    <row r="2166" spans="1:17" x14ac:dyDescent="0.25">
      <c r="A2166" s="9" t="s">
        <v>3198</v>
      </c>
      <c r="B2166" s="2">
        <v>45641</v>
      </c>
      <c r="C2166" s="1" t="s">
        <v>2565</v>
      </c>
      <c r="D2166" s="1" t="s">
        <v>52</v>
      </c>
      <c r="E2166" s="1" t="s">
        <v>17</v>
      </c>
      <c r="F2166" s="1" t="s">
        <v>49</v>
      </c>
      <c r="G2166" s="1" t="s">
        <v>53</v>
      </c>
      <c r="H2166" s="1" t="s">
        <v>54</v>
      </c>
      <c r="I2166" s="1" t="s">
        <v>55</v>
      </c>
      <c r="J2166" s="1">
        <v>7</v>
      </c>
      <c r="K2166" s="3">
        <v>26727.13</v>
      </c>
      <c r="L2166" s="1">
        <v>15</v>
      </c>
      <c r="M2166" s="1" t="s">
        <v>22</v>
      </c>
      <c r="N2166" s="10" t="s">
        <v>23</v>
      </c>
      <c r="Q2166"/>
    </row>
    <row r="2167" spans="1:17" x14ac:dyDescent="0.25">
      <c r="A2167" s="9" t="s">
        <v>3199</v>
      </c>
      <c r="B2167" s="2">
        <v>45294</v>
      </c>
      <c r="C2167" s="1" t="s">
        <v>203</v>
      </c>
      <c r="D2167" s="1" t="s">
        <v>52</v>
      </c>
      <c r="E2167" s="1" t="s">
        <v>41</v>
      </c>
      <c r="F2167" s="1" t="s">
        <v>99</v>
      </c>
      <c r="G2167" s="1" t="s">
        <v>42</v>
      </c>
      <c r="H2167" s="1" t="s">
        <v>43</v>
      </c>
      <c r="I2167" s="1" t="s">
        <v>572</v>
      </c>
      <c r="J2167" s="1">
        <v>5</v>
      </c>
      <c r="K2167" s="3">
        <v>11987.04</v>
      </c>
      <c r="L2167" s="1">
        <v>15</v>
      </c>
      <c r="M2167" s="1" t="s">
        <v>63</v>
      </c>
      <c r="N2167" s="10" t="s">
        <v>64</v>
      </c>
      <c r="Q2167"/>
    </row>
    <row r="2168" spans="1:17" x14ac:dyDescent="0.25">
      <c r="A2168" s="9" t="s">
        <v>3200</v>
      </c>
      <c r="B2168" s="2">
        <v>44975</v>
      </c>
      <c r="C2168" s="1" t="s">
        <v>951</v>
      </c>
      <c r="D2168" s="1" t="s">
        <v>40</v>
      </c>
      <c r="E2168" s="1" t="s">
        <v>34</v>
      </c>
      <c r="F2168" s="1" t="s">
        <v>99</v>
      </c>
      <c r="G2168" s="1" t="s">
        <v>19</v>
      </c>
      <c r="H2168" s="1" t="s">
        <v>20</v>
      </c>
      <c r="I2168" s="1" t="s">
        <v>21</v>
      </c>
      <c r="J2168" s="1">
        <v>3</v>
      </c>
      <c r="K2168" s="3">
        <v>14675.26</v>
      </c>
      <c r="L2168" s="1">
        <v>10</v>
      </c>
      <c r="M2168" s="1" t="s">
        <v>93</v>
      </c>
      <c r="N2168" s="10" t="s">
        <v>64</v>
      </c>
      <c r="Q2168"/>
    </row>
    <row r="2169" spans="1:17" x14ac:dyDescent="0.25">
      <c r="A2169" s="9" t="s">
        <v>3201</v>
      </c>
      <c r="B2169" s="2">
        <v>45654</v>
      </c>
      <c r="C2169" s="1" t="s">
        <v>429</v>
      </c>
      <c r="D2169" s="1" t="s">
        <v>26</v>
      </c>
      <c r="E2169" s="1" t="s">
        <v>72</v>
      </c>
      <c r="F2169" s="1" t="s">
        <v>82</v>
      </c>
      <c r="G2169" s="1" t="s">
        <v>83</v>
      </c>
      <c r="H2169" s="1" t="s">
        <v>43</v>
      </c>
      <c r="I2169" s="1" t="s">
        <v>288</v>
      </c>
      <c r="J2169" s="1">
        <v>1</v>
      </c>
      <c r="K2169" s="3">
        <v>4125.18</v>
      </c>
      <c r="L2169" s="1" t="s">
        <v>110</v>
      </c>
      <c r="M2169" s="1" t="s">
        <v>56</v>
      </c>
      <c r="N2169" s="10" t="s">
        <v>64</v>
      </c>
      <c r="Q2169"/>
    </row>
    <row r="2170" spans="1:17" x14ac:dyDescent="0.25">
      <c r="A2170" s="9" t="s">
        <v>3202</v>
      </c>
      <c r="B2170" s="2">
        <v>45354</v>
      </c>
      <c r="C2170" s="1" t="s">
        <v>290</v>
      </c>
      <c r="D2170" s="1" t="s">
        <v>67</v>
      </c>
      <c r="E2170" s="1" t="s">
        <v>34</v>
      </c>
      <c r="F2170" s="1" t="s">
        <v>49</v>
      </c>
      <c r="G2170" s="1" t="s">
        <v>83</v>
      </c>
      <c r="H2170" s="1" t="s">
        <v>43</v>
      </c>
      <c r="I2170" s="1" t="s">
        <v>348</v>
      </c>
      <c r="J2170" s="1">
        <v>8</v>
      </c>
      <c r="K2170" s="3">
        <v>20546.41</v>
      </c>
      <c r="L2170" s="1">
        <v>20</v>
      </c>
      <c r="M2170" s="1" t="s">
        <v>63</v>
      </c>
      <c r="N2170" s="10" t="s">
        <v>74</v>
      </c>
      <c r="Q2170"/>
    </row>
    <row r="2171" spans="1:17" x14ac:dyDescent="0.25">
      <c r="A2171" s="9" t="s">
        <v>3203</v>
      </c>
      <c r="B2171" s="2">
        <v>45400</v>
      </c>
      <c r="C2171" s="1" t="s">
        <v>1304</v>
      </c>
      <c r="D2171" s="1" t="s">
        <v>33</v>
      </c>
      <c r="E2171" s="1" t="s">
        <v>34</v>
      </c>
      <c r="F2171" s="1" t="s">
        <v>18</v>
      </c>
      <c r="G2171" s="1" t="s">
        <v>19</v>
      </c>
      <c r="H2171" s="1" t="s">
        <v>29</v>
      </c>
      <c r="I2171" s="1" t="s">
        <v>1215</v>
      </c>
      <c r="J2171" s="1">
        <v>1</v>
      </c>
      <c r="K2171" s="3">
        <v>2229.4</v>
      </c>
      <c r="L2171" s="1">
        <v>15</v>
      </c>
      <c r="M2171" s="1" t="s">
        <v>63</v>
      </c>
      <c r="N2171" s="10" t="s">
        <v>31</v>
      </c>
      <c r="Q2171"/>
    </row>
    <row r="2172" spans="1:17" x14ac:dyDescent="0.25">
      <c r="A2172" s="9" t="s">
        <v>3204</v>
      </c>
      <c r="B2172" s="2">
        <v>45122</v>
      </c>
      <c r="C2172" s="1" t="s">
        <v>3205</v>
      </c>
      <c r="D2172" s="1" t="s">
        <v>147</v>
      </c>
      <c r="E2172" s="1" t="s">
        <v>41</v>
      </c>
      <c r="F2172" s="1" t="s">
        <v>82</v>
      </c>
      <c r="G2172" s="1" t="s">
        <v>53</v>
      </c>
      <c r="H2172" s="1" t="s">
        <v>54</v>
      </c>
      <c r="I2172" s="1" t="s">
        <v>437</v>
      </c>
      <c r="J2172" s="1">
        <v>9</v>
      </c>
      <c r="K2172" s="3">
        <v>39038.71</v>
      </c>
      <c r="L2172" s="1">
        <v>10</v>
      </c>
      <c r="M2172" s="1" t="s">
        <v>22</v>
      </c>
      <c r="N2172" s="10" t="s">
        <v>37</v>
      </c>
      <c r="Q2172"/>
    </row>
    <row r="2173" spans="1:17" x14ac:dyDescent="0.25">
      <c r="A2173" s="9" t="s">
        <v>3206</v>
      </c>
      <c r="B2173" s="2">
        <v>45619</v>
      </c>
      <c r="C2173" s="1" t="s">
        <v>591</v>
      </c>
      <c r="D2173" s="1" t="s">
        <v>16</v>
      </c>
      <c r="E2173" s="1" t="s">
        <v>72</v>
      </c>
      <c r="F2173" s="1" t="s">
        <v>88</v>
      </c>
      <c r="G2173" s="1" t="s">
        <v>19</v>
      </c>
      <c r="H2173" s="1" t="s">
        <v>29</v>
      </c>
      <c r="I2173" s="1" t="s">
        <v>885</v>
      </c>
      <c r="J2173" s="1">
        <v>1</v>
      </c>
      <c r="K2173" s="3">
        <v>387.42</v>
      </c>
      <c r="L2173" s="1">
        <v>5</v>
      </c>
      <c r="M2173" s="1" t="s">
        <v>93</v>
      </c>
      <c r="N2173" s="10" t="s">
        <v>31</v>
      </c>
      <c r="Q2173"/>
    </row>
    <row r="2174" spans="1:17" x14ac:dyDescent="0.25">
      <c r="A2174" s="9" t="s">
        <v>3207</v>
      </c>
      <c r="B2174" s="2">
        <v>45280</v>
      </c>
      <c r="C2174" s="1" t="s">
        <v>1904</v>
      </c>
      <c r="D2174" s="1" t="s">
        <v>161</v>
      </c>
      <c r="E2174" s="1" t="s">
        <v>41</v>
      </c>
      <c r="F2174" s="1" t="s">
        <v>60</v>
      </c>
      <c r="G2174" s="1" t="s">
        <v>83</v>
      </c>
      <c r="H2174" s="1" t="s">
        <v>43</v>
      </c>
      <c r="I2174" s="1" t="s">
        <v>394</v>
      </c>
      <c r="J2174" s="1">
        <v>9</v>
      </c>
      <c r="K2174" s="3">
        <v>44246.25</v>
      </c>
      <c r="L2174" s="1" t="s">
        <v>110</v>
      </c>
      <c r="M2174" s="1" t="s">
        <v>93</v>
      </c>
      <c r="N2174" s="10" t="s">
        <v>74</v>
      </c>
      <c r="Q2174"/>
    </row>
    <row r="2175" spans="1:17" x14ac:dyDescent="0.25">
      <c r="A2175" s="9" t="s">
        <v>3208</v>
      </c>
      <c r="B2175" s="2">
        <v>45276</v>
      </c>
      <c r="C2175" s="1" t="s">
        <v>2678</v>
      </c>
      <c r="D2175" s="1" t="s">
        <v>33</v>
      </c>
      <c r="E2175" s="1" t="s">
        <v>17</v>
      </c>
      <c r="F2175" s="1" t="s">
        <v>28</v>
      </c>
      <c r="G2175" s="1" t="s">
        <v>53</v>
      </c>
      <c r="H2175" s="1" t="s">
        <v>54</v>
      </c>
      <c r="I2175" s="1" t="s">
        <v>73</v>
      </c>
      <c r="J2175" s="1">
        <v>1</v>
      </c>
      <c r="K2175" s="3">
        <v>4001.76</v>
      </c>
      <c r="L2175" s="1">
        <v>10</v>
      </c>
      <c r="M2175" s="1" t="s">
        <v>22</v>
      </c>
      <c r="N2175" s="10" t="s">
        <v>37</v>
      </c>
      <c r="Q2175"/>
    </row>
    <row r="2176" spans="1:17" x14ac:dyDescent="0.25">
      <c r="A2176" s="9" t="s">
        <v>3209</v>
      </c>
      <c r="B2176" s="2">
        <v>45203</v>
      </c>
      <c r="C2176" s="1" t="s">
        <v>1900</v>
      </c>
      <c r="D2176" s="1" t="s">
        <v>71</v>
      </c>
      <c r="E2176" s="1" t="s">
        <v>59</v>
      </c>
      <c r="F2176" s="1" t="s">
        <v>88</v>
      </c>
      <c r="G2176" s="1" t="s">
        <v>19</v>
      </c>
      <c r="H2176" s="1" t="s">
        <v>29</v>
      </c>
      <c r="I2176" s="1" t="s">
        <v>472</v>
      </c>
      <c r="J2176" s="1">
        <v>1</v>
      </c>
      <c r="K2176" s="3">
        <v>4629.3</v>
      </c>
      <c r="L2176" s="1" t="s">
        <v>110</v>
      </c>
      <c r="M2176" s="1" t="s">
        <v>93</v>
      </c>
      <c r="N2176" s="10" t="s">
        <v>37</v>
      </c>
      <c r="Q2176"/>
    </row>
    <row r="2177" spans="1:17" x14ac:dyDescent="0.25">
      <c r="A2177" s="9" t="s">
        <v>3210</v>
      </c>
      <c r="B2177" s="2">
        <v>45236</v>
      </c>
      <c r="C2177" s="1" t="s">
        <v>190</v>
      </c>
      <c r="D2177" s="1" t="s">
        <v>26</v>
      </c>
      <c r="E2177" s="1" t="s">
        <v>41</v>
      </c>
      <c r="F2177" s="1" t="s">
        <v>99</v>
      </c>
      <c r="G2177" s="1" t="s">
        <v>19</v>
      </c>
      <c r="H2177" s="1" t="s">
        <v>20</v>
      </c>
      <c r="I2177" s="1" t="s">
        <v>187</v>
      </c>
      <c r="J2177" s="1">
        <v>8</v>
      </c>
      <c r="K2177" s="3">
        <v>27493.93</v>
      </c>
      <c r="L2177" s="1">
        <v>10</v>
      </c>
      <c r="M2177" s="1" t="s">
        <v>36</v>
      </c>
      <c r="N2177" s="10" t="s">
        <v>37</v>
      </c>
      <c r="Q2177"/>
    </row>
    <row r="2178" spans="1:17" x14ac:dyDescent="0.25">
      <c r="A2178" s="9" t="s">
        <v>3211</v>
      </c>
      <c r="B2178" s="2">
        <v>45109</v>
      </c>
      <c r="C2178" s="1" t="s">
        <v>663</v>
      </c>
      <c r="D2178" s="1" t="s">
        <v>81</v>
      </c>
      <c r="E2178" s="1" t="s">
        <v>34</v>
      </c>
      <c r="F2178" s="1" t="s">
        <v>60</v>
      </c>
      <c r="G2178" s="1" t="s">
        <v>83</v>
      </c>
      <c r="H2178" s="1" t="s">
        <v>43</v>
      </c>
      <c r="I2178" s="1" t="s">
        <v>285</v>
      </c>
      <c r="J2178" s="1">
        <v>9</v>
      </c>
      <c r="K2178" s="3">
        <v>37184.949999999997</v>
      </c>
      <c r="L2178" s="1" t="s">
        <v>110</v>
      </c>
      <c r="M2178" s="1" t="s">
        <v>69</v>
      </c>
      <c r="N2178" s="10" t="s">
        <v>74</v>
      </c>
      <c r="Q2178"/>
    </row>
    <row r="2179" spans="1:17" x14ac:dyDescent="0.25">
      <c r="A2179" s="9" t="s">
        <v>3212</v>
      </c>
      <c r="B2179" s="2">
        <v>45576</v>
      </c>
      <c r="C2179" s="1" t="s">
        <v>582</v>
      </c>
      <c r="D2179" s="1" t="s">
        <v>40</v>
      </c>
      <c r="E2179" s="1" t="s">
        <v>72</v>
      </c>
      <c r="F2179" s="1" t="s">
        <v>99</v>
      </c>
      <c r="G2179" s="1" t="s">
        <v>42</v>
      </c>
      <c r="H2179" s="1" t="s">
        <v>43</v>
      </c>
      <c r="I2179" s="1" t="s">
        <v>380</v>
      </c>
      <c r="J2179" s="1">
        <v>9</v>
      </c>
      <c r="K2179" s="3">
        <v>19848.5</v>
      </c>
      <c r="L2179" s="1">
        <v>20</v>
      </c>
      <c r="M2179" s="1" t="s">
        <v>69</v>
      </c>
      <c r="N2179" s="10" t="s">
        <v>74</v>
      </c>
      <c r="Q2179"/>
    </row>
    <row r="2180" spans="1:17" x14ac:dyDescent="0.25">
      <c r="A2180" s="9" t="s">
        <v>3213</v>
      </c>
      <c r="B2180" s="2">
        <v>45634</v>
      </c>
      <c r="C2180" s="1" t="s">
        <v>1071</v>
      </c>
      <c r="D2180" s="1" t="s">
        <v>81</v>
      </c>
      <c r="E2180" s="1" t="s">
        <v>17</v>
      </c>
      <c r="F2180" s="1" t="s">
        <v>99</v>
      </c>
      <c r="G2180" s="1" t="s">
        <v>53</v>
      </c>
      <c r="H2180" s="1" t="s">
        <v>54</v>
      </c>
      <c r="I2180" s="1" t="s">
        <v>1066</v>
      </c>
      <c r="J2180" s="1">
        <v>5</v>
      </c>
      <c r="K2180" s="3">
        <v>8980.4699999999993</v>
      </c>
      <c r="L2180" s="1">
        <v>5</v>
      </c>
      <c r="M2180" s="1" t="s">
        <v>22</v>
      </c>
      <c r="N2180" s="10" t="s">
        <v>37</v>
      </c>
      <c r="Q2180"/>
    </row>
    <row r="2181" spans="1:17" x14ac:dyDescent="0.25">
      <c r="A2181" s="9" t="s">
        <v>3214</v>
      </c>
      <c r="B2181" s="2">
        <v>45649</v>
      </c>
      <c r="C2181" s="1" t="s">
        <v>332</v>
      </c>
      <c r="D2181" s="1" t="s">
        <v>52</v>
      </c>
      <c r="E2181" s="1" t="s">
        <v>41</v>
      </c>
      <c r="F2181" s="1" t="s">
        <v>49</v>
      </c>
      <c r="G2181" s="1" t="s">
        <v>19</v>
      </c>
      <c r="H2181" s="1" t="s">
        <v>29</v>
      </c>
      <c r="I2181" s="1" t="s">
        <v>162</v>
      </c>
      <c r="J2181" s="1">
        <v>1</v>
      </c>
      <c r="K2181" s="3">
        <v>3619.65</v>
      </c>
      <c r="L2181" s="1">
        <v>0</v>
      </c>
      <c r="M2181" s="1" t="s">
        <v>63</v>
      </c>
      <c r="N2181" s="10" t="s">
        <v>64</v>
      </c>
      <c r="Q2181"/>
    </row>
    <row r="2182" spans="1:17" x14ac:dyDescent="0.25">
      <c r="A2182" s="9" t="s">
        <v>3215</v>
      </c>
      <c r="B2182" s="2">
        <v>45010</v>
      </c>
      <c r="C2182" s="1" t="s">
        <v>2449</v>
      </c>
      <c r="D2182" s="1" t="s">
        <v>40</v>
      </c>
      <c r="E2182" s="1" t="s">
        <v>41</v>
      </c>
      <c r="F2182" s="1" t="s">
        <v>60</v>
      </c>
      <c r="G2182" s="1" t="s">
        <v>19</v>
      </c>
      <c r="H2182" s="1" t="s">
        <v>20</v>
      </c>
      <c r="I2182" s="1" t="s">
        <v>421</v>
      </c>
      <c r="J2182" s="1">
        <v>5</v>
      </c>
      <c r="K2182" s="3">
        <v>1004.49</v>
      </c>
      <c r="L2182" s="1" t="s">
        <v>110</v>
      </c>
      <c r="M2182" s="1" t="s">
        <v>36</v>
      </c>
      <c r="N2182" s="10" t="s">
        <v>74</v>
      </c>
      <c r="Q2182"/>
    </row>
    <row r="2183" spans="1:17" x14ac:dyDescent="0.25">
      <c r="A2183" s="9" t="s">
        <v>3216</v>
      </c>
      <c r="B2183" s="2">
        <v>45227</v>
      </c>
      <c r="C2183" s="1" t="s">
        <v>2555</v>
      </c>
      <c r="D2183" s="1" t="s">
        <v>16</v>
      </c>
      <c r="E2183" s="1" t="s">
        <v>41</v>
      </c>
      <c r="F2183" s="1" t="s">
        <v>18</v>
      </c>
      <c r="G2183" s="1" t="s">
        <v>42</v>
      </c>
      <c r="H2183" s="1" t="s">
        <v>43</v>
      </c>
      <c r="I2183" s="1" t="s">
        <v>157</v>
      </c>
      <c r="J2183" s="1">
        <v>1</v>
      </c>
      <c r="K2183" s="3">
        <v>2314.02</v>
      </c>
      <c r="L2183" s="1">
        <v>20</v>
      </c>
      <c r="M2183" s="1" t="s">
        <v>63</v>
      </c>
      <c r="N2183" s="10" t="s">
        <v>74</v>
      </c>
      <c r="Q2183"/>
    </row>
    <row r="2184" spans="1:17" x14ac:dyDescent="0.25">
      <c r="A2184" s="9" t="s">
        <v>3217</v>
      </c>
      <c r="B2184" s="2">
        <v>45443</v>
      </c>
      <c r="C2184" s="1" t="s">
        <v>2135</v>
      </c>
      <c r="D2184" s="1" t="s">
        <v>67</v>
      </c>
      <c r="E2184" s="1" t="s">
        <v>17</v>
      </c>
      <c r="F2184" s="1" t="s">
        <v>60</v>
      </c>
      <c r="G2184" s="1" t="s">
        <v>19</v>
      </c>
      <c r="H2184" s="1" t="s">
        <v>20</v>
      </c>
      <c r="I2184" s="1" t="s">
        <v>214</v>
      </c>
      <c r="J2184" s="1">
        <v>8</v>
      </c>
      <c r="K2184" s="3">
        <v>16377.85</v>
      </c>
      <c r="L2184" s="1" t="s">
        <v>110</v>
      </c>
      <c r="M2184" s="1" t="s">
        <v>93</v>
      </c>
      <c r="N2184" s="10" t="s">
        <v>45</v>
      </c>
      <c r="Q2184"/>
    </row>
    <row r="2185" spans="1:17" x14ac:dyDescent="0.25">
      <c r="A2185" s="9" t="s">
        <v>3218</v>
      </c>
      <c r="B2185" s="2">
        <v>45150</v>
      </c>
      <c r="C2185" s="1" t="s">
        <v>790</v>
      </c>
      <c r="D2185" s="1" t="s">
        <v>52</v>
      </c>
      <c r="E2185" s="1" t="s">
        <v>27</v>
      </c>
      <c r="F2185" s="1" t="s">
        <v>28</v>
      </c>
      <c r="G2185" s="1" t="s">
        <v>83</v>
      </c>
      <c r="H2185" s="1" t="s">
        <v>43</v>
      </c>
      <c r="I2185" s="1" t="s">
        <v>182</v>
      </c>
      <c r="J2185" s="1">
        <v>8</v>
      </c>
      <c r="K2185" s="3">
        <v>18646.66</v>
      </c>
      <c r="L2185" s="1">
        <v>5</v>
      </c>
      <c r="M2185" s="1" t="s">
        <v>69</v>
      </c>
      <c r="N2185" s="10" t="s">
        <v>64</v>
      </c>
      <c r="Q2185"/>
    </row>
    <row r="2186" spans="1:17" x14ac:dyDescent="0.25">
      <c r="A2186" s="9" t="s">
        <v>3219</v>
      </c>
      <c r="B2186" s="2">
        <v>45461</v>
      </c>
      <c r="C2186" s="1" t="s">
        <v>2581</v>
      </c>
      <c r="D2186" s="1" t="s">
        <v>40</v>
      </c>
      <c r="E2186" s="1" t="s">
        <v>41</v>
      </c>
      <c r="F2186" s="1" t="s">
        <v>49</v>
      </c>
      <c r="G2186" s="1" t="s">
        <v>42</v>
      </c>
      <c r="H2186" s="1" t="s">
        <v>61</v>
      </c>
      <c r="I2186" s="1" t="s">
        <v>250</v>
      </c>
      <c r="J2186" s="1">
        <v>1</v>
      </c>
      <c r="K2186" s="3">
        <v>4324.66</v>
      </c>
      <c r="L2186" s="1" t="s">
        <v>110</v>
      </c>
      <c r="M2186" s="1" t="s">
        <v>69</v>
      </c>
      <c r="N2186" s="10" t="s">
        <v>23</v>
      </c>
      <c r="Q2186"/>
    </row>
    <row r="2187" spans="1:17" x14ac:dyDescent="0.25">
      <c r="A2187" s="9" t="s">
        <v>3220</v>
      </c>
      <c r="B2187" s="2">
        <v>45361</v>
      </c>
      <c r="C2187" s="1" t="s">
        <v>1135</v>
      </c>
      <c r="D2187" s="1" t="s">
        <v>67</v>
      </c>
      <c r="E2187" s="1" t="s">
        <v>59</v>
      </c>
      <c r="F2187" s="1" t="s">
        <v>88</v>
      </c>
      <c r="G2187" s="1" t="s">
        <v>19</v>
      </c>
      <c r="H2187" s="1" t="s">
        <v>20</v>
      </c>
      <c r="I2187" s="1" t="s">
        <v>213</v>
      </c>
      <c r="J2187" s="1">
        <v>5</v>
      </c>
      <c r="K2187" s="3">
        <v>2140.62</v>
      </c>
      <c r="L2187" s="1">
        <v>20</v>
      </c>
      <c r="M2187" s="1" t="s">
        <v>63</v>
      </c>
      <c r="N2187" s="10" t="s">
        <v>23</v>
      </c>
      <c r="Q2187"/>
    </row>
    <row r="2188" spans="1:17" x14ac:dyDescent="0.25">
      <c r="A2188" s="9" t="s">
        <v>3221</v>
      </c>
      <c r="B2188" s="2">
        <v>45301</v>
      </c>
      <c r="C2188" s="1" t="s">
        <v>51</v>
      </c>
      <c r="D2188" s="1" t="s">
        <v>40</v>
      </c>
      <c r="E2188" s="1" t="s">
        <v>34</v>
      </c>
      <c r="F2188" s="1" t="s">
        <v>88</v>
      </c>
      <c r="G2188" s="1" t="s">
        <v>83</v>
      </c>
      <c r="H2188" s="1" t="s">
        <v>43</v>
      </c>
      <c r="I2188" s="1" t="s">
        <v>154</v>
      </c>
      <c r="J2188" s="1">
        <v>9</v>
      </c>
      <c r="K2188" s="3">
        <v>17485.13</v>
      </c>
      <c r="L2188" s="1">
        <v>0</v>
      </c>
      <c r="M2188" s="1" t="s">
        <v>22</v>
      </c>
      <c r="N2188" s="10" t="s">
        <v>31</v>
      </c>
      <c r="Q2188"/>
    </row>
    <row r="2189" spans="1:17" x14ac:dyDescent="0.25">
      <c r="A2189" s="9" t="s">
        <v>3222</v>
      </c>
      <c r="B2189" s="2">
        <v>44974</v>
      </c>
      <c r="C2189" s="1" t="s">
        <v>3223</v>
      </c>
      <c r="D2189" s="1" t="s">
        <v>147</v>
      </c>
      <c r="E2189" s="1" t="s">
        <v>27</v>
      </c>
      <c r="F2189" s="1" t="s">
        <v>60</v>
      </c>
      <c r="G2189" s="1" t="s">
        <v>19</v>
      </c>
      <c r="H2189" s="1" t="s">
        <v>29</v>
      </c>
      <c r="I2189" s="1" t="s">
        <v>635</v>
      </c>
      <c r="J2189" s="1">
        <v>9</v>
      </c>
      <c r="K2189" s="3">
        <v>25607.07</v>
      </c>
      <c r="L2189" s="1">
        <v>5</v>
      </c>
      <c r="M2189" s="1" t="s">
        <v>36</v>
      </c>
      <c r="N2189" s="10" t="s">
        <v>45</v>
      </c>
      <c r="Q2189"/>
    </row>
    <row r="2190" spans="1:17" x14ac:dyDescent="0.25">
      <c r="A2190" s="9" t="s">
        <v>3224</v>
      </c>
      <c r="B2190" s="2">
        <v>45016</v>
      </c>
      <c r="C2190" s="1" t="s">
        <v>1069</v>
      </c>
      <c r="D2190" s="1" t="s">
        <v>87</v>
      </c>
      <c r="E2190" s="1" t="s">
        <v>72</v>
      </c>
      <c r="F2190" s="1" t="s">
        <v>82</v>
      </c>
      <c r="G2190" s="1" t="s">
        <v>42</v>
      </c>
      <c r="H2190" s="1" t="s">
        <v>61</v>
      </c>
      <c r="I2190" s="1" t="s">
        <v>667</v>
      </c>
      <c r="J2190" s="1">
        <v>9</v>
      </c>
      <c r="K2190" s="3">
        <v>13602.93</v>
      </c>
      <c r="L2190" s="1">
        <v>15</v>
      </c>
      <c r="M2190" s="1" t="s">
        <v>22</v>
      </c>
      <c r="N2190" s="10" t="s">
        <v>64</v>
      </c>
      <c r="Q2190"/>
    </row>
    <row r="2191" spans="1:17" x14ac:dyDescent="0.25">
      <c r="A2191" s="9" t="s">
        <v>3225</v>
      </c>
      <c r="B2191" s="2">
        <v>45558</v>
      </c>
      <c r="C2191" s="1" t="s">
        <v>1618</v>
      </c>
      <c r="D2191" s="1" t="s">
        <v>147</v>
      </c>
      <c r="E2191" s="1" t="s">
        <v>72</v>
      </c>
      <c r="F2191" s="1" t="s">
        <v>28</v>
      </c>
      <c r="G2191" s="1" t="s">
        <v>53</v>
      </c>
      <c r="H2191" s="1" t="s">
        <v>54</v>
      </c>
      <c r="I2191" s="1" t="s">
        <v>236</v>
      </c>
      <c r="J2191" s="1">
        <v>6</v>
      </c>
      <c r="K2191" s="3">
        <v>4018.76</v>
      </c>
      <c r="L2191" s="1">
        <v>15</v>
      </c>
      <c r="M2191" s="1" t="s">
        <v>36</v>
      </c>
      <c r="N2191" s="10" t="s">
        <v>31</v>
      </c>
      <c r="Q2191"/>
    </row>
    <row r="2192" spans="1:17" x14ac:dyDescent="0.25">
      <c r="A2192" s="9" t="s">
        <v>3226</v>
      </c>
      <c r="B2192" s="2">
        <v>45457</v>
      </c>
      <c r="C2192" s="1" t="s">
        <v>3227</v>
      </c>
      <c r="D2192" s="1" t="s">
        <v>16</v>
      </c>
      <c r="E2192" s="1" t="s">
        <v>41</v>
      </c>
      <c r="F2192" s="1" t="s">
        <v>49</v>
      </c>
      <c r="G2192" s="1" t="s">
        <v>83</v>
      </c>
      <c r="H2192" s="1" t="s">
        <v>43</v>
      </c>
      <c r="I2192" s="1" t="s">
        <v>50</v>
      </c>
      <c r="J2192" s="1">
        <v>2</v>
      </c>
      <c r="K2192" s="3">
        <v>3218.72</v>
      </c>
      <c r="L2192" s="1">
        <v>15</v>
      </c>
      <c r="M2192" s="1" t="s">
        <v>36</v>
      </c>
      <c r="N2192" s="10" t="s">
        <v>45</v>
      </c>
      <c r="Q2192"/>
    </row>
    <row r="2193" spans="1:17" x14ac:dyDescent="0.25">
      <c r="A2193" s="9" t="s">
        <v>3228</v>
      </c>
      <c r="B2193" s="2">
        <v>45071</v>
      </c>
      <c r="C2193" s="1" t="s">
        <v>912</v>
      </c>
      <c r="D2193" s="1" t="s">
        <v>40</v>
      </c>
      <c r="E2193" s="1" t="s">
        <v>59</v>
      </c>
      <c r="F2193" s="1" t="s">
        <v>88</v>
      </c>
      <c r="G2193" s="1" t="s">
        <v>19</v>
      </c>
      <c r="H2193" s="1" t="s">
        <v>20</v>
      </c>
      <c r="I2193" s="1" t="s">
        <v>801</v>
      </c>
      <c r="J2193" s="1">
        <v>6</v>
      </c>
      <c r="K2193" s="3">
        <v>28530.11</v>
      </c>
      <c r="L2193" s="1" t="s">
        <v>110</v>
      </c>
      <c r="M2193" s="1" t="s">
        <v>69</v>
      </c>
      <c r="N2193" s="10" t="s">
        <v>64</v>
      </c>
      <c r="Q2193"/>
    </row>
    <row r="2194" spans="1:17" x14ac:dyDescent="0.25">
      <c r="A2194" s="9" t="s">
        <v>3229</v>
      </c>
      <c r="B2194" s="2">
        <v>45066</v>
      </c>
      <c r="C2194" s="1" t="s">
        <v>949</v>
      </c>
      <c r="D2194" s="1" t="s">
        <v>26</v>
      </c>
      <c r="E2194" s="1" t="s">
        <v>27</v>
      </c>
      <c r="F2194" s="1" t="s">
        <v>82</v>
      </c>
      <c r="G2194" s="1" t="s">
        <v>83</v>
      </c>
      <c r="H2194" s="1" t="s">
        <v>43</v>
      </c>
      <c r="I2194" s="1" t="s">
        <v>44</v>
      </c>
      <c r="J2194" s="1">
        <v>1</v>
      </c>
      <c r="K2194" s="3">
        <v>1361.84</v>
      </c>
      <c r="L2194" s="1">
        <v>0</v>
      </c>
      <c r="M2194" s="1" t="s">
        <v>69</v>
      </c>
      <c r="N2194" s="10" t="s">
        <v>74</v>
      </c>
      <c r="Q2194"/>
    </row>
    <row r="2195" spans="1:17" x14ac:dyDescent="0.25">
      <c r="A2195" s="9" t="s">
        <v>3230</v>
      </c>
      <c r="B2195" s="2">
        <v>45428</v>
      </c>
      <c r="C2195" s="1" t="s">
        <v>1375</v>
      </c>
      <c r="D2195" s="1" t="s">
        <v>87</v>
      </c>
      <c r="E2195" s="1" t="s">
        <v>72</v>
      </c>
      <c r="F2195" s="1" t="s">
        <v>18</v>
      </c>
      <c r="G2195" s="1" t="s">
        <v>53</v>
      </c>
      <c r="H2195" s="1" t="s">
        <v>54</v>
      </c>
      <c r="I2195" s="1" t="s">
        <v>639</v>
      </c>
      <c r="J2195" s="1">
        <v>9</v>
      </c>
      <c r="K2195" s="3">
        <v>14525.76</v>
      </c>
      <c r="L2195" s="1">
        <v>10</v>
      </c>
      <c r="M2195" s="1" t="s">
        <v>22</v>
      </c>
      <c r="N2195" s="10" t="s">
        <v>23</v>
      </c>
      <c r="Q2195"/>
    </row>
    <row r="2196" spans="1:17" x14ac:dyDescent="0.25">
      <c r="A2196" s="9" t="s">
        <v>3231</v>
      </c>
      <c r="B2196" s="2">
        <v>45531</v>
      </c>
      <c r="C2196" s="1" t="s">
        <v>1795</v>
      </c>
      <c r="D2196" s="1" t="s">
        <v>87</v>
      </c>
      <c r="E2196" s="1" t="s">
        <v>34</v>
      </c>
      <c r="F2196" s="1" t="s">
        <v>88</v>
      </c>
      <c r="G2196" s="1" t="s">
        <v>42</v>
      </c>
      <c r="H2196" s="1" t="s">
        <v>61</v>
      </c>
      <c r="I2196" s="1" t="s">
        <v>529</v>
      </c>
      <c r="J2196" s="1">
        <v>2</v>
      </c>
      <c r="K2196" s="3">
        <v>2535.94</v>
      </c>
      <c r="L2196" s="1">
        <v>10</v>
      </c>
      <c r="M2196" s="1" t="s">
        <v>69</v>
      </c>
      <c r="N2196" s="10" t="s">
        <v>64</v>
      </c>
      <c r="Q2196"/>
    </row>
    <row r="2197" spans="1:17" x14ac:dyDescent="0.25">
      <c r="A2197" s="9" t="s">
        <v>3232</v>
      </c>
      <c r="B2197" s="2">
        <v>44938</v>
      </c>
      <c r="C2197" s="1" t="s">
        <v>271</v>
      </c>
      <c r="D2197" s="1" t="s">
        <v>26</v>
      </c>
      <c r="E2197" s="1" t="s">
        <v>72</v>
      </c>
      <c r="F2197" s="1" t="s">
        <v>49</v>
      </c>
      <c r="G2197" s="1" t="s">
        <v>42</v>
      </c>
      <c r="H2197" s="1" t="s">
        <v>43</v>
      </c>
      <c r="I2197" s="1" t="s">
        <v>84</v>
      </c>
      <c r="J2197" s="1">
        <v>-7</v>
      </c>
      <c r="K2197" s="3">
        <v>31285.77</v>
      </c>
      <c r="L2197" s="1">
        <v>20</v>
      </c>
      <c r="M2197" s="1" t="s">
        <v>36</v>
      </c>
      <c r="N2197" s="10" t="s">
        <v>23</v>
      </c>
      <c r="Q2197"/>
    </row>
    <row r="2198" spans="1:17" x14ac:dyDescent="0.25">
      <c r="A2198" s="9" t="s">
        <v>3233</v>
      </c>
      <c r="B2198" s="2">
        <v>45395</v>
      </c>
      <c r="C2198" s="1" t="s">
        <v>2770</v>
      </c>
      <c r="D2198" s="1" t="s">
        <v>81</v>
      </c>
      <c r="E2198" s="1" t="s">
        <v>27</v>
      </c>
      <c r="F2198" s="1" t="s">
        <v>28</v>
      </c>
      <c r="G2198" s="1" t="s">
        <v>83</v>
      </c>
      <c r="H2198" s="1" t="s">
        <v>43</v>
      </c>
      <c r="I2198" s="1" t="s">
        <v>84</v>
      </c>
      <c r="J2198" s="1">
        <v>10</v>
      </c>
      <c r="K2198" s="3">
        <v>44721.14</v>
      </c>
      <c r="L2198" s="1">
        <v>5</v>
      </c>
      <c r="M2198" s="1" t="s">
        <v>22</v>
      </c>
      <c r="N2198" s="10" t="s">
        <v>31</v>
      </c>
      <c r="Q2198"/>
    </row>
    <row r="2199" spans="1:17" x14ac:dyDescent="0.25">
      <c r="A2199" s="9" t="s">
        <v>3234</v>
      </c>
      <c r="B2199" s="2">
        <v>45189</v>
      </c>
      <c r="C2199" s="1" t="s">
        <v>390</v>
      </c>
      <c r="D2199" s="1" t="s">
        <v>147</v>
      </c>
      <c r="E2199" s="1" t="s">
        <v>34</v>
      </c>
      <c r="F2199" s="1" t="s">
        <v>28</v>
      </c>
      <c r="G2199" s="1" t="s">
        <v>19</v>
      </c>
      <c r="H2199" s="1" t="s">
        <v>20</v>
      </c>
      <c r="I2199" s="1" t="s">
        <v>130</v>
      </c>
      <c r="J2199" s="1">
        <v>4</v>
      </c>
      <c r="K2199" s="3">
        <v>14698.64</v>
      </c>
      <c r="L2199" s="1">
        <v>10</v>
      </c>
      <c r="M2199" s="1" t="s">
        <v>56</v>
      </c>
      <c r="N2199" s="10" t="s">
        <v>45</v>
      </c>
      <c r="Q2199"/>
    </row>
    <row r="2200" spans="1:17" x14ac:dyDescent="0.25">
      <c r="A2200" s="9" t="s">
        <v>3235</v>
      </c>
      <c r="B2200" s="2">
        <v>45429</v>
      </c>
      <c r="C2200" s="1" t="s">
        <v>931</v>
      </c>
      <c r="D2200" s="1" t="s">
        <v>40</v>
      </c>
      <c r="E2200" s="1" t="s">
        <v>41</v>
      </c>
      <c r="F2200" s="1" t="s">
        <v>99</v>
      </c>
      <c r="G2200" s="1" t="s">
        <v>83</v>
      </c>
      <c r="H2200" s="1" t="s">
        <v>43</v>
      </c>
      <c r="I2200" s="1" t="s">
        <v>365</v>
      </c>
      <c r="J2200" s="1">
        <v>6</v>
      </c>
      <c r="K2200" s="3">
        <v>23801.7</v>
      </c>
      <c r="L2200" s="1">
        <v>5</v>
      </c>
      <c r="M2200" s="1" t="s">
        <v>93</v>
      </c>
      <c r="N2200" s="10" t="s">
        <v>31</v>
      </c>
      <c r="Q2200"/>
    </row>
    <row r="2201" spans="1:17" x14ac:dyDescent="0.25">
      <c r="A2201" s="9" t="s">
        <v>3236</v>
      </c>
      <c r="B2201" s="2">
        <v>45492</v>
      </c>
      <c r="C2201" s="1" t="s">
        <v>282</v>
      </c>
      <c r="D2201" s="1" t="s">
        <v>378</v>
      </c>
      <c r="E2201" s="1" t="s">
        <v>17</v>
      </c>
      <c r="F2201" s="1" t="s">
        <v>49</v>
      </c>
      <c r="G2201" s="1" t="s">
        <v>83</v>
      </c>
      <c r="H2201" s="1" t="s">
        <v>43</v>
      </c>
      <c r="I2201" s="1" t="s">
        <v>100</v>
      </c>
      <c r="J2201" s="1">
        <v>8</v>
      </c>
      <c r="K2201" s="3">
        <v>16144.46</v>
      </c>
      <c r="L2201" s="1" t="s">
        <v>110</v>
      </c>
      <c r="M2201" s="1" t="s">
        <v>36</v>
      </c>
      <c r="N2201" s="10" t="s">
        <v>74</v>
      </c>
      <c r="Q2201"/>
    </row>
    <row r="2202" spans="1:17" x14ac:dyDescent="0.25">
      <c r="A2202" s="9" t="s">
        <v>3237</v>
      </c>
      <c r="B2202" s="2">
        <v>45063</v>
      </c>
      <c r="C2202" s="1" t="s">
        <v>1557</v>
      </c>
      <c r="D2202" s="1" t="s">
        <v>67</v>
      </c>
      <c r="E2202" s="1" t="s">
        <v>41</v>
      </c>
      <c r="F2202" s="1" t="s">
        <v>60</v>
      </c>
      <c r="G2202" s="1" t="s">
        <v>42</v>
      </c>
      <c r="H2202" s="1" t="s">
        <v>43</v>
      </c>
      <c r="I2202" s="1" t="s">
        <v>323</v>
      </c>
      <c r="J2202" s="1">
        <v>5</v>
      </c>
      <c r="K2202" s="3">
        <v>19149.080000000002</v>
      </c>
      <c r="L2202" s="1">
        <v>20</v>
      </c>
      <c r="M2202" s="1" t="s">
        <v>69</v>
      </c>
      <c r="N2202" s="10" t="s">
        <v>31</v>
      </c>
      <c r="Q2202"/>
    </row>
    <row r="2203" spans="1:17" x14ac:dyDescent="0.25">
      <c r="A2203" s="9" t="s">
        <v>3238</v>
      </c>
      <c r="B2203" s="2">
        <v>45016</v>
      </c>
      <c r="C2203" s="1" t="s">
        <v>335</v>
      </c>
      <c r="D2203" s="1" t="s">
        <v>26</v>
      </c>
      <c r="E2203" s="1" t="s">
        <v>34</v>
      </c>
      <c r="F2203" s="1" t="s">
        <v>18</v>
      </c>
      <c r="G2203" s="1" t="s">
        <v>19</v>
      </c>
      <c r="H2203" s="1" t="s">
        <v>29</v>
      </c>
      <c r="I2203" s="1" t="s">
        <v>693</v>
      </c>
      <c r="J2203" s="1">
        <v>6</v>
      </c>
      <c r="K2203" s="3">
        <v>26537.49</v>
      </c>
      <c r="L2203" s="1" t="s">
        <v>110</v>
      </c>
      <c r="M2203" s="1" t="s">
        <v>93</v>
      </c>
      <c r="N2203" s="10" t="s">
        <v>45</v>
      </c>
      <c r="Q2203"/>
    </row>
    <row r="2204" spans="1:17" x14ac:dyDescent="0.25">
      <c r="A2204" s="9" t="s">
        <v>3239</v>
      </c>
      <c r="B2204" s="2">
        <v>45360</v>
      </c>
      <c r="C2204" s="1" t="s">
        <v>296</v>
      </c>
      <c r="D2204" s="1" t="s">
        <v>26</v>
      </c>
      <c r="E2204" s="1" t="s">
        <v>41</v>
      </c>
      <c r="F2204" s="1" t="s">
        <v>82</v>
      </c>
      <c r="G2204" s="1" t="s">
        <v>19</v>
      </c>
      <c r="H2204" s="1" t="s">
        <v>20</v>
      </c>
      <c r="I2204" s="1" t="s">
        <v>326</v>
      </c>
      <c r="J2204" s="1">
        <v>9</v>
      </c>
      <c r="K2204" s="3">
        <v>2170.39</v>
      </c>
      <c r="L2204" s="1">
        <v>5</v>
      </c>
      <c r="M2204" s="1" t="s">
        <v>56</v>
      </c>
      <c r="N2204" s="10" t="s">
        <v>23</v>
      </c>
      <c r="Q2204"/>
    </row>
    <row r="2205" spans="1:17" x14ac:dyDescent="0.25">
      <c r="A2205" s="9" t="s">
        <v>3240</v>
      </c>
      <c r="B2205" s="2">
        <v>45446</v>
      </c>
      <c r="C2205" s="1" t="s">
        <v>2029</v>
      </c>
      <c r="D2205" s="1" t="s">
        <v>67</v>
      </c>
      <c r="E2205" s="1" t="s">
        <v>59</v>
      </c>
      <c r="F2205" s="1" t="s">
        <v>28</v>
      </c>
      <c r="G2205" s="1" t="s">
        <v>19</v>
      </c>
      <c r="H2205" s="1" t="s">
        <v>29</v>
      </c>
      <c r="I2205" s="1" t="s">
        <v>30</v>
      </c>
      <c r="J2205" s="1">
        <v>10</v>
      </c>
      <c r="K2205" s="3">
        <v>37057.46</v>
      </c>
      <c r="L2205" s="1">
        <v>15</v>
      </c>
      <c r="M2205" s="1" t="s">
        <v>93</v>
      </c>
      <c r="N2205" s="10" t="s">
        <v>23</v>
      </c>
      <c r="Q2205"/>
    </row>
    <row r="2206" spans="1:17" x14ac:dyDescent="0.25">
      <c r="A2206" s="9" t="s">
        <v>3241</v>
      </c>
      <c r="B2206" s="2">
        <v>45448</v>
      </c>
      <c r="C2206" s="1" t="s">
        <v>1293</v>
      </c>
      <c r="D2206" s="1" t="s">
        <v>147</v>
      </c>
      <c r="E2206" s="1" t="s">
        <v>17</v>
      </c>
      <c r="F2206" s="1" t="s">
        <v>28</v>
      </c>
      <c r="G2206" s="1" t="s">
        <v>19</v>
      </c>
      <c r="H2206" s="1" t="s">
        <v>20</v>
      </c>
      <c r="I2206" s="1" t="s">
        <v>239</v>
      </c>
      <c r="J2206" s="1">
        <v>6</v>
      </c>
      <c r="K2206" s="3">
        <v>3733.56</v>
      </c>
      <c r="L2206" s="1" t="s">
        <v>110</v>
      </c>
      <c r="M2206" s="1" t="s">
        <v>56</v>
      </c>
      <c r="N2206" s="10" t="s">
        <v>31</v>
      </c>
      <c r="Q2206"/>
    </row>
    <row r="2207" spans="1:17" x14ac:dyDescent="0.25">
      <c r="A2207" s="9" t="s">
        <v>3242</v>
      </c>
      <c r="B2207" s="2">
        <v>45273</v>
      </c>
      <c r="C2207" s="1" t="s">
        <v>1687</v>
      </c>
      <c r="D2207" s="1" t="s">
        <v>147</v>
      </c>
      <c r="E2207" s="1" t="s">
        <v>59</v>
      </c>
      <c r="F2207" s="1" t="s">
        <v>18</v>
      </c>
      <c r="G2207" s="1" t="s">
        <v>19</v>
      </c>
      <c r="H2207" s="1" t="s">
        <v>20</v>
      </c>
      <c r="I2207" s="1" t="s">
        <v>78</v>
      </c>
      <c r="J2207" s="1">
        <v>4</v>
      </c>
      <c r="K2207" s="3">
        <v>18989.68</v>
      </c>
      <c r="L2207" s="1">
        <v>15</v>
      </c>
      <c r="M2207" s="1" t="s">
        <v>63</v>
      </c>
      <c r="N2207" s="10" t="s">
        <v>31</v>
      </c>
      <c r="Q2207"/>
    </row>
    <row r="2208" spans="1:17" x14ac:dyDescent="0.25">
      <c r="A2208" s="9" t="s">
        <v>3243</v>
      </c>
      <c r="B2208" s="2">
        <v>45244</v>
      </c>
      <c r="C2208" s="1" t="s">
        <v>841</v>
      </c>
      <c r="D2208" s="1" t="s">
        <v>71</v>
      </c>
      <c r="E2208" s="1" t="s">
        <v>59</v>
      </c>
      <c r="F2208" s="1" t="s">
        <v>99</v>
      </c>
      <c r="G2208" s="1" t="s">
        <v>83</v>
      </c>
      <c r="H2208" s="1" t="s">
        <v>43</v>
      </c>
      <c r="I2208" s="1" t="s">
        <v>244</v>
      </c>
      <c r="J2208" s="1">
        <v>3</v>
      </c>
      <c r="K2208" s="3">
        <v>6895.07</v>
      </c>
      <c r="L2208" s="1" t="s">
        <v>110</v>
      </c>
      <c r="M2208" s="1" t="s">
        <v>36</v>
      </c>
      <c r="N2208" s="10" t="s">
        <v>64</v>
      </c>
      <c r="Q2208"/>
    </row>
    <row r="2209" spans="1:17" x14ac:dyDescent="0.25">
      <c r="A2209" s="9" t="s">
        <v>3244</v>
      </c>
      <c r="B2209" s="2">
        <v>45069</v>
      </c>
      <c r="C2209" s="1" t="s">
        <v>2465</v>
      </c>
      <c r="D2209" s="1" t="s">
        <v>40</v>
      </c>
      <c r="E2209" s="1" t="s">
        <v>41</v>
      </c>
      <c r="F2209" s="1" t="s">
        <v>88</v>
      </c>
      <c r="G2209" s="1" t="s">
        <v>83</v>
      </c>
      <c r="H2209" s="1" t="s">
        <v>43</v>
      </c>
      <c r="I2209" s="1" t="s">
        <v>329</v>
      </c>
      <c r="J2209" s="1">
        <v>5</v>
      </c>
      <c r="K2209" s="3">
        <v>12438.83</v>
      </c>
      <c r="L2209" s="1" t="s">
        <v>110</v>
      </c>
      <c r="M2209" s="1" t="s">
        <v>22</v>
      </c>
      <c r="N2209" s="10" t="s">
        <v>23</v>
      </c>
      <c r="Q2209"/>
    </row>
    <row r="2210" spans="1:17" x14ac:dyDescent="0.25">
      <c r="A2210" s="9" t="s">
        <v>3245</v>
      </c>
      <c r="B2210" s="2">
        <v>44977</v>
      </c>
      <c r="C2210" s="1" t="s">
        <v>210</v>
      </c>
      <c r="D2210" s="1" t="s">
        <v>67</v>
      </c>
      <c r="E2210" s="1" t="s">
        <v>72</v>
      </c>
      <c r="F2210" s="1" t="s">
        <v>28</v>
      </c>
      <c r="G2210" s="1" t="s">
        <v>53</v>
      </c>
      <c r="H2210" s="1" t="s">
        <v>54</v>
      </c>
      <c r="I2210" s="1" t="s">
        <v>946</v>
      </c>
      <c r="J2210" s="1">
        <v>10</v>
      </c>
      <c r="K2210" s="3">
        <v>8618.2999999999993</v>
      </c>
      <c r="L2210" s="1" t="s">
        <v>110</v>
      </c>
      <c r="M2210" s="1" t="s">
        <v>22</v>
      </c>
      <c r="N2210" s="10" t="s">
        <v>64</v>
      </c>
      <c r="Q2210"/>
    </row>
    <row r="2211" spans="1:17" x14ac:dyDescent="0.25">
      <c r="A2211" s="9" t="s">
        <v>3246</v>
      </c>
      <c r="B2211" s="2">
        <v>45046</v>
      </c>
      <c r="C2211" s="1" t="s">
        <v>1098</v>
      </c>
      <c r="D2211" s="1" t="s">
        <v>16</v>
      </c>
      <c r="E2211" s="1" t="s">
        <v>27</v>
      </c>
      <c r="F2211" s="1" t="s">
        <v>49</v>
      </c>
      <c r="G2211" s="1" t="s">
        <v>19</v>
      </c>
      <c r="H2211" s="1" t="s">
        <v>29</v>
      </c>
      <c r="I2211" s="1" t="s">
        <v>141</v>
      </c>
      <c r="J2211" s="1">
        <v>4</v>
      </c>
      <c r="K2211" s="3">
        <v>9634.08</v>
      </c>
      <c r="L2211" s="1">
        <v>20</v>
      </c>
      <c r="M2211" s="1" t="s">
        <v>69</v>
      </c>
      <c r="N2211" s="10" t="s">
        <v>64</v>
      </c>
      <c r="Q2211"/>
    </row>
    <row r="2212" spans="1:17" x14ac:dyDescent="0.25">
      <c r="A2212" s="9" t="s">
        <v>3247</v>
      </c>
      <c r="B2212" s="2">
        <v>45416</v>
      </c>
      <c r="C2212" s="1" t="s">
        <v>960</v>
      </c>
      <c r="D2212" s="1" t="s">
        <v>71</v>
      </c>
      <c r="E2212" s="1" t="s">
        <v>41</v>
      </c>
      <c r="F2212" s="1" t="s">
        <v>82</v>
      </c>
      <c r="G2212" s="1" t="s">
        <v>42</v>
      </c>
      <c r="H2212" s="1" t="s">
        <v>43</v>
      </c>
      <c r="I2212" s="1" t="s">
        <v>394</v>
      </c>
      <c r="J2212" s="1">
        <v>10</v>
      </c>
      <c r="K2212" s="3">
        <v>3708.99</v>
      </c>
      <c r="L2212" s="1">
        <v>15</v>
      </c>
      <c r="M2212" s="1" t="s">
        <v>22</v>
      </c>
      <c r="N2212" s="10" t="s">
        <v>23</v>
      </c>
      <c r="Q2212"/>
    </row>
    <row r="2213" spans="1:17" x14ac:dyDescent="0.25">
      <c r="A2213" s="9" t="s">
        <v>3248</v>
      </c>
      <c r="B2213" s="2">
        <v>45636</v>
      </c>
      <c r="C2213" s="1" t="s">
        <v>1062</v>
      </c>
      <c r="D2213" s="1" t="s">
        <v>71</v>
      </c>
      <c r="E2213" s="1" t="s">
        <v>41</v>
      </c>
      <c r="F2213" s="1" t="s">
        <v>28</v>
      </c>
      <c r="G2213" s="1" t="s">
        <v>42</v>
      </c>
      <c r="H2213" s="1" t="s">
        <v>61</v>
      </c>
      <c r="I2213" s="1" t="s">
        <v>725</v>
      </c>
      <c r="J2213" s="1">
        <v>6</v>
      </c>
      <c r="K2213" s="3">
        <v>5141.78</v>
      </c>
      <c r="L2213" s="1">
        <v>20</v>
      </c>
      <c r="M2213" s="1" t="s">
        <v>22</v>
      </c>
      <c r="N2213" s="10" t="s">
        <v>23</v>
      </c>
      <c r="Q2213"/>
    </row>
    <row r="2214" spans="1:17" x14ac:dyDescent="0.25">
      <c r="A2214" s="9" t="s">
        <v>3249</v>
      </c>
      <c r="B2214" s="2">
        <v>45355</v>
      </c>
      <c r="C2214" s="1" t="s">
        <v>656</v>
      </c>
      <c r="D2214" s="1" t="s">
        <v>26</v>
      </c>
      <c r="E2214" s="1" t="s">
        <v>27</v>
      </c>
      <c r="F2214" s="1" t="s">
        <v>28</v>
      </c>
      <c r="G2214" s="1" t="s">
        <v>42</v>
      </c>
      <c r="H2214" s="1" t="s">
        <v>61</v>
      </c>
      <c r="I2214" s="1" t="s">
        <v>302</v>
      </c>
      <c r="J2214" s="1">
        <v>8</v>
      </c>
      <c r="K2214" s="3">
        <v>25710.83</v>
      </c>
      <c r="L2214" s="1">
        <v>15</v>
      </c>
      <c r="M2214" s="1" t="s">
        <v>93</v>
      </c>
      <c r="N2214" s="10" t="s">
        <v>45</v>
      </c>
      <c r="Q2214"/>
    </row>
    <row r="2215" spans="1:17" x14ac:dyDescent="0.25">
      <c r="A2215" s="9" t="s">
        <v>3250</v>
      </c>
      <c r="B2215" s="2">
        <v>44937</v>
      </c>
      <c r="C2215" s="1" t="s">
        <v>1715</v>
      </c>
      <c r="D2215" s="1" t="s">
        <v>16</v>
      </c>
      <c r="E2215" s="1" t="s">
        <v>59</v>
      </c>
      <c r="F2215" s="1" t="s">
        <v>82</v>
      </c>
      <c r="G2215" s="1" t="s">
        <v>53</v>
      </c>
      <c r="H2215" s="1" t="s">
        <v>54</v>
      </c>
      <c r="I2215" s="1" t="s">
        <v>639</v>
      </c>
      <c r="J2215" s="1">
        <v>3</v>
      </c>
      <c r="K2215" s="3">
        <v>10525.17</v>
      </c>
      <c r="L2215" s="1">
        <v>0</v>
      </c>
      <c r="M2215" s="1" t="s">
        <v>93</v>
      </c>
      <c r="N2215" s="10" t="s">
        <v>45</v>
      </c>
      <c r="Q2215"/>
    </row>
    <row r="2216" spans="1:17" x14ac:dyDescent="0.25">
      <c r="A2216" s="9" t="s">
        <v>3251</v>
      </c>
      <c r="B2216" s="2">
        <v>45199</v>
      </c>
      <c r="C2216" s="1" t="s">
        <v>570</v>
      </c>
      <c r="D2216" s="1" t="s">
        <v>26</v>
      </c>
      <c r="E2216" s="1" t="s">
        <v>34</v>
      </c>
      <c r="F2216" s="1" t="s">
        <v>18</v>
      </c>
      <c r="G2216" s="1" t="s">
        <v>42</v>
      </c>
      <c r="H2216" s="1" t="s">
        <v>61</v>
      </c>
      <c r="I2216" s="1" t="s">
        <v>151</v>
      </c>
      <c r="J2216" s="1">
        <v>2</v>
      </c>
      <c r="K2216" s="3">
        <v>2084.16</v>
      </c>
      <c r="L2216" s="1">
        <v>10</v>
      </c>
      <c r="M2216" s="1" t="s">
        <v>63</v>
      </c>
      <c r="N2216" s="10" t="s">
        <v>64</v>
      </c>
      <c r="Q2216"/>
    </row>
    <row r="2217" spans="1:17" x14ac:dyDescent="0.25">
      <c r="A2217" s="9" t="s">
        <v>3252</v>
      </c>
      <c r="B2217" s="2">
        <v>45456</v>
      </c>
      <c r="C2217" s="1" t="s">
        <v>1446</v>
      </c>
      <c r="D2217" s="1" t="s">
        <v>87</v>
      </c>
      <c r="E2217" s="1" t="s">
        <v>72</v>
      </c>
      <c r="F2217" s="1" t="s">
        <v>82</v>
      </c>
      <c r="G2217" s="1" t="s">
        <v>53</v>
      </c>
      <c r="H2217" s="1" t="s">
        <v>54</v>
      </c>
      <c r="I2217" s="1" t="s">
        <v>639</v>
      </c>
      <c r="J2217" s="1">
        <v>4</v>
      </c>
      <c r="K2217" s="3">
        <v>18060.13</v>
      </c>
      <c r="L2217" s="1" t="s">
        <v>110</v>
      </c>
      <c r="M2217" s="1" t="s">
        <v>93</v>
      </c>
      <c r="N2217" s="10" t="s">
        <v>74</v>
      </c>
      <c r="Q2217"/>
    </row>
    <row r="2218" spans="1:17" x14ac:dyDescent="0.25">
      <c r="A2218" s="9" t="s">
        <v>3253</v>
      </c>
      <c r="B2218" s="2">
        <v>45317</v>
      </c>
      <c r="C2218" s="1" t="s">
        <v>1628</v>
      </c>
      <c r="D2218" s="1" t="s">
        <v>16</v>
      </c>
      <c r="E2218" s="1" t="s">
        <v>59</v>
      </c>
      <c r="F2218" s="1" t="s">
        <v>60</v>
      </c>
      <c r="G2218" s="1" t="s">
        <v>42</v>
      </c>
      <c r="H2218" s="1" t="s">
        <v>43</v>
      </c>
      <c r="I2218" s="1" t="s">
        <v>394</v>
      </c>
      <c r="J2218" s="1">
        <v>10</v>
      </c>
      <c r="K2218" s="3">
        <v>37814.6</v>
      </c>
      <c r="L2218" s="1">
        <v>10</v>
      </c>
      <c r="M2218" s="1" t="s">
        <v>36</v>
      </c>
      <c r="N2218" s="10" t="s">
        <v>23</v>
      </c>
      <c r="Q2218"/>
    </row>
    <row r="2219" spans="1:17" x14ac:dyDescent="0.25">
      <c r="A2219" s="9" t="s">
        <v>3254</v>
      </c>
      <c r="B2219" s="2">
        <v>45146</v>
      </c>
      <c r="C2219" s="1" t="s">
        <v>1247</v>
      </c>
      <c r="D2219" s="1" t="s">
        <v>81</v>
      </c>
      <c r="E2219" s="1" t="s">
        <v>17</v>
      </c>
      <c r="F2219" s="1" t="s">
        <v>82</v>
      </c>
      <c r="G2219" s="1" t="s">
        <v>19</v>
      </c>
      <c r="H2219" s="1" t="s">
        <v>20</v>
      </c>
      <c r="I2219" s="1" t="s">
        <v>193</v>
      </c>
      <c r="J2219" s="1">
        <v>10</v>
      </c>
      <c r="K2219" s="3">
        <v>42529.4</v>
      </c>
      <c r="L2219" s="1">
        <v>20</v>
      </c>
      <c r="M2219" s="1" t="s">
        <v>69</v>
      </c>
      <c r="N2219" s="10" t="s">
        <v>37</v>
      </c>
      <c r="Q2219"/>
    </row>
    <row r="2220" spans="1:17" x14ac:dyDescent="0.25">
      <c r="A2220" s="9" t="s">
        <v>3255</v>
      </c>
      <c r="B2220" s="2">
        <v>45559</v>
      </c>
      <c r="C2220" s="1" t="s">
        <v>3256</v>
      </c>
      <c r="D2220" s="1" t="s">
        <v>33</v>
      </c>
      <c r="E2220" s="1" t="s">
        <v>72</v>
      </c>
      <c r="F2220" s="1" t="s">
        <v>60</v>
      </c>
      <c r="G2220" s="1" t="s">
        <v>42</v>
      </c>
      <c r="H2220" s="1" t="s">
        <v>43</v>
      </c>
      <c r="I2220" s="1" t="s">
        <v>100</v>
      </c>
      <c r="J2220" s="1">
        <v>6</v>
      </c>
      <c r="K2220" s="3">
        <v>8532.69</v>
      </c>
      <c r="L2220" s="1">
        <v>15</v>
      </c>
      <c r="M2220" s="1" t="s">
        <v>56</v>
      </c>
      <c r="N2220" s="10" t="s">
        <v>64</v>
      </c>
      <c r="Q2220"/>
    </row>
    <row r="2221" spans="1:17" x14ac:dyDescent="0.25">
      <c r="A2221" s="9" t="s">
        <v>3257</v>
      </c>
      <c r="B2221" s="2">
        <v>45154</v>
      </c>
      <c r="C2221" s="1" t="s">
        <v>2031</v>
      </c>
      <c r="D2221" s="1" t="s">
        <v>147</v>
      </c>
      <c r="E2221" s="1" t="s">
        <v>59</v>
      </c>
      <c r="F2221" s="1" t="s">
        <v>99</v>
      </c>
      <c r="G2221" s="1" t="s">
        <v>19</v>
      </c>
      <c r="H2221" s="1" t="s">
        <v>29</v>
      </c>
      <c r="I2221" s="1" t="s">
        <v>1449</v>
      </c>
      <c r="J2221" s="1">
        <v>1</v>
      </c>
      <c r="K2221" s="3">
        <v>1499.92</v>
      </c>
      <c r="L2221" s="1">
        <v>0</v>
      </c>
      <c r="M2221" s="1" t="s">
        <v>63</v>
      </c>
      <c r="N2221" s="10" t="s">
        <v>37</v>
      </c>
      <c r="Q2221"/>
    </row>
    <row r="2222" spans="1:17" x14ac:dyDescent="0.25">
      <c r="A2222" s="9" t="s">
        <v>3258</v>
      </c>
      <c r="B2222" s="2">
        <v>45377</v>
      </c>
      <c r="C2222" s="1" t="s">
        <v>1549</v>
      </c>
      <c r="D2222" s="1" t="s">
        <v>33</v>
      </c>
      <c r="E2222" s="1" t="s">
        <v>27</v>
      </c>
      <c r="F2222" s="1" t="s">
        <v>28</v>
      </c>
      <c r="G2222" s="1" t="s">
        <v>53</v>
      </c>
      <c r="H2222" s="1" t="s">
        <v>54</v>
      </c>
      <c r="I2222" s="1" t="s">
        <v>946</v>
      </c>
      <c r="J2222" s="1">
        <v>8</v>
      </c>
      <c r="K2222" s="3">
        <v>31213.33</v>
      </c>
      <c r="L2222" s="1" t="s">
        <v>110</v>
      </c>
      <c r="M2222" s="1" t="s">
        <v>36</v>
      </c>
      <c r="N2222" s="10" t="s">
        <v>74</v>
      </c>
      <c r="Q2222"/>
    </row>
    <row r="2223" spans="1:17" x14ac:dyDescent="0.25">
      <c r="A2223" s="9" t="s">
        <v>3259</v>
      </c>
      <c r="B2223" s="2">
        <v>45362</v>
      </c>
      <c r="C2223" s="1" t="s">
        <v>307</v>
      </c>
      <c r="D2223" s="1" t="s">
        <v>33</v>
      </c>
      <c r="E2223" s="1" t="s">
        <v>27</v>
      </c>
      <c r="F2223" s="1" t="s">
        <v>82</v>
      </c>
      <c r="G2223" s="1" t="s">
        <v>83</v>
      </c>
      <c r="H2223" s="1" t="s">
        <v>43</v>
      </c>
      <c r="I2223" s="1" t="s">
        <v>329</v>
      </c>
      <c r="J2223" s="1">
        <v>6</v>
      </c>
      <c r="K2223" s="3">
        <v>7435.24</v>
      </c>
      <c r="L2223" s="1">
        <v>5</v>
      </c>
      <c r="M2223" s="1" t="s">
        <v>56</v>
      </c>
      <c r="N2223" s="10" t="s">
        <v>64</v>
      </c>
      <c r="Q2223"/>
    </row>
    <row r="2224" spans="1:17" x14ac:dyDescent="0.25">
      <c r="A2224" s="9" t="s">
        <v>3260</v>
      </c>
      <c r="B2224" s="2">
        <v>45513</v>
      </c>
      <c r="C2224" s="1" t="s">
        <v>1358</v>
      </c>
      <c r="D2224" s="1" t="s">
        <v>16</v>
      </c>
      <c r="E2224" s="1" t="s">
        <v>27</v>
      </c>
      <c r="F2224" s="1" t="s">
        <v>28</v>
      </c>
      <c r="G2224" s="1" t="s">
        <v>83</v>
      </c>
      <c r="H2224" s="1" t="s">
        <v>43</v>
      </c>
      <c r="I2224" s="1" t="s">
        <v>244</v>
      </c>
      <c r="J2224" s="1">
        <v>8</v>
      </c>
      <c r="K2224" s="3">
        <v>36333.879999999997</v>
      </c>
      <c r="L2224" s="1">
        <v>20</v>
      </c>
      <c r="M2224" s="1" t="s">
        <v>69</v>
      </c>
      <c r="N2224" s="10" t="s">
        <v>37</v>
      </c>
      <c r="Q2224"/>
    </row>
    <row r="2225" spans="1:17" x14ac:dyDescent="0.25">
      <c r="A2225" s="9" t="s">
        <v>3261</v>
      </c>
      <c r="B2225" s="2">
        <v>45093</v>
      </c>
      <c r="C2225" s="1" t="s">
        <v>3262</v>
      </c>
      <c r="D2225" s="1" t="s">
        <v>81</v>
      </c>
      <c r="E2225" s="1" t="s">
        <v>27</v>
      </c>
      <c r="F2225" s="1" t="s">
        <v>88</v>
      </c>
      <c r="G2225" s="1" t="s">
        <v>19</v>
      </c>
      <c r="H2225" s="1" t="s">
        <v>29</v>
      </c>
      <c r="I2225" s="1" t="s">
        <v>445</v>
      </c>
      <c r="J2225" s="1">
        <v>4</v>
      </c>
      <c r="K2225" s="3">
        <v>1437.49</v>
      </c>
      <c r="L2225" s="1">
        <v>5</v>
      </c>
      <c r="M2225" s="1" t="s">
        <v>63</v>
      </c>
      <c r="N2225" s="10" t="s">
        <v>74</v>
      </c>
      <c r="Q2225"/>
    </row>
    <row r="2226" spans="1:17" x14ac:dyDescent="0.25">
      <c r="A2226" s="9" t="s">
        <v>3263</v>
      </c>
      <c r="B2226" s="2">
        <v>44975</v>
      </c>
      <c r="C2226" s="1" t="s">
        <v>3264</v>
      </c>
      <c r="D2226" s="1" t="s">
        <v>81</v>
      </c>
      <c r="E2226" s="1" t="s">
        <v>27</v>
      </c>
      <c r="F2226" s="1" t="s">
        <v>49</v>
      </c>
      <c r="G2226" s="1" t="s">
        <v>42</v>
      </c>
      <c r="H2226" s="1" t="s">
        <v>61</v>
      </c>
      <c r="I2226" s="1" t="s">
        <v>667</v>
      </c>
      <c r="J2226" s="1">
        <v>10</v>
      </c>
      <c r="K2226" s="3">
        <v>10847.4</v>
      </c>
      <c r="L2226" s="1">
        <v>20</v>
      </c>
      <c r="M2226" s="1" t="s">
        <v>36</v>
      </c>
      <c r="N2226" s="10" t="s">
        <v>64</v>
      </c>
      <c r="Q2226"/>
    </row>
    <row r="2227" spans="1:17" x14ac:dyDescent="0.25">
      <c r="A2227" s="9" t="s">
        <v>3265</v>
      </c>
      <c r="B2227" s="2">
        <v>44958</v>
      </c>
      <c r="C2227" s="1" t="s">
        <v>439</v>
      </c>
      <c r="D2227" s="1" t="s">
        <v>399</v>
      </c>
      <c r="E2227" s="1" t="s">
        <v>72</v>
      </c>
      <c r="F2227" s="1" t="s">
        <v>18</v>
      </c>
      <c r="G2227" s="1" t="s">
        <v>19</v>
      </c>
      <c r="H2227" s="1" t="s">
        <v>20</v>
      </c>
      <c r="I2227" s="1" t="s">
        <v>214</v>
      </c>
      <c r="J2227" s="1">
        <v>5</v>
      </c>
      <c r="K2227" s="3">
        <v>21028.7</v>
      </c>
      <c r="L2227" s="1">
        <v>20</v>
      </c>
      <c r="M2227" s="1" t="s">
        <v>93</v>
      </c>
      <c r="N2227" s="10" t="s">
        <v>64</v>
      </c>
      <c r="Q2227"/>
    </row>
    <row r="2228" spans="1:17" x14ac:dyDescent="0.25">
      <c r="A2228" s="9" t="s">
        <v>3266</v>
      </c>
      <c r="B2228" s="2">
        <v>45476</v>
      </c>
      <c r="C2228" s="1" t="s">
        <v>66</v>
      </c>
      <c r="D2228" s="1" t="s">
        <v>87</v>
      </c>
      <c r="E2228" s="1" t="s">
        <v>27</v>
      </c>
      <c r="F2228" s="1" t="s">
        <v>18</v>
      </c>
      <c r="G2228" s="1" t="s">
        <v>42</v>
      </c>
      <c r="H2228" s="1" t="s">
        <v>61</v>
      </c>
      <c r="I2228" s="1" t="s">
        <v>833</v>
      </c>
      <c r="J2228" s="1">
        <v>4</v>
      </c>
      <c r="K2228" s="3">
        <v>13296.14</v>
      </c>
      <c r="L2228" s="1">
        <v>15</v>
      </c>
      <c r="M2228" s="1" t="s">
        <v>36</v>
      </c>
      <c r="N2228" s="10" t="s">
        <v>74</v>
      </c>
      <c r="Q2228"/>
    </row>
    <row r="2229" spans="1:17" x14ac:dyDescent="0.25">
      <c r="A2229" s="9" t="s">
        <v>3267</v>
      </c>
      <c r="B2229" s="2">
        <v>45463</v>
      </c>
      <c r="C2229" s="1" t="s">
        <v>3268</v>
      </c>
      <c r="D2229" s="1" t="s">
        <v>26</v>
      </c>
      <c r="E2229" s="1" t="s">
        <v>27</v>
      </c>
      <c r="F2229" s="1" t="s">
        <v>82</v>
      </c>
      <c r="G2229" s="1" t="s">
        <v>19</v>
      </c>
      <c r="H2229" s="1" t="s">
        <v>20</v>
      </c>
      <c r="I2229" s="1" t="s">
        <v>230</v>
      </c>
      <c r="J2229" s="1">
        <v>10</v>
      </c>
      <c r="K2229" s="3">
        <v>10212.93</v>
      </c>
      <c r="L2229" s="1">
        <v>20</v>
      </c>
      <c r="M2229" s="1" t="s">
        <v>63</v>
      </c>
      <c r="N2229" s="10" t="s">
        <v>23</v>
      </c>
      <c r="Q2229"/>
    </row>
    <row r="2230" spans="1:17" x14ac:dyDescent="0.25">
      <c r="A2230" s="9" t="s">
        <v>3269</v>
      </c>
      <c r="B2230" s="2">
        <v>45554</v>
      </c>
      <c r="C2230" s="1" t="s">
        <v>601</v>
      </c>
      <c r="D2230" s="1" t="s">
        <v>33</v>
      </c>
      <c r="E2230" s="1" t="s">
        <v>41</v>
      </c>
      <c r="F2230" s="1" t="s">
        <v>28</v>
      </c>
      <c r="G2230" s="1" t="s">
        <v>19</v>
      </c>
      <c r="H2230" s="1" t="s">
        <v>20</v>
      </c>
      <c r="I2230" s="1" t="s">
        <v>254</v>
      </c>
      <c r="J2230" s="1">
        <v>5</v>
      </c>
      <c r="K2230" s="3">
        <v>20472.04</v>
      </c>
      <c r="L2230" s="1">
        <v>15</v>
      </c>
      <c r="M2230" s="1" t="s">
        <v>56</v>
      </c>
      <c r="N2230" s="10" t="s">
        <v>45</v>
      </c>
      <c r="Q2230"/>
    </row>
    <row r="2231" spans="1:17" x14ac:dyDescent="0.25">
      <c r="A2231" s="9" t="s">
        <v>3270</v>
      </c>
      <c r="B2231" s="2">
        <v>45388</v>
      </c>
      <c r="C2231" s="1" t="s">
        <v>341</v>
      </c>
      <c r="D2231" s="1" t="s">
        <v>87</v>
      </c>
      <c r="E2231" s="1" t="s">
        <v>17</v>
      </c>
      <c r="F2231" s="1" t="s">
        <v>28</v>
      </c>
      <c r="G2231" s="1" t="s">
        <v>19</v>
      </c>
      <c r="H2231" s="1" t="s">
        <v>29</v>
      </c>
      <c r="I2231" s="1" t="s">
        <v>452</v>
      </c>
      <c r="J2231" s="1">
        <v>1</v>
      </c>
      <c r="K2231" s="3">
        <v>3336.25</v>
      </c>
      <c r="L2231" s="1">
        <v>0</v>
      </c>
      <c r="M2231" s="1" t="s">
        <v>69</v>
      </c>
      <c r="N2231" s="10" t="s">
        <v>37</v>
      </c>
      <c r="Q2231"/>
    </row>
    <row r="2232" spans="1:17" x14ac:dyDescent="0.25">
      <c r="A2232" s="9" t="s">
        <v>3271</v>
      </c>
      <c r="B2232" s="2">
        <v>45125</v>
      </c>
      <c r="C2232" s="1" t="s">
        <v>228</v>
      </c>
      <c r="D2232" s="1" t="s">
        <v>81</v>
      </c>
      <c r="E2232" s="1" t="s">
        <v>34</v>
      </c>
      <c r="F2232" s="1" t="s">
        <v>82</v>
      </c>
      <c r="G2232" s="1" t="s">
        <v>83</v>
      </c>
      <c r="H2232" s="1" t="s">
        <v>43</v>
      </c>
      <c r="I2232" s="1" t="s">
        <v>394</v>
      </c>
      <c r="J2232" s="1">
        <v>1</v>
      </c>
      <c r="K2232" s="3">
        <v>2659.82</v>
      </c>
      <c r="L2232" s="1">
        <v>10</v>
      </c>
      <c r="M2232" s="1" t="s">
        <v>63</v>
      </c>
      <c r="N2232" s="10" t="s">
        <v>64</v>
      </c>
      <c r="Q2232"/>
    </row>
    <row r="2233" spans="1:17" x14ac:dyDescent="0.25">
      <c r="A2233" s="9" t="s">
        <v>3272</v>
      </c>
      <c r="B2233" s="2">
        <v>45517</v>
      </c>
      <c r="C2233" s="1" t="s">
        <v>1017</v>
      </c>
      <c r="D2233" s="1" t="s">
        <v>67</v>
      </c>
      <c r="E2233" s="1" t="s">
        <v>41</v>
      </c>
      <c r="F2233" s="1" t="s">
        <v>99</v>
      </c>
      <c r="G2233" s="1" t="s">
        <v>42</v>
      </c>
      <c r="H2233" s="1" t="s">
        <v>61</v>
      </c>
      <c r="I2233" s="1" t="s">
        <v>62</v>
      </c>
      <c r="J2233" s="1">
        <v>7</v>
      </c>
      <c r="K2233" s="3">
        <v>1967.63</v>
      </c>
      <c r="L2233" s="1">
        <v>5</v>
      </c>
      <c r="M2233" s="1" t="s">
        <v>63</v>
      </c>
      <c r="N2233" s="10" t="s">
        <v>37</v>
      </c>
      <c r="Q2233"/>
    </row>
    <row r="2234" spans="1:17" x14ac:dyDescent="0.25">
      <c r="A2234" s="9" t="s">
        <v>3273</v>
      </c>
      <c r="B2234" s="2">
        <v>45091</v>
      </c>
      <c r="C2234" s="1" t="s">
        <v>1055</v>
      </c>
      <c r="D2234" s="1" t="s">
        <v>147</v>
      </c>
      <c r="E2234" s="1" t="s">
        <v>72</v>
      </c>
      <c r="F2234" s="1" t="s">
        <v>82</v>
      </c>
      <c r="G2234" s="1" t="s">
        <v>42</v>
      </c>
      <c r="H2234" s="1" t="s">
        <v>61</v>
      </c>
      <c r="I2234" s="1" t="s">
        <v>234</v>
      </c>
      <c r="J2234" s="1">
        <v>7</v>
      </c>
      <c r="K2234" s="3">
        <v>33539.1</v>
      </c>
      <c r="L2234" s="1">
        <v>0</v>
      </c>
      <c r="M2234" s="1" t="s">
        <v>69</v>
      </c>
      <c r="N2234" s="10" t="s">
        <v>64</v>
      </c>
      <c r="Q2234"/>
    </row>
    <row r="2235" spans="1:17" x14ac:dyDescent="0.25">
      <c r="A2235" s="9" t="s">
        <v>3274</v>
      </c>
      <c r="B2235" s="2">
        <v>45378</v>
      </c>
      <c r="C2235" s="1" t="s">
        <v>401</v>
      </c>
      <c r="D2235" s="1" t="s">
        <v>71</v>
      </c>
      <c r="E2235" s="1" t="s">
        <v>17</v>
      </c>
      <c r="F2235" s="1" t="s">
        <v>82</v>
      </c>
      <c r="G2235" s="1" t="s">
        <v>19</v>
      </c>
      <c r="H2235" s="1" t="s">
        <v>29</v>
      </c>
      <c r="I2235" s="1" t="s">
        <v>162</v>
      </c>
      <c r="J2235" s="1">
        <v>8</v>
      </c>
      <c r="K2235" s="3">
        <v>15167.45</v>
      </c>
      <c r="L2235" s="1" t="s">
        <v>110</v>
      </c>
      <c r="M2235" s="1" t="s">
        <v>56</v>
      </c>
      <c r="N2235" s="10" t="s">
        <v>74</v>
      </c>
      <c r="Q2235"/>
    </row>
    <row r="2236" spans="1:17" x14ac:dyDescent="0.25">
      <c r="A2236" s="9" t="s">
        <v>3275</v>
      </c>
      <c r="B2236" s="2">
        <v>45444</v>
      </c>
      <c r="C2236" s="1" t="s">
        <v>2330</v>
      </c>
      <c r="D2236" s="1" t="s">
        <v>87</v>
      </c>
      <c r="E2236" s="1" t="s">
        <v>41</v>
      </c>
      <c r="F2236" s="1" t="s">
        <v>28</v>
      </c>
      <c r="G2236" s="1" t="s">
        <v>42</v>
      </c>
      <c r="H2236" s="1" t="s">
        <v>43</v>
      </c>
      <c r="I2236" s="1" t="s">
        <v>258</v>
      </c>
      <c r="J2236" s="1">
        <v>8</v>
      </c>
      <c r="K2236" s="3">
        <v>26365.57</v>
      </c>
      <c r="L2236" s="1">
        <v>5</v>
      </c>
      <c r="M2236" s="1" t="s">
        <v>63</v>
      </c>
      <c r="N2236" s="10" t="s">
        <v>74</v>
      </c>
      <c r="Q2236"/>
    </row>
    <row r="2237" spans="1:17" x14ac:dyDescent="0.25">
      <c r="A2237" s="9" t="s">
        <v>3276</v>
      </c>
      <c r="B2237" s="2">
        <v>44953</v>
      </c>
      <c r="C2237" s="1" t="s">
        <v>1616</v>
      </c>
      <c r="D2237" s="1" t="s">
        <v>52</v>
      </c>
      <c r="E2237" s="1" t="s">
        <v>41</v>
      </c>
      <c r="F2237" s="1" t="s">
        <v>49</v>
      </c>
      <c r="G2237" s="1" t="s">
        <v>42</v>
      </c>
      <c r="H2237" s="1" t="s">
        <v>43</v>
      </c>
      <c r="I2237" s="1" t="s">
        <v>258</v>
      </c>
      <c r="J2237" s="1">
        <v>9</v>
      </c>
      <c r="K2237" s="3">
        <v>12497.76</v>
      </c>
      <c r="L2237" s="1">
        <v>20</v>
      </c>
      <c r="M2237" s="1" t="s">
        <v>56</v>
      </c>
      <c r="N2237" s="10" t="s">
        <v>74</v>
      </c>
      <c r="Q2237"/>
    </row>
    <row r="2238" spans="1:17" x14ac:dyDescent="0.25">
      <c r="A2238" s="9" t="s">
        <v>3277</v>
      </c>
      <c r="B2238" s="2">
        <v>45250</v>
      </c>
      <c r="C2238" s="1" t="s">
        <v>1312</v>
      </c>
      <c r="D2238" s="1" t="s">
        <v>40</v>
      </c>
      <c r="E2238" s="1" t="s">
        <v>17</v>
      </c>
      <c r="F2238" s="1" t="s">
        <v>99</v>
      </c>
      <c r="G2238" s="1" t="s">
        <v>42</v>
      </c>
      <c r="H2238" s="1" t="s">
        <v>43</v>
      </c>
      <c r="I2238" s="1" t="s">
        <v>704</v>
      </c>
      <c r="J2238" s="1">
        <v>9</v>
      </c>
      <c r="K2238" s="3">
        <v>26830.04</v>
      </c>
      <c r="L2238" s="1">
        <v>10</v>
      </c>
      <c r="M2238" s="1" t="s">
        <v>69</v>
      </c>
      <c r="N2238" s="10" t="s">
        <v>37</v>
      </c>
      <c r="Q2238"/>
    </row>
    <row r="2239" spans="1:17" x14ac:dyDescent="0.25">
      <c r="A2239" s="9" t="s">
        <v>3278</v>
      </c>
      <c r="B2239" s="2">
        <v>45559</v>
      </c>
      <c r="C2239" s="1" t="s">
        <v>2456</v>
      </c>
      <c r="D2239" s="1" t="s">
        <v>87</v>
      </c>
      <c r="E2239" s="1" t="s">
        <v>72</v>
      </c>
      <c r="F2239" s="1" t="s">
        <v>49</v>
      </c>
      <c r="G2239" s="1" t="s">
        <v>42</v>
      </c>
      <c r="H2239" s="1" t="s">
        <v>43</v>
      </c>
      <c r="I2239" s="1" t="s">
        <v>323</v>
      </c>
      <c r="J2239" s="1">
        <v>3</v>
      </c>
      <c r="K2239" s="3">
        <v>11108.56</v>
      </c>
      <c r="L2239" s="1">
        <v>0</v>
      </c>
      <c r="M2239" s="1" t="s">
        <v>63</v>
      </c>
      <c r="N2239" s="10" t="s">
        <v>31</v>
      </c>
      <c r="Q2239"/>
    </row>
    <row r="2240" spans="1:17" x14ac:dyDescent="0.25">
      <c r="A2240" s="9" t="s">
        <v>3279</v>
      </c>
      <c r="B2240" s="2">
        <v>45058</v>
      </c>
      <c r="C2240" s="1" t="s">
        <v>1444</v>
      </c>
      <c r="D2240" s="1" t="s">
        <v>26</v>
      </c>
      <c r="E2240" s="1" t="s">
        <v>41</v>
      </c>
      <c r="F2240" s="1" t="s">
        <v>18</v>
      </c>
      <c r="G2240" s="1" t="s">
        <v>42</v>
      </c>
      <c r="H2240" s="1" t="s">
        <v>61</v>
      </c>
      <c r="I2240" s="1" t="s">
        <v>388</v>
      </c>
      <c r="J2240" s="1">
        <v>3</v>
      </c>
      <c r="K2240" s="3">
        <v>619.23</v>
      </c>
      <c r="L2240" s="1">
        <v>15</v>
      </c>
      <c r="M2240" s="1" t="s">
        <v>93</v>
      </c>
      <c r="N2240" s="10" t="s">
        <v>74</v>
      </c>
      <c r="Q2240"/>
    </row>
    <row r="2241" spans="1:17" x14ac:dyDescent="0.25">
      <c r="A2241" s="9" t="s">
        <v>3280</v>
      </c>
      <c r="B2241" s="2">
        <v>45403</v>
      </c>
      <c r="C2241" s="1" t="s">
        <v>910</v>
      </c>
      <c r="D2241" s="1" t="s">
        <v>81</v>
      </c>
      <c r="E2241" s="1" t="s">
        <v>34</v>
      </c>
      <c r="F2241" s="1" t="s">
        <v>99</v>
      </c>
      <c r="G2241" s="1" t="s">
        <v>42</v>
      </c>
      <c r="H2241" s="1" t="s">
        <v>43</v>
      </c>
      <c r="I2241" s="1" t="s">
        <v>144</v>
      </c>
      <c r="J2241" s="1">
        <v>5</v>
      </c>
      <c r="K2241" s="3">
        <v>16118.07</v>
      </c>
      <c r="L2241" s="1">
        <v>15</v>
      </c>
      <c r="M2241" s="1" t="s">
        <v>56</v>
      </c>
      <c r="N2241" s="10" t="s">
        <v>45</v>
      </c>
      <c r="Q2241"/>
    </row>
    <row r="2242" spans="1:17" x14ac:dyDescent="0.25">
      <c r="A2242" s="9" t="s">
        <v>3281</v>
      </c>
      <c r="B2242" s="2">
        <v>45627</v>
      </c>
      <c r="C2242" s="1" t="s">
        <v>1233</v>
      </c>
      <c r="D2242" s="1" t="s">
        <v>67</v>
      </c>
      <c r="E2242" s="1" t="s">
        <v>17</v>
      </c>
      <c r="F2242" s="1" t="s">
        <v>99</v>
      </c>
      <c r="G2242" s="1" t="s">
        <v>19</v>
      </c>
      <c r="H2242" s="1" t="s">
        <v>20</v>
      </c>
      <c r="I2242" s="1" t="s">
        <v>127</v>
      </c>
      <c r="J2242" s="1">
        <v>6</v>
      </c>
      <c r="K2242" s="3">
        <v>2796.78</v>
      </c>
      <c r="L2242" s="1">
        <v>20</v>
      </c>
      <c r="M2242" s="1" t="s">
        <v>22</v>
      </c>
      <c r="N2242" s="10" t="s">
        <v>31</v>
      </c>
      <c r="Q2242"/>
    </row>
    <row r="2243" spans="1:17" x14ac:dyDescent="0.25">
      <c r="A2243" s="9" t="s">
        <v>3282</v>
      </c>
      <c r="B2243" s="2">
        <v>45011</v>
      </c>
      <c r="C2243" s="1" t="s">
        <v>1229</v>
      </c>
      <c r="D2243" s="1" t="s">
        <v>16</v>
      </c>
      <c r="E2243" s="1" t="s">
        <v>72</v>
      </c>
      <c r="F2243" s="1" t="s">
        <v>88</v>
      </c>
      <c r="G2243" s="1" t="s">
        <v>83</v>
      </c>
      <c r="H2243" s="1" t="s">
        <v>43</v>
      </c>
      <c r="I2243" s="1" t="s">
        <v>365</v>
      </c>
      <c r="J2243" s="1">
        <v>3</v>
      </c>
      <c r="K2243" s="3">
        <v>13484.79</v>
      </c>
      <c r="L2243" s="1">
        <v>20</v>
      </c>
      <c r="M2243" s="1" t="s">
        <v>63</v>
      </c>
      <c r="N2243" s="10" t="s">
        <v>31</v>
      </c>
      <c r="Q2243"/>
    </row>
    <row r="2244" spans="1:17" x14ac:dyDescent="0.25">
      <c r="A2244" s="9" t="s">
        <v>3283</v>
      </c>
      <c r="B2244" s="2">
        <v>45215</v>
      </c>
      <c r="C2244" s="1" t="s">
        <v>629</v>
      </c>
      <c r="D2244" s="1" t="s">
        <v>147</v>
      </c>
      <c r="E2244" s="1" t="s">
        <v>41</v>
      </c>
      <c r="F2244" s="1" t="s">
        <v>88</v>
      </c>
      <c r="G2244" s="1" t="s">
        <v>42</v>
      </c>
      <c r="H2244" s="1" t="s">
        <v>43</v>
      </c>
      <c r="I2244" s="1" t="s">
        <v>339</v>
      </c>
      <c r="J2244" s="1">
        <v>2</v>
      </c>
      <c r="K2244" s="3">
        <v>7081.48</v>
      </c>
      <c r="L2244" s="1">
        <v>15</v>
      </c>
      <c r="M2244" s="1" t="s">
        <v>63</v>
      </c>
      <c r="N2244" s="10" t="s">
        <v>37</v>
      </c>
      <c r="Q2244"/>
    </row>
    <row r="2245" spans="1:17" x14ac:dyDescent="0.25">
      <c r="A2245" s="9" t="s">
        <v>3284</v>
      </c>
      <c r="B2245" s="2">
        <v>45467</v>
      </c>
      <c r="C2245" s="1" t="s">
        <v>2347</v>
      </c>
      <c r="D2245" s="1" t="s">
        <v>71</v>
      </c>
      <c r="E2245" s="1" t="s">
        <v>34</v>
      </c>
      <c r="F2245" s="1" t="s">
        <v>28</v>
      </c>
      <c r="G2245" s="1" t="s">
        <v>42</v>
      </c>
      <c r="H2245" s="1" t="s">
        <v>61</v>
      </c>
      <c r="I2245" s="1" t="s">
        <v>529</v>
      </c>
      <c r="J2245" s="1">
        <v>10</v>
      </c>
      <c r="K2245" s="3">
        <v>47109.21</v>
      </c>
      <c r="L2245" s="1">
        <v>20</v>
      </c>
      <c r="M2245" s="1" t="s">
        <v>69</v>
      </c>
      <c r="N2245" s="10" t="s">
        <v>64</v>
      </c>
      <c r="Q2245"/>
    </row>
    <row r="2246" spans="1:17" x14ac:dyDescent="0.25">
      <c r="A2246" s="9" t="s">
        <v>3285</v>
      </c>
      <c r="B2246" s="2">
        <v>45004</v>
      </c>
      <c r="C2246" s="1" t="s">
        <v>3286</v>
      </c>
      <c r="D2246" s="1" t="s">
        <v>81</v>
      </c>
      <c r="E2246" s="1" t="s">
        <v>59</v>
      </c>
      <c r="F2246" s="1" t="s">
        <v>88</v>
      </c>
      <c r="G2246" s="1" t="s">
        <v>42</v>
      </c>
      <c r="H2246" s="1" t="s">
        <v>61</v>
      </c>
      <c r="I2246" s="1" t="s">
        <v>106</v>
      </c>
      <c r="J2246" s="1">
        <v>1</v>
      </c>
      <c r="K2246" s="3">
        <v>2628.47</v>
      </c>
      <c r="L2246" s="1" t="s">
        <v>110</v>
      </c>
      <c r="M2246" s="1" t="s">
        <v>93</v>
      </c>
      <c r="N2246" s="10" t="s">
        <v>64</v>
      </c>
      <c r="Q2246"/>
    </row>
    <row r="2247" spans="1:17" x14ac:dyDescent="0.25">
      <c r="A2247" s="9" t="s">
        <v>3287</v>
      </c>
      <c r="B2247" s="2">
        <v>45068</v>
      </c>
      <c r="C2247" s="1" t="s">
        <v>2739</v>
      </c>
      <c r="D2247" s="1" t="s">
        <v>81</v>
      </c>
      <c r="E2247" s="1" t="s">
        <v>72</v>
      </c>
      <c r="F2247" s="1" t="s">
        <v>18</v>
      </c>
      <c r="G2247" s="1" t="s">
        <v>53</v>
      </c>
      <c r="H2247" s="1" t="s">
        <v>54</v>
      </c>
      <c r="I2247" s="1" t="s">
        <v>121</v>
      </c>
      <c r="J2247" s="1">
        <v>6</v>
      </c>
      <c r="K2247" s="3">
        <v>10550.57</v>
      </c>
      <c r="L2247" s="1">
        <v>5</v>
      </c>
      <c r="M2247" s="1" t="s">
        <v>36</v>
      </c>
      <c r="N2247" s="10" t="s">
        <v>37</v>
      </c>
      <c r="Q2247"/>
    </row>
    <row r="2248" spans="1:17" x14ac:dyDescent="0.25">
      <c r="A2248" s="9" t="s">
        <v>3288</v>
      </c>
      <c r="B2248" s="2">
        <v>45159</v>
      </c>
      <c r="C2248" s="1" t="s">
        <v>3070</v>
      </c>
      <c r="D2248" s="1" t="s">
        <v>81</v>
      </c>
      <c r="E2248" s="1" t="s">
        <v>27</v>
      </c>
      <c r="F2248" s="1" t="s">
        <v>88</v>
      </c>
      <c r="G2248" s="1" t="s">
        <v>53</v>
      </c>
      <c r="H2248" s="1" t="s">
        <v>54</v>
      </c>
      <c r="I2248" s="1" t="s">
        <v>132</v>
      </c>
      <c r="J2248" s="1">
        <v>6</v>
      </c>
      <c r="K2248" s="3">
        <v>15258.09</v>
      </c>
      <c r="L2248" s="1">
        <v>15</v>
      </c>
      <c r="M2248" s="1" t="s">
        <v>22</v>
      </c>
      <c r="N2248" s="10" t="s">
        <v>64</v>
      </c>
      <c r="Q2248"/>
    </row>
    <row r="2249" spans="1:17" x14ac:dyDescent="0.25">
      <c r="A2249" s="9" t="s">
        <v>3289</v>
      </c>
      <c r="B2249" s="2">
        <v>45270</v>
      </c>
      <c r="C2249" s="1" t="s">
        <v>2488</v>
      </c>
      <c r="D2249" s="1" t="s">
        <v>147</v>
      </c>
      <c r="E2249" s="1" t="s">
        <v>17</v>
      </c>
      <c r="F2249" s="1" t="s">
        <v>28</v>
      </c>
      <c r="G2249" s="1" t="s">
        <v>19</v>
      </c>
      <c r="H2249" s="1" t="s">
        <v>20</v>
      </c>
      <c r="I2249" s="1" t="s">
        <v>226</v>
      </c>
      <c r="J2249" s="1">
        <v>2</v>
      </c>
      <c r="K2249" s="3">
        <v>242.89</v>
      </c>
      <c r="L2249" s="1">
        <v>20</v>
      </c>
      <c r="M2249" s="1" t="s">
        <v>22</v>
      </c>
      <c r="N2249" s="10" t="s">
        <v>64</v>
      </c>
      <c r="Q2249"/>
    </row>
    <row r="2250" spans="1:17" x14ac:dyDescent="0.25">
      <c r="A2250" s="9" t="s">
        <v>3290</v>
      </c>
      <c r="B2250" s="2">
        <v>45502</v>
      </c>
      <c r="C2250" s="1" t="s">
        <v>2808</v>
      </c>
      <c r="D2250" s="1" t="s">
        <v>71</v>
      </c>
      <c r="E2250" s="1" t="s">
        <v>41</v>
      </c>
      <c r="F2250" s="1" t="s">
        <v>82</v>
      </c>
      <c r="G2250" s="1" t="s">
        <v>42</v>
      </c>
      <c r="H2250" s="1" t="s">
        <v>43</v>
      </c>
      <c r="I2250" s="1" t="s">
        <v>84</v>
      </c>
      <c r="J2250" s="1">
        <v>9</v>
      </c>
      <c r="K2250" s="3">
        <v>36433.519999999997</v>
      </c>
      <c r="L2250" s="1">
        <v>10</v>
      </c>
      <c r="M2250" s="1" t="s">
        <v>69</v>
      </c>
      <c r="N2250" s="10" t="s">
        <v>31</v>
      </c>
      <c r="Q2250"/>
    </row>
    <row r="2251" spans="1:17" x14ac:dyDescent="0.25">
      <c r="A2251" s="9" t="s">
        <v>3291</v>
      </c>
      <c r="B2251" s="2">
        <v>45332</v>
      </c>
      <c r="C2251" s="1" t="s">
        <v>1282</v>
      </c>
      <c r="D2251" s="1" t="s">
        <v>147</v>
      </c>
      <c r="E2251" s="1" t="s">
        <v>27</v>
      </c>
      <c r="F2251" s="1" t="s">
        <v>28</v>
      </c>
      <c r="G2251" s="1" t="s">
        <v>42</v>
      </c>
      <c r="H2251" s="1" t="s">
        <v>61</v>
      </c>
      <c r="I2251" s="1" t="s">
        <v>185</v>
      </c>
      <c r="J2251" s="1">
        <v>6</v>
      </c>
      <c r="K2251" s="3">
        <v>24395.87</v>
      </c>
      <c r="L2251" s="1">
        <v>20</v>
      </c>
      <c r="M2251" s="1" t="s">
        <v>93</v>
      </c>
      <c r="N2251" s="10" t="s">
        <v>37</v>
      </c>
      <c r="Q2251"/>
    </row>
    <row r="2252" spans="1:17" x14ac:dyDescent="0.25">
      <c r="A2252" s="9" t="s">
        <v>3292</v>
      </c>
      <c r="B2252" s="2">
        <v>45091</v>
      </c>
      <c r="C2252" s="1" t="s">
        <v>474</v>
      </c>
      <c r="D2252" s="1" t="s">
        <v>16</v>
      </c>
      <c r="E2252" s="1" t="s">
        <v>27</v>
      </c>
      <c r="F2252" s="1" t="s">
        <v>88</v>
      </c>
      <c r="G2252" s="1" t="s">
        <v>19</v>
      </c>
      <c r="H2252" s="1" t="s">
        <v>29</v>
      </c>
      <c r="I2252" s="1" t="s">
        <v>223</v>
      </c>
      <c r="J2252" s="1">
        <v>6</v>
      </c>
      <c r="K2252" s="3">
        <v>7148.43</v>
      </c>
      <c r="L2252" s="1">
        <v>10</v>
      </c>
      <c r="M2252" s="1" t="s">
        <v>56</v>
      </c>
      <c r="N2252" s="10" t="s">
        <v>31</v>
      </c>
      <c r="Q2252"/>
    </row>
    <row r="2253" spans="1:17" x14ac:dyDescent="0.25">
      <c r="A2253" s="9" t="s">
        <v>3293</v>
      </c>
      <c r="B2253" s="2">
        <v>44935</v>
      </c>
      <c r="C2253" s="1" t="s">
        <v>271</v>
      </c>
      <c r="D2253" s="1" t="s">
        <v>52</v>
      </c>
      <c r="E2253" s="1" t="s">
        <v>27</v>
      </c>
      <c r="F2253" s="1" t="s">
        <v>82</v>
      </c>
      <c r="G2253" s="1" t="s">
        <v>83</v>
      </c>
      <c r="H2253" s="1" t="s">
        <v>43</v>
      </c>
      <c r="I2253" s="1" t="s">
        <v>394</v>
      </c>
      <c r="J2253" s="1">
        <v>2</v>
      </c>
      <c r="K2253" s="3">
        <v>5966.78</v>
      </c>
      <c r="L2253" s="1">
        <v>20</v>
      </c>
      <c r="M2253" s="1" t="s">
        <v>69</v>
      </c>
      <c r="N2253" s="10" t="s">
        <v>45</v>
      </c>
      <c r="Q2253"/>
    </row>
    <row r="2254" spans="1:17" x14ac:dyDescent="0.25">
      <c r="A2254" s="9" t="s">
        <v>3294</v>
      </c>
      <c r="B2254" s="2">
        <v>45540</v>
      </c>
      <c r="C2254" s="1" t="s">
        <v>3227</v>
      </c>
      <c r="D2254" s="1" t="s">
        <v>81</v>
      </c>
      <c r="E2254" s="1" t="s">
        <v>17</v>
      </c>
      <c r="F2254" s="1" t="s">
        <v>60</v>
      </c>
      <c r="G2254" s="1" t="s">
        <v>42</v>
      </c>
      <c r="H2254" s="1" t="s">
        <v>61</v>
      </c>
      <c r="I2254" s="1" t="s">
        <v>529</v>
      </c>
      <c r="J2254" s="1">
        <v>4</v>
      </c>
      <c r="K2254" s="3">
        <v>1548.85</v>
      </c>
      <c r="L2254" s="1">
        <v>10</v>
      </c>
      <c r="M2254" s="1" t="s">
        <v>56</v>
      </c>
      <c r="N2254" s="10" t="s">
        <v>31</v>
      </c>
      <c r="Q2254"/>
    </row>
    <row r="2255" spans="1:17" x14ac:dyDescent="0.25">
      <c r="A2255" s="9" t="s">
        <v>3295</v>
      </c>
      <c r="B2255" s="2">
        <v>45627</v>
      </c>
      <c r="C2255" s="1" t="s">
        <v>186</v>
      </c>
      <c r="D2255" s="1" t="s">
        <v>52</v>
      </c>
      <c r="E2255" s="1" t="s">
        <v>41</v>
      </c>
      <c r="F2255" s="1" t="s">
        <v>18</v>
      </c>
      <c r="G2255" s="1" t="s">
        <v>42</v>
      </c>
      <c r="H2255" s="1" t="s">
        <v>61</v>
      </c>
      <c r="I2255" s="1" t="s">
        <v>1020</v>
      </c>
      <c r="J2255" s="1">
        <v>2</v>
      </c>
      <c r="K2255" s="3">
        <v>1833.51</v>
      </c>
      <c r="L2255" s="1" t="s">
        <v>110</v>
      </c>
      <c r="M2255" s="1" t="s">
        <v>22</v>
      </c>
      <c r="N2255" s="10" t="s">
        <v>64</v>
      </c>
      <c r="Q2255"/>
    </row>
    <row r="2256" spans="1:17" x14ac:dyDescent="0.25">
      <c r="A2256" s="9" t="s">
        <v>3296</v>
      </c>
      <c r="B2256" s="2">
        <v>45411</v>
      </c>
      <c r="C2256" s="1" t="s">
        <v>184</v>
      </c>
      <c r="D2256" s="1" t="s">
        <v>52</v>
      </c>
      <c r="E2256" s="1" t="s">
        <v>34</v>
      </c>
      <c r="F2256" s="1" t="s">
        <v>82</v>
      </c>
      <c r="G2256" s="1" t="s">
        <v>42</v>
      </c>
      <c r="H2256" s="1" t="s">
        <v>61</v>
      </c>
      <c r="I2256" s="1" t="s">
        <v>402</v>
      </c>
      <c r="J2256" s="1">
        <v>1</v>
      </c>
      <c r="K2256" s="3">
        <v>4997.0200000000004</v>
      </c>
      <c r="L2256" s="1" t="s">
        <v>110</v>
      </c>
      <c r="M2256" s="1" t="s">
        <v>56</v>
      </c>
      <c r="N2256" s="10" t="s">
        <v>64</v>
      </c>
      <c r="Q2256"/>
    </row>
    <row r="2257" spans="1:17" x14ac:dyDescent="0.25">
      <c r="A2257" s="9" t="s">
        <v>3297</v>
      </c>
      <c r="B2257" s="2">
        <v>45452</v>
      </c>
      <c r="C2257" s="1" t="s">
        <v>352</v>
      </c>
      <c r="D2257" s="1" t="s">
        <v>16</v>
      </c>
      <c r="E2257" s="1" t="s">
        <v>59</v>
      </c>
      <c r="F2257" s="1" t="s">
        <v>28</v>
      </c>
      <c r="G2257" s="1" t="s">
        <v>19</v>
      </c>
      <c r="H2257" s="1" t="s">
        <v>29</v>
      </c>
      <c r="I2257" s="1" t="s">
        <v>96</v>
      </c>
      <c r="J2257" s="1">
        <v>8</v>
      </c>
      <c r="K2257" s="3">
        <v>4012.62</v>
      </c>
      <c r="L2257" s="1">
        <v>0</v>
      </c>
      <c r="M2257" s="1" t="s">
        <v>69</v>
      </c>
      <c r="N2257" s="10" t="s">
        <v>31</v>
      </c>
      <c r="Q2257"/>
    </row>
    <row r="2258" spans="1:17" x14ac:dyDescent="0.25">
      <c r="A2258" s="9" t="s">
        <v>3298</v>
      </c>
      <c r="B2258" s="2">
        <v>45272</v>
      </c>
      <c r="C2258" s="1" t="s">
        <v>1871</v>
      </c>
      <c r="D2258" s="1" t="s">
        <v>33</v>
      </c>
      <c r="E2258" s="1" t="s">
        <v>59</v>
      </c>
      <c r="F2258" s="1" t="s">
        <v>82</v>
      </c>
      <c r="G2258" s="1" t="s">
        <v>53</v>
      </c>
      <c r="H2258" s="1" t="s">
        <v>54</v>
      </c>
      <c r="I2258" s="1" t="s">
        <v>103</v>
      </c>
      <c r="J2258" s="1">
        <v>3</v>
      </c>
      <c r="K2258" s="3">
        <v>3864.89</v>
      </c>
      <c r="L2258" s="1">
        <v>20</v>
      </c>
      <c r="M2258" s="1" t="s">
        <v>93</v>
      </c>
      <c r="N2258" s="10" t="s">
        <v>31</v>
      </c>
      <c r="Q2258"/>
    </row>
    <row r="2259" spans="1:17" x14ac:dyDescent="0.25">
      <c r="A2259" s="9" t="s">
        <v>3299</v>
      </c>
      <c r="B2259" s="2">
        <v>45149</v>
      </c>
      <c r="C2259" s="1" t="s">
        <v>891</v>
      </c>
      <c r="D2259" s="1" t="s">
        <v>77</v>
      </c>
      <c r="E2259" s="1" t="s">
        <v>27</v>
      </c>
      <c r="F2259" s="1" t="s">
        <v>60</v>
      </c>
      <c r="G2259" s="1" t="s">
        <v>53</v>
      </c>
      <c r="H2259" s="1" t="s">
        <v>54</v>
      </c>
      <c r="I2259" s="1" t="s">
        <v>132</v>
      </c>
      <c r="J2259" s="1">
        <v>8</v>
      </c>
      <c r="K2259" s="3">
        <v>25774.67</v>
      </c>
      <c r="L2259" s="1">
        <v>5</v>
      </c>
      <c r="M2259" s="1" t="s">
        <v>63</v>
      </c>
      <c r="N2259" s="10" t="s">
        <v>23</v>
      </c>
      <c r="Q2259"/>
    </row>
    <row r="2260" spans="1:17" x14ac:dyDescent="0.25">
      <c r="A2260" s="9" t="s">
        <v>3300</v>
      </c>
      <c r="B2260" s="2">
        <v>44970</v>
      </c>
      <c r="C2260" s="1" t="s">
        <v>1023</v>
      </c>
      <c r="D2260" s="1" t="s">
        <v>52</v>
      </c>
      <c r="E2260" s="1" t="s">
        <v>41</v>
      </c>
      <c r="F2260" s="1" t="s">
        <v>28</v>
      </c>
      <c r="G2260" s="1" t="s">
        <v>83</v>
      </c>
      <c r="H2260" s="1" t="s">
        <v>43</v>
      </c>
      <c r="I2260" s="1" t="s">
        <v>494</v>
      </c>
      <c r="J2260" s="1">
        <v>10</v>
      </c>
      <c r="K2260" s="3">
        <v>49499.5</v>
      </c>
      <c r="L2260" s="1">
        <v>10</v>
      </c>
      <c r="M2260" s="1" t="s">
        <v>93</v>
      </c>
      <c r="N2260" s="10" t="s">
        <v>37</v>
      </c>
      <c r="Q2260"/>
    </row>
    <row r="2261" spans="1:17" x14ac:dyDescent="0.25">
      <c r="A2261" s="9" t="s">
        <v>3301</v>
      </c>
      <c r="B2261" s="2">
        <v>45215</v>
      </c>
      <c r="C2261" s="1" t="s">
        <v>1910</v>
      </c>
      <c r="D2261" s="1" t="s">
        <v>81</v>
      </c>
      <c r="E2261" s="1" t="s">
        <v>17</v>
      </c>
      <c r="F2261" s="1" t="s">
        <v>28</v>
      </c>
      <c r="G2261" s="1" t="s">
        <v>53</v>
      </c>
      <c r="H2261" s="1" t="s">
        <v>54</v>
      </c>
      <c r="I2261" s="1" t="s">
        <v>437</v>
      </c>
      <c r="J2261" s="1">
        <v>3</v>
      </c>
      <c r="K2261" s="3">
        <v>8755.11</v>
      </c>
      <c r="L2261" s="1">
        <v>5</v>
      </c>
      <c r="M2261" s="1" t="s">
        <v>36</v>
      </c>
      <c r="N2261" s="10" t="s">
        <v>37</v>
      </c>
      <c r="Q2261"/>
    </row>
    <row r="2262" spans="1:17" x14ac:dyDescent="0.25">
      <c r="A2262" s="9" t="s">
        <v>3302</v>
      </c>
      <c r="B2262" s="2">
        <v>45558</v>
      </c>
      <c r="C2262" s="1" t="s">
        <v>1469</v>
      </c>
      <c r="D2262" s="1" t="s">
        <v>77</v>
      </c>
      <c r="E2262" s="1" t="s">
        <v>34</v>
      </c>
      <c r="F2262" s="1" t="s">
        <v>28</v>
      </c>
      <c r="G2262" s="1" t="s">
        <v>83</v>
      </c>
      <c r="H2262" s="1" t="s">
        <v>43</v>
      </c>
      <c r="I2262" s="1" t="s">
        <v>566</v>
      </c>
      <c r="J2262" s="1">
        <v>9</v>
      </c>
      <c r="K2262" s="3">
        <v>32598.3</v>
      </c>
      <c r="L2262" s="1">
        <v>20</v>
      </c>
      <c r="M2262" s="1" t="s">
        <v>36</v>
      </c>
      <c r="N2262" s="10" t="s">
        <v>37</v>
      </c>
      <c r="Q2262"/>
    </row>
    <row r="2263" spans="1:17" x14ac:dyDescent="0.25">
      <c r="A2263" s="9" t="s">
        <v>3303</v>
      </c>
      <c r="B2263" s="2">
        <v>45192</v>
      </c>
      <c r="C2263" s="1" t="s">
        <v>137</v>
      </c>
      <c r="D2263" s="1" t="s">
        <v>87</v>
      </c>
      <c r="E2263" s="1" t="s">
        <v>72</v>
      </c>
      <c r="F2263" s="1" t="s">
        <v>99</v>
      </c>
      <c r="G2263" s="1" t="s">
        <v>53</v>
      </c>
      <c r="H2263" s="1" t="s">
        <v>54</v>
      </c>
      <c r="I2263" s="1" t="s">
        <v>1272</v>
      </c>
      <c r="J2263" s="1">
        <v>6</v>
      </c>
      <c r="K2263" s="3">
        <v>16908.310000000001</v>
      </c>
      <c r="L2263" s="1">
        <v>5</v>
      </c>
      <c r="M2263" s="1" t="s">
        <v>63</v>
      </c>
      <c r="N2263" s="10" t="s">
        <v>64</v>
      </c>
      <c r="Q2263"/>
    </row>
    <row r="2264" spans="1:17" x14ac:dyDescent="0.25">
      <c r="A2264" s="9" t="s">
        <v>3304</v>
      </c>
      <c r="B2264" s="2">
        <v>45411</v>
      </c>
      <c r="C2264" s="1" t="s">
        <v>332</v>
      </c>
      <c r="D2264" s="1" t="s">
        <v>378</v>
      </c>
      <c r="E2264" s="1" t="s">
        <v>34</v>
      </c>
      <c r="F2264" s="1" t="s">
        <v>88</v>
      </c>
      <c r="G2264" s="1" t="s">
        <v>19</v>
      </c>
      <c r="H2264" s="1" t="s">
        <v>20</v>
      </c>
      <c r="I2264" s="1" t="s">
        <v>187</v>
      </c>
      <c r="J2264" s="1">
        <v>2</v>
      </c>
      <c r="K2264" s="3">
        <v>4384.04</v>
      </c>
      <c r="L2264" s="1" t="s">
        <v>110</v>
      </c>
      <c r="M2264" s="1" t="s">
        <v>63</v>
      </c>
      <c r="N2264" s="10" t="s">
        <v>64</v>
      </c>
      <c r="Q2264"/>
    </row>
    <row r="2265" spans="1:17" x14ac:dyDescent="0.25">
      <c r="A2265" s="9" t="s">
        <v>3305</v>
      </c>
      <c r="B2265" s="2">
        <v>45125</v>
      </c>
      <c r="C2265" s="1" t="s">
        <v>2256</v>
      </c>
      <c r="D2265" s="1" t="s">
        <v>52</v>
      </c>
      <c r="E2265" s="1" t="s">
        <v>72</v>
      </c>
      <c r="F2265" s="1" t="s">
        <v>99</v>
      </c>
      <c r="G2265" s="1" t="s">
        <v>83</v>
      </c>
      <c r="H2265" s="1" t="s">
        <v>43</v>
      </c>
      <c r="I2265" s="1" t="s">
        <v>336</v>
      </c>
      <c r="J2265" s="1">
        <v>10</v>
      </c>
      <c r="K2265" s="3">
        <v>6367.55</v>
      </c>
      <c r="L2265" s="1">
        <v>5</v>
      </c>
      <c r="M2265" s="1" t="s">
        <v>36</v>
      </c>
      <c r="N2265" s="10" t="s">
        <v>31</v>
      </c>
      <c r="Q2265"/>
    </row>
    <row r="2266" spans="1:17" x14ac:dyDescent="0.25">
      <c r="A2266" s="9" t="s">
        <v>3306</v>
      </c>
      <c r="B2266" s="2">
        <v>45103</v>
      </c>
      <c r="C2266" s="1" t="s">
        <v>1674</v>
      </c>
      <c r="D2266" s="1" t="s">
        <v>52</v>
      </c>
      <c r="E2266" s="1" t="s">
        <v>17</v>
      </c>
      <c r="F2266" s="1" t="s">
        <v>28</v>
      </c>
      <c r="G2266" s="1" t="s">
        <v>19</v>
      </c>
      <c r="H2266" s="1" t="s">
        <v>29</v>
      </c>
      <c r="I2266" s="1" t="s">
        <v>472</v>
      </c>
      <c r="J2266" s="1">
        <v>3</v>
      </c>
      <c r="K2266" s="3">
        <v>10064.790000000001</v>
      </c>
      <c r="L2266" s="1">
        <v>10</v>
      </c>
      <c r="M2266" s="1" t="s">
        <v>56</v>
      </c>
      <c r="N2266" s="10" t="s">
        <v>23</v>
      </c>
      <c r="Q2266"/>
    </row>
    <row r="2267" spans="1:17" x14ac:dyDescent="0.25">
      <c r="A2267" s="9" t="s">
        <v>3307</v>
      </c>
      <c r="B2267" s="2">
        <v>45249</v>
      </c>
      <c r="C2267" s="1" t="s">
        <v>852</v>
      </c>
      <c r="D2267" s="1" t="s">
        <v>40</v>
      </c>
      <c r="E2267" s="1" t="s">
        <v>17</v>
      </c>
      <c r="F2267" s="1" t="s">
        <v>99</v>
      </c>
      <c r="G2267" s="1" t="s">
        <v>19</v>
      </c>
      <c r="H2267" s="1" t="s">
        <v>29</v>
      </c>
      <c r="I2267" s="1" t="s">
        <v>1449</v>
      </c>
      <c r="J2267" s="1">
        <v>6</v>
      </c>
      <c r="K2267" s="3">
        <v>14034.24</v>
      </c>
      <c r="L2267" s="1" t="s">
        <v>110</v>
      </c>
      <c r="M2267" s="1" t="s">
        <v>22</v>
      </c>
      <c r="N2267" s="10" t="s">
        <v>23</v>
      </c>
      <c r="Q2267"/>
    </row>
    <row r="2268" spans="1:17" x14ac:dyDescent="0.25">
      <c r="A2268" s="9" t="s">
        <v>3308</v>
      </c>
      <c r="B2268" s="2">
        <v>45102</v>
      </c>
      <c r="C2268" s="1" t="s">
        <v>591</v>
      </c>
      <c r="D2268" s="1" t="s">
        <v>26</v>
      </c>
      <c r="E2268" s="1" t="s">
        <v>34</v>
      </c>
      <c r="F2268" s="1" t="s">
        <v>82</v>
      </c>
      <c r="G2268" s="1" t="s">
        <v>83</v>
      </c>
      <c r="H2268" s="1" t="s">
        <v>43</v>
      </c>
      <c r="I2268" s="1" t="s">
        <v>84</v>
      </c>
      <c r="J2268" s="1">
        <v>8</v>
      </c>
      <c r="K2268" s="3">
        <v>32310.57</v>
      </c>
      <c r="L2268" s="1">
        <v>15</v>
      </c>
      <c r="M2268" s="1" t="s">
        <v>22</v>
      </c>
      <c r="N2268" s="10" t="s">
        <v>37</v>
      </c>
      <c r="Q2268"/>
    </row>
    <row r="2269" spans="1:17" x14ac:dyDescent="0.25">
      <c r="A2269" s="9" t="s">
        <v>3309</v>
      </c>
      <c r="B2269" s="2">
        <v>45486</v>
      </c>
      <c r="C2269" s="1" t="s">
        <v>2458</v>
      </c>
      <c r="D2269" s="1" t="s">
        <v>16</v>
      </c>
      <c r="E2269" s="1" t="s">
        <v>41</v>
      </c>
      <c r="F2269" s="1" t="s">
        <v>28</v>
      </c>
      <c r="G2269" s="1" t="s">
        <v>19</v>
      </c>
      <c r="H2269" s="1" t="s">
        <v>20</v>
      </c>
      <c r="I2269" s="1" t="s">
        <v>213</v>
      </c>
      <c r="J2269" s="1">
        <v>7</v>
      </c>
      <c r="K2269" s="3">
        <v>25832.12</v>
      </c>
      <c r="L2269" s="1" t="s">
        <v>110</v>
      </c>
      <c r="M2269" s="1" t="s">
        <v>69</v>
      </c>
      <c r="N2269" s="10" t="s">
        <v>74</v>
      </c>
      <c r="Q2269"/>
    </row>
    <row r="2270" spans="1:17" x14ac:dyDescent="0.25">
      <c r="A2270" s="9" t="s">
        <v>3310</v>
      </c>
      <c r="B2270" s="2">
        <v>45305</v>
      </c>
      <c r="C2270" s="1" t="s">
        <v>2330</v>
      </c>
      <c r="D2270" s="1" t="s">
        <v>26</v>
      </c>
      <c r="E2270" s="1" t="s">
        <v>72</v>
      </c>
      <c r="F2270" s="1" t="s">
        <v>28</v>
      </c>
      <c r="G2270" s="1" t="s">
        <v>42</v>
      </c>
      <c r="H2270" s="1" t="s">
        <v>43</v>
      </c>
      <c r="I2270" s="1" t="s">
        <v>652</v>
      </c>
      <c r="J2270" s="1">
        <v>5</v>
      </c>
      <c r="K2270" s="3">
        <v>9490.91</v>
      </c>
      <c r="L2270" s="1">
        <v>20</v>
      </c>
      <c r="M2270" s="1" t="s">
        <v>93</v>
      </c>
      <c r="N2270" s="10" t="s">
        <v>31</v>
      </c>
      <c r="Q2270"/>
    </row>
    <row r="2271" spans="1:17" x14ac:dyDescent="0.25">
      <c r="A2271" s="9" t="s">
        <v>3311</v>
      </c>
      <c r="B2271" s="2">
        <v>45385</v>
      </c>
      <c r="C2271" s="1" t="s">
        <v>749</v>
      </c>
      <c r="D2271" s="1" t="s">
        <v>71</v>
      </c>
      <c r="E2271" s="1" t="s">
        <v>27</v>
      </c>
      <c r="F2271" s="1" t="s">
        <v>28</v>
      </c>
      <c r="G2271" s="1" t="s">
        <v>83</v>
      </c>
      <c r="H2271" s="1" t="s">
        <v>43</v>
      </c>
      <c r="I2271" s="1" t="s">
        <v>488</v>
      </c>
      <c r="J2271" s="1">
        <v>5</v>
      </c>
      <c r="K2271" s="3">
        <v>9017.25</v>
      </c>
      <c r="L2271" s="1">
        <v>20</v>
      </c>
      <c r="M2271" s="1" t="s">
        <v>93</v>
      </c>
      <c r="N2271" s="10" t="s">
        <v>74</v>
      </c>
      <c r="Q2271"/>
    </row>
    <row r="2272" spans="1:17" x14ac:dyDescent="0.25">
      <c r="A2272" s="9" t="s">
        <v>3312</v>
      </c>
      <c r="B2272" s="2">
        <v>45345</v>
      </c>
      <c r="C2272" s="1" t="s">
        <v>945</v>
      </c>
      <c r="D2272" s="1" t="s">
        <v>40</v>
      </c>
      <c r="E2272" s="1" t="s">
        <v>59</v>
      </c>
      <c r="F2272" s="1" t="s">
        <v>99</v>
      </c>
      <c r="G2272" s="1" t="s">
        <v>42</v>
      </c>
      <c r="H2272" s="1" t="s">
        <v>61</v>
      </c>
      <c r="I2272" s="1" t="s">
        <v>440</v>
      </c>
      <c r="J2272" s="1">
        <v>6</v>
      </c>
      <c r="K2272" s="3">
        <v>22731.43</v>
      </c>
      <c r="L2272" s="1">
        <v>0</v>
      </c>
      <c r="M2272" s="1" t="s">
        <v>56</v>
      </c>
      <c r="N2272" s="10" t="s">
        <v>64</v>
      </c>
      <c r="Q2272"/>
    </row>
    <row r="2273" spans="1:17" x14ac:dyDescent="0.25">
      <c r="A2273" s="9" t="s">
        <v>3313</v>
      </c>
      <c r="B2273" s="2">
        <v>45545</v>
      </c>
      <c r="C2273" s="1" t="s">
        <v>992</v>
      </c>
      <c r="D2273" s="1" t="s">
        <v>33</v>
      </c>
      <c r="E2273" s="1" t="s">
        <v>41</v>
      </c>
      <c r="F2273" s="1" t="s">
        <v>18</v>
      </c>
      <c r="G2273" s="1" t="s">
        <v>19</v>
      </c>
      <c r="H2273" s="1" t="s">
        <v>29</v>
      </c>
      <c r="I2273" s="1" t="s">
        <v>515</v>
      </c>
      <c r="J2273" s="1">
        <v>2</v>
      </c>
      <c r="K2273" s="3">
        <v>212.44</v>
      </c>
      <c r="L2273" s="1">
        <v>10</v>
      </c>
      <c r="M2273" s="1" t="s">
        <v>69</v>
      </c>
      <c r="N2273" s="10" t="s">
        <v>31</v>
      </c>
      <c r="Q2273"/>
    </row>
    <row r="2274" spans="1:17" x14ac:dyDescent="0.25">
      <c r="A2274" s="9" t="s">
        <v>3314</v>
      </c>
      <c r="B2274" s="2">
        <v>44948</v>
      </c>
      <c r="C2274" s="1" t="s">
        <v>1330</v>
      </c>
      <c r="D2274" s="1" t="s">
        <v>26</v>
      </c>
      <c r="E2274" s="1" t="s">
        <v>27</v>
      </c>
      <c r="F2274" s="1" t="s">
        <v>60</v>
      </c>
      <c r="G2274" s="1" t="s">
        <v>42</v>
      </c>
      <c r="H2274" s="1" t="s">
        <v>43</v>
      </c>
      <c r="I2274" s="1" t="s">
        <v>182</v>
      </c>
      <c r="J2274" s="1">
        <v>1</v>
      </c>
      <c r="K2274" s="3">
        <v>1210.79</v>
      </c>
      <c r="L2274" s="1">
        <v>20</v>
      </c>
      <c r="M2274" s="1" t="s">
        <v>36</v>
      </c>
      <c r="N2274" s="10" t="s">
        <v>37</v>
      </c>
      <c r="Q2274"/>
    </row>
    <row r="2275" spans="1:17" x14ac:dyDescent="0.25">
      <c r="A2275" s="9" t="s">
        <v>3315</v>
      </c>
      <c r="B2275" s="2">
        <v>45258</v>
      </c>
      <c r="C2275" s="1" t="s">
        <v>123</v>
      </c>
      <c r="D2275" s="1" t="s">
        <v>77</v>
      </c>
      <c r="E2275" s="1" t="s">
        <v>59</v>
      </c>
      <c r="F2275" s="1" t="s">
        <v>49</v>
      </c>
      <c r="G2275" s="1" t="s">
        <v>42</v>
      </c>
      <c r="H2275" s="1" t="s">
        <v>61</v>
      </c>
      <c r="I2275" s="1" t="s">
        <v>151</v>
      </c>
      <c r="J2275" s="1">
        <v>5</v>
      </c>
      <c r="K2275" s="3">
        <v>20808.55</v>
      </c>
      <c r="L2275" s="1">
        <v>20</v>
      </c>
      <c r="M2275" s="1" t="s">
        <v>22</v>
      </c>
      <c r="N2275" s="10" t="s">
        <v>74</v>
      </c>
      <c r="Q2275"/>
    </row>
    <row r="2276" spans="1:17" x14ac:dyDescent="0.25">
      <c r="A2276" s="9" t="s">
        <v>3316</v>
      </c>
      <c r="B2276" s="2">
        <v>44990</v>
      </c>
      <c r="C2276" s="1" t="s">
        <v>1633</v>
      </c>
      <c r="D2276" s="1" t="s">
        <v>67</v>
      </c>
      <c r="E2276" s="1" t="s">
        <v>27</v>
      </c>
      <c r="F2276" s="1" t="s">
        <v>82</v>
      </c>
      <c r="G2276" s="1" t="s">
        <v>19</v>
      </c>
      <c r="H2276" s="1" t="s">
        <v>20</v>
      </c>
      <c r="I2276" s="1" t="s">
        <v>421</v>
      </c>
      <c r="J2276" s="1">
        <v>9</v>
      </c>
      <c r="K2276" s="3">
        <v>23906.12</v>
      </c>
      <c r="L2276" s="1">
        <v>0</v>
      </c>
      <c r="M2276" s="1" t="s">
        <v>69</v>
      </c>
      <c r="N2276" s="10" t="s">
        <v>37</v>
      </c>
      <c r="Q2276"/>
    </row>
    <row r="2277" spans="1:17" x14ac:dyDescent="0.25">
      <c r="A2277" s="9" t="s">
        <v>3317</v>
      </c>
      <c r="B2277" s="2">
        <v>45313</v>
      </c>
      <c r="C2277" s="1" t="s">
        <v>829</v>
      </c>
      <c r="D2277" s="1" t="s">
        <v>81</v>
      </c>
      <c r="E2277" s="1" t="s">
        <v>34</v>
      </c>
      <c r="F2277" s="1" t="s">
        <v>49</v>
      </c>
      <c r="G2277" s="1" t="s">
        <v>19</v>
      </c>
      <c r="H2277" s="1" t="s">
        <v>20</v>
      </c>
      <c r="I2277" s="1" t="s">
        <v>326</v>
      </c>
      <c r="J2277" s="1">
        <v>8</v>
      </c>
      <c r="K2277" s="3">
        <v>38130.480000000003</v>
      </c>
      <c r="L2277" s="1">
        <v>5</v>
      </c>
      <c r="M2277" s="1" t="s">
        <v>22</v>
      </c>
      <c r="N2277" s="10" t="s">
        <v>31</v>
      </c>
      <c r="Q2277"/>
    </row>
    <row r="2278" spans="1:17" x14ac:dyDescent="0.25">
      <c r="A2278" s="9" t="s">
        <v>3318</v>
      </c>
      <c r="B2278" s="2">
        <v>45080</v>
      </c>
      <c r="C2278" s="1" t="s">
        <v>354</v>
      </c>
      <c r="D2278" s="1" t="s">
        <v>71</v>
      </c>
      <c r="E2278" s="1" t="s">
        <v>34</v>
      </c>
      <c r="F2278" s="1" t="s">
        <v>49</v>
      </c>
      <c r="G2278" s="1" t="s">
        <v>42</v>
      </c>
      <c r="H2278" s="1" t="s">
        <v>43</v>
      </c>
      <c r="I2278" s="1" t="s">
        <v>365</v>
      </c>
      <c r="J2278" s="1">
        <v>5</v>
      </c>
      <c r="K2278" s="3">
        <v>15334.87</v>
      </c>
      <c r="L2278" s="1">
        <v>0</v>
      </c>
      <c r="M2278" s="1" t="s">
        <v>56</v>
      </c>
      <c r="N2278" s="10" t="s">
        <v>64</v>
      </c>
      <c r="Q2278"/>
    </row>
    <row r="2279" spans="1:17" x14ac:dyDescent="0.25">
      <c r="A2279" s="9" t="s">
        <v>3319</v>
      </c>
      <c r="B2279" s="2">
        <v>45178</v>
      </c>
      <c r="C2279" s="1" t="s">
        <v>1904</v>
      </c>
      <c r="D2279" s="1" t="s">
        <v>52</v>
      </c>
      <c r="E2279" s="1" t="s">
        <v>59</v>
      </c>
      <c r="F2279" s="1" t="s">
        <v>18</v>
      </c>
      <c r="G2279" s="1" t="s">
        <v>19</v>
      </c>
      <c r="H2279" s="1" t="s">
        <v>20</v>
      </c>
      <c r="I2279" s="1" t="s">
        <v>239</v>
      </c>
      <c r="J2279" s="1">
        <v>7</v>
      </c>
      <c r="K2279" s="3">
        <v>7453.45</v>
      </c>
      <c r="L2279" s="1">
        <v>15</v>
      </c>
      <c r="M2279" s="1" t="s">
        <v>63</v>
      </c>
      <c r="N2279" s="10" t="s">
        <v>31</v>
      </c>
      <c r="Q2279"/>
    </row>
    <row r="2280" spans="1:17" x14ac:dyDescent="0.25">
      <c r="A2280" s="9" t="s">
        <v>3320</v>
      </c>
      <c r="B2280" s="2">
        <v>45314</v>
      </c>
      <c r="C2280" s="1" t="s">
        <v>2215</v>
      </c>
      <c r="D2280" s="1" t="s">
        <v>52</v>
      </c>
      <c r="E2280" s="1" t="s">
        <v>41</v>
      </c>
      <c r="F2280" s="1" t="s">
        <v>88</v>
      </c>
      <c r="G2280" s="1" t="s">
        <v>42</v>
      </c>
      <c r="H2280" s="1" t="s">
        <v>43</v>
      </c>
      <c r="I2280" s="1" t="s">
        <v>365</v>
      </c>
      <c r="J2280" s="1">
        <v>3</v>
      </c>
      <c r="K2280" s="3">
        <v>3212.74</v>
      </c>
      <c r="L2280" s="1">
        <v>5</v>
      </c>
      <c r="M2280" s="1" t="s">
        <v>22</v>
      </c>
      <c r="N2280" s="10" t="s">
        <v>74</v>
      </c>
      <c r="Q2280"/>
    </row>
    <row r="2281" spans="1:17" x14ac:dyDescent="0.25">
      <c r="A2281" s="9" t="s">
        <v>3321</v>
      </c>
      <c r="B2281" s="2">
        <v>45187</v>
      </c>
      <c r="C2281" s="1" t="s">
        <v>316</v>
      </c>
      <c r="D2281" s="1" t="s">
        <v>71</v>
      </c>
      <c r="E2281" s="1" t="s">
        <v>72</v>
      </c>
      <c r="F2281" s="1" t="s">
        <v>28</v>
      </c>
      <c r="G2281" s="1" t="s">
        <v>19</v>
      </c>
      <c r="H2281" s="1" t="s">
        <v>20</v>
      </c>
      <c r="I2281" s="1" t="s">
        <v>230</v>
      </c>
      <c r="J2281" s="1">
        <v>10</v>
      </c>
      <c r="K2281" s="3">
        <v>4421.24</v>
      </c>
      <c r="L2281" s="1">
        <v>0</v>
      </c>
      <c r="M2281" s="1" t="s">
        <v>22</v>
      </c>
      <c r="N2281" s="10" t="s">
        <v>23</v>
      </c>
      <c r="Q2281"/>
    </row>
    <row r="2282" spans="1:17" x14ac:dyDescent="0.25">
      <c r="A2282" s="9" t="s">
        <v>3322</v>
      </c>
      <c r="B2282" s="2">
        <v>44997</v>
      </c>
      <c r="C2282" s="1" t="s">
        <v>112</v>
      </c>
      <c r="D2282" s="1" t="s">
        <v>40</v>
      </c>
      <c r="E2282" s="1" t="s">
        <v>59</v>
      </c>
      <c r="F2282" s="1" t="s">
        <v>18</v>
      </c>
      <c r="G2282" s="1" t="s">
        <v>83</v>
      </c>
      <c r="H2282" s="1" t="s">
        <v>43</v>
      </c>
      <c r="I2282" s="1" t="s">
        <v>89</v>
      </c>
      <c r="J2282" s="1">
        <v>5</v>
      </c>
      <c r="K2282" s="3">
        <v>11839.07</v>
      </c>
      <c r="L2282" s="1">
        <v>15</v>
      </c>
      <c r="M2282" s="1" t="s">
        <v>63</v>
      </c>
      <c r="N2282" s="10" t="s">
        <v>45</v>
      </c>
      <c r="Q2282"/>
    </row>
    <row r="2283" spans="1:17" x14ac:dyDescent="0.25">
      <c r="A2283" s="9" t="s">
        <v>3323</v>
      </c>
      <c r="B2283" s="2">
        <v>45200</v>
      </c>
      <c r="C2283" s="1" t="s">
        <v>1306</v>
      </c>
      <c r="D2283" s="1" t="s">
        <v>87</v>
      </c>
      <c r="E2283" s="1" t="s">
        <v>72</v>
      </c>
      <c r="F2283" s="1" t="s">
        <v>28</v>
      </c>
      <c r="G2283" s="1" t="s">
        <v>42</v>
      </c>
      <c r="H2283" s="1" t="s">
        <v>61</v>
      </c>
      <c r="I2283" s="1" t="s">
        <v>667</v>
      </c>
      <c r="J2283" s="1">
        <v>4</v>
      </c>
      <c r="K2283" s="3">
        <v>10327.629999999999</v>
      </c>
      <c r="L2283" s="1">
        <v>20</v>
      </c>
      <c r="M2283" s="1" t="s">
        <v>93</v>
      </c>
      <c r="N2283" s="10" t="s">
        <v>45</v>
      </c>
      <c r="Q2283"/>
    </row>
    <row r="2284" spans="1:17" x14ac:dyDescent="0.25">
      <c r="A2284" s="9" t="s">
        <v>3324</v>
      </c>
      <c r="B2284" s="2">
        <v>45202</v>
      </c>
      <c r="C2284" s="1" t="s">
        <v>1064</v>
      </c>
      <c r="D2284" s="1" t="s">
        <v>378</v>
      </c>
      <c r="E2284" s="1" t="s">
        <v>59</v>
      </c>
      <c r="F2284" s="1" t="s">
        <v>18</v>
      </c>
      <c r="G2284" s="1" t="s">
        <v>42</v>
      </c>
      <c r="H2284" s="1" t="s">
        <v>61</v>
      </c>
      <c r="I2284" s="1" t="s">
        <v>1020</v>
      </c>
      <c r="J2284" s="1">
        <v>9</v>
      </c>
      <c r="K2284" s="3">
        <v>21534.95</v>
      </c>
      <c r="L2284" s="1">
        <v>0</v>
      </c>
      <c r="M2284" s="1" t="s">
        <v>22</v>
      </c>
      <c r="N2284" s="10" t="s">
        <v>31</v>
      </c>
      <c r="Q2284"/>
    </row>
    <row r="2285" spans="1:17" x14ac:dyDescent="0.25">
      <c r="A2285" s="9" t="s">
        <v>3325</v>
      </c>
      <c r="B2285" s="2">
        <v>45473</v>
      </c>
      <c r="C2285" s="1" t="s">
        <v>1438</v>
      </c>
      <c r="D2285" s="1" t="s">
        <v>71</v>
      </c>
      <c r="E2285" s="1" t="s">
        <v>59</v>
      </c>
      <c r="F2285" s="1" t="s">
        <v>82</v>
      </c>
      <c r="G2285" s="1" t="s">
        <v>19</v>
      </c>
      <c r="H2285" s="1" t="s">
        <v>29</v>
      </c>
      <c r="I2285" s="1" t="s">
        <v>635</v>
      </c>
      <c r="J2285" s="1">
        <v>1</v>
      </c>
      <c r="K2285" s="3">
        <v>1055.67</v>
      </c>
      <c r="L2285" s="1">
        <v>5</v>
      </c>
      <c r="M2285" s="1" t="s">
        <v>36</v>
      </c>
      <c r="N2285" s="10" t="s">
        <v>45</v>
      </c>
      <c r="Q2285"/>
    </row>
    <row r="2286" spans="1:17" x14ac:dyDescent="0.25">
      <c r="A2286" s="9" t="s">
        <v>3326</v>
      </c>
      <c r="B2286" s="2">
        <v>45612</v>
      </c>
      <c r="C2286" s="1" t="s">
        <v>1446</v>
      </c>
      <c r="D2286" s="1" t="s">
        <v>40</v>
      </c>
      <c r="E2286" s="1" t="s">
        <v>72</v>
      </c>
      <c r="F2286" s="1" t="s">
        <v>82</v>
      </c>
      <c r="G2286" s="1" t="s">
        <v>19</v>
      </c>
      <c r="H2286" s="1" t="s">
        <v>20</v>
      </c>
      <c r="I2286" s="1" t="s">
        <v>130</v>
      </c>
      <c r="J2286" s="1">
        <v>4</v>
      </c>
      <c r="K2286" s="3">
        <v>1820.13</v>
      </c>
      <c r="L2286" s="1">
        <v>20</v>
      </c>
      <c r="M2286" s="1" t="s">
        <v>22</v>
      </c>
      <c r="N2286" s="10" t="s">
        <v>23</v>
      </c>
      <c r="Q2286"/>
    </row>
    <row r="2287" spans="1:17" x14ac:dyDescent="0.25">
      <c r="A2287" s="9" t="s">
        <v>3327</v>
      </c>
      <c r="B2287" s="2">
        <v>45167</v>
      </c>
      <c r="C2287" s="1" t="s">
        <v>1423</v>
      </c>
      <c r="D2287" s="1" t="s">
        <v>67</v>
      </c>
      <c r="E2287" s="1" t="s">
        <v>27</v>
      </c>
      <c r="F2287" s="1" t="s">
        <v>28</v>
      </c>
      <c r="G2287" s="1" t="s">
        <v>53</v>
      </c>
      <c r="H2287" s="1" t="s">
        <v>54</v>
      </c>
      <c r="I2287" s="1" t="s">
        <v>413</v>
      </c>
      <c r="J2287" s="1">
        <v>8</v>
      </c>
      <c r="K2287" s="3">
        <v>23625.18</v>
      </c>
      <c r="L2287" s="1">
        <v>10</v>
      </c>
      <c r="M2287" s="1" t="s">
        <v>56</v>
      </c>
      <c r="N2287" s="10" t="s">
        <v>64</v>
      </c>
      <c r="Q2287"/>
    </row>
    <row r="2288" spans="1:17" x14ac:dyDescent="0.25">
      <c r="A2288" s="9" t="s">
        <v>3328</v>
      </c>
      <c r="B2288" s="2">
        <v>44969</v>
      </c>
      <c r="C2288" s="1" t="s">
        <v>3329</v>
      </c>
      <c r="D2288" s="1" t="s">
        <v>33</v>
      </c>
      <c r="E2288" s="1" t="s">
        <v>59</v>
      </c>
      <c r="F2288" s="1" t="s">
        <v>28</v>
      </c>
      <c r="G2288" s="1" t="s">
        <v>19</v>
      </c>
      <c r="H2288" s="1" t="s">
        <v>29</v>
      </c>
      <c r="I2288" s="1" t="s">
        <v>635</v>
      </c>
      <c r="J2288" s="1">
        <v>10</v>
      </c>
      <c r="K2288" s="3">
        <v>36049.25</v>
      </c>
      <c r="L2288" s="1">
        <v>10</v>
      </c>
      <c r="M2288" s="1" t="s">
        <v>22</v>
      </c>
      <c r="N2288" s="10" t="s">
        <v>37</v>
      </c>
      <c r="Q2288"/>
    </row>
    <row r="2289" spans="1:17" x14ac:dyDescent="0.25">
      <c r="A2289" s="9" t="s">
        <v>3330</v>
      </c>
      <c r="B2289" s="2">
        <v>45632</v>
      </c>
      <c r="C2289" s="1" t="s">
        <v>1362</v>
      </c>
      <c r="D2289" s="1" t="s">
        <v>81</v>
      </c>
      <c r="E2289" s="1" t="s">
        <v>27</v>
      </c>
      <c r="F2289" s="1" t="s">
        <v>60</v>
      </c>
      <c r="G2289" s="1" t="s">
        <v>42</v>
      </c>
      <c r="H2289" s="1" t="s">
        <v>61</v>
      </c>
      <c r="I2289" s="1" t="s">
        <v>863</v>
      </c>
      <c r="J2289" s="1">
        <v>3</v>
      </c>
      <c r="K2289" s="3">
        <v>4957.0600000000004</v>
      </c>
      <c r="L2289" s="1">
        <v>10</v>
      </c>
      <c r="M2289" s="1" t="s">
        <v>63</v>
      </c>
      <c r="N2289" s="10" t="s">
        <v>31</v>
      </c>
      <c r="Q2289"/>
    </row>
    <row r="2290" spans="1:17" x14ac:dyDescent="0.25">
      <c r="A2290" s="9" t="s">
        <v>3331</v>
      </c>
      <c r="B2290" s="2">
        <v>45285</v>
      </c>
      <c r="C2290" s="1" t="s">
        <v>2820</v>
      </c>
      <c r="D2290" s="1" t="s">
        <v>16</v>
      </c>
      <c r="E2290" s="1" t="s">
        <v>72</v>
      </c>
      <c r="F2290" s="1" t="s">
        <v>60</v>
      </c>
      <c r="G2290" s="1" t="s">
        <v>19</v>
      </c>
      <c r="H2290" s="1" t="s">
        <v>29</v>
      </c>
      <c r="I2290" s="1" t="s">
        <v>370</v>
      </c>
      <c r="J2290" s="1">
        <v>9</v>
      </c>
      <c r="K2290" s="3">
        <v>34522.239999999998</v>
      </c>
      <c r="L2290" s="1">
        <v>5</v>
      </c>
      <c r="M2290" s="1" t="s">
        <v>93</v>
      </c>
      <c r="N2290" s="10" t="s">
        <v>45</v>
      </c>
      <c r="Q2290"/>
    </row>
    <row r="2291" spans="1:17" x14ac:dyDescent="0.25">
      <c r="A2291" s="9" t="s">
        <v>3332</v>
      </c>
      <c r="B2291" s="2">
        <v>45575</v>
      </c>
      <c r="C2291" s="1" t="s">
        <v>160</v>
      </c>
      <c r="D2291" s="1" t="s">
        <v>81</v>
      </c>
      <c r="E2291" s="1" t="s">
        <v>17</v>
      </c>
      <c r="F2291" s="1" t="s">
        <v>18</v>
      </c>
      <c r="G2291" s="1" t="s">
        <v>53</v>
      </c>
      <c r="H2291" s="1" t="s">
        <v>54</v>
      </c>
      <c r="I2291" s="1" t="s">
        <v>55</v>
      </c>
      <c r="J2291" s="1">
        <v>10</v>
      </c>
      <c r="K2291" s="3">
        <v>26164.43</v>
      </c>
      <c r="L2291" s="1" t="s">
        <v>110</v>
      </c>
      <c r="M2291" s="1" t="s">
        <v>56</v>
      </c>
      <c r="N2291" s="10" t="s">
        <v>37</v>
      </c>
      <c r="Q2291"/>
    </row>
    <row r="2292" spans="1:17" x14ac:dyDescent="0.25">
      <c r="A2292" s="9" t="s">
        <v>3333</v>
      </c>
      <c r="B2292" s="2">
        <v>45324</v>
      </c>
      <c r="C2292" s="1" t="s">
        <v>504</v>
      </c>
      <c r="D2292" s="1" t="s">
        <v>87</v>
      </c>
      <c r="E2292" s="1" t="s">
        <v>17</v>
      </c>
      <c r="F2292" s="1" t="s">
        <v>82</v>
      </c>
      <c r="G2292" s="1" t="s">
        <v>19</v>
      </c>
      <c r="H2292" s="1" t="s">
        <v>20</v>
      </c>
      <c r="I2292" s="1" t="s">
        <v>187</v>
      </c>
      <c r="J2292" s="1">
        <v>10</v>
      </c>
      <c r="K2292" s="3">
        <v>18246.45</v>
      </c>
      <c r="L2292" s="1">
        <v>20</v>
      </c>
      <c r="M2292" s="1" t="s">
        <v>56</v>
      </c>
      <c r="N2292" s="10" t="s">
        <v>45</v>
      </c>
      <c r="Q2292"/>
    </row>
    <row r="2293" spans="1:17" x14ac:dyDescent="0.25">
      <c r="A2293" s="9" t="s">
        <v>3334</v>
      </c>
      <c r="B2293" s="2">
        <v>45576</v>
      </c>
      <c r="C2293" s="1" t="s">
        <v>1810</v>
      </c>
      <c r="D2293" s="1" t="s">
        <v>87</v>
      </c>
      <c r="E2293" s="1" t="s">
        <v>59</v>
      </c>
      <c r="F2293" s="1" t="s">
        <v>28</v>
      </c>
      <c r="G2293" s="1" t="s">
        <v>83</v>
      </c>
      <c r="H2293" s="1" t="s">
        <v>43</v>
      </c>
      <c r="I2293" s="1" t="s">
        <v>365</v>
      </c>
      <c r="J2293" s="1">
        <v>9</v>
      </c>
      <c r="K2293" s="3">
        <v>37998.71</v>
      </c>
      <c r="L2293" s="1">
        <v>10</v>
      </c>
      <c r="M2293" s="1" t="s">
        <v>63</v>
      </c>
      <c r="N2293" s="10" t="s">
        <v>37</v>
      </c>
      <c r="Q2293"/>
    </row>
    <row r="2294" spans="1:17" x14ac:dyDescent="0.25">
      <c r="A2294" s="9" t="s">
        <v>3335</v>
      </c>
      <c r="B2294" s="2">
        <v>45158</v>
      </c>
      <c r="C2294" s="1" t="s">
        <v>870</v>
      </c>
      <c r="D2294" s="1" t="s">
        <v>52</v>
      </c>
      <c r="E2294" s="1" t="s">
        <v>72</v>
      </c>
      <c r="F2294" s="1" t="s">
        <v>99</v>
      </c>
      <c r="G2294" s="1" t="s">
        <v>42</v>
      </c>
      <c r="H2294" s="1" t="s">
        <v>61</v>
      </c>
      <c r="I2294" s="1" t="s">
        <v>388</v>
      </c>
      <c r="J2294" s="1">
        <v>2</v>
      </c>
      <c r="K2294" s="3">
        <v>9559.91</v>
      </c>
      <c r="L2294" s="1">
        <v>5</v>
      </c>
      <c r="M2294" s="1" t="s">
        <v>63</v>
      </c>
      <c r="N2294" s="10" t="s">
        <v>74</v>
      </c>
      <c r="Q2294"/>
    </row>
    <row r="2295" spans="1:17" x14ac:dyDescent="0.25">
      <c r="A2295" s="9" t="s">
        <v>3336</v>
      </c>
      <c r="B2295" s="2">
        <v>45605</v>
      </c>
      <c r="C2295" s="1" t="s">
        <v>856</v>
      </c>
      <c r="D2295" s="1" t="s">
        <v>26</v>
      </c>
      <c r="E2295" s="1" t="s">
        <v>34</v>
      </c>
      <c r="F2295" s="1" t="s">
        <v>60</v>
      </c>
      <c r="G2295" s="1" t="s">
        <v>53</v>
      </c>
      <c r="H2295" s="1" t="s">
        <v>54</v>
      </c>
      <c r="I2295" s="1" t="s">
        <v>413</v>
      </c>
      <c r="J2295" s="1">
        <v>10</v>
      </c>
      <c r="K2295" s="3">
        <v>16962.79</v>
      </c>
      <c r="L2295" s="1">
        <v>10</v>
      </c>
      <c r="M2295" s="1" t="s">
        <v>36</v>
      </c>
      <c r="N2295" s="10" t="s">
        <v>23</v>
      </c>
      <c r="Q2295"/>
    </row>
    <row r="2296" spans="1:17" x14ac:dyDescent="0.25">
      <c r="A2296" s="9" t="s">
        <v>3337</v>
      </c>
      <c r="B2296" s="2">
        <v>45103</v>
      </c>
      <c r="C2296" s="1" t="s">
        <v>683</v>
      </c>
      <c r="D2296" s="1" t="s">
        <v>87</v>
      </c>
      <c r="E2296" s="1" t="s">
        <v>27</v>
      </c>
      <c r="F2296" s="1" t="s">
        <v>82</v>
      </c>
      <c r="G2296" s="1" t="s">
        <v>19</v>
      </c>
      <c r="H2296" s="1" t="s">
        <v>29</v>
      </c>
      <c r="I2296" s="1" t="s">
        <v>452</v>
      </c>
      <c r="J2296" s="1">
        <v>1</v>
      </c>
      <c r="K2296" s="3">
        <v>2876.71</v>
      </c>
      <c r="L2296" s="1">
        <v>20</v>
      </c>
      <c r="M2296" s="1" t="s">
        <v>22</v>
      </c>
      <c r="N2296" s="10" t="s">
        <v>74</v>
      </c>
      <c r="Q2296"/>
    </row>
    <row r="2297" spans="1:17" x14ac:dyDescent="0.25">
      <c r="A2297" s="9" t="s">
        <v>3338</v>
      </c>
      <c r="B2297" s="2">
        <v>45109</v>
      </c>
      <c r="C2297" s="1" t="s">
        <v>565</v>
      </c>
      <c r="D2297" s="1" t="s">
        <v>87</v>
      </c>
      <c r="E2297" s="1" t="s">
        <v>27</v>
      </c>
      <c r="F2297" s="1" t="s">
        <v>82</v>
      </c>
      <c r="G2297" s="1" t="s">
        <v>53</v>
      </c>
      <c r="H2297" s="1" t="s">
        <v>54</v>
      </c>
      <c r="I2297" s="1" t="s">
        <v>207</v>
      </c>
      <c r="J2297" s="1">
        <v>1</v>
      </c>
      <c r="K2297" s="3">
        <v>1222.5</v>
      </c>
      <c r="L2297" s="1" t="s">
        <v>110</v>
      </c>
      <c r="M2297" s="1" t="s">
        <v>56</v>
      </c>
      <c r="N2297" s="10" t="s">
        <v>45</v>
      </c>
      <c r="Q2297"/>
    </row>
    <row r="2298" spans="1:17" x14ac:dyDescent="0.25">
      <c r="A2298" s="9" t="s">
        <v>3339</v>
      </c>
      <c r="B2298" s="2">
        <v>45245</v>
      </c>
      <c r="C2298" s="1" t="s">
        <v>343</v>
      </c>
      <c r="D2298" s="1" t="s">
        <v>40</v>
      </c>
      <c r="E2298" s="1" t="s">
        <v>27</v>
      </c>
      <c r="F2298" s="1" t="s">
        <v>82</v>
      </c>
      <c r="G2298" s="1" t="s">
        <v>42</v>
      </c>
      <c r="H2298" s="1" t="s">
        <v>43</v>
      </c>
      <c r="I2298" s="1" t="s">
        <v>144</v>
      </c>
      <c r="J2298" s="1">
        <v>7</v>
      </c>
      <c r="K2298" s="3">
        <v>9628.14</v>
      </c>
      <c r="L2298" s="1">
        <v>10</v>
      </c>
      <c r="M2298" s="1" t="s">
        <v>93</v>
      </c>
      <c r="N2298" s="10" t="s">
        <v>64</v>
      </c>
      <c r="Q2298"/>
    </row>
    <row r="2299" spans="1:17" x14ac:dyDescent="0.25">
      <c r="A2299" s="9" t="s">
        <v>3340</v>
      </c>
      <c r="B2299" s="2">
        <v>45076</v>
      </c>
      <c r="C2299" s="1" t="s">
        <v>2887</v>
      </c>
      <c r="D2299" s="1" t="s">
        <v>40</v>
      </c>
      <c r="E2299" s="1" t="s">
        <v>59</v>
      </c>
      <c r="F2299" s="1" t="s">
        <v>49</v>
      </c>
      <c r="G2299" s="1" t="s">
        <v>53</v>
      </c>
      <c r="H2299" s="1" t="s">
        <v>54</v>
      </c>
      <c r="I2299" s="1" t="s">
        <v>121</v>
      </c>
      <c r="J2299" s="1">
        <v>8</v>
      </c>
      <c r="K2299" s="3">
        <v>39592.019999999997</v>
      </c>
      <c r="L2299" s="1">
        <v>5</v>
      </c>
      <c r="M2299" s="1" t="s">
        <v>36</v>
      </c>
      <c r="N2299" s="10" t="s">
        <v>37</v>
      </c>
      <c r="Q2299"/>
    </row>
    <row r="2300" spans="1:17" x14ac:dyDescent="0.25">
      <c r="A2300" s="9" t="s">
        <v>3341</v>
      </c>
      <c r="B2300" s="2">
        <v>45621</v>
      </c>
      <c r="C2300" s="1" t="s">
        <v>1227</v>
      </c>
      <c r="D2300" s="1" t="s">
        <v>67</v>
      </c>
      <c r="E2300" s="1" t="s">
        <v>27</v>
      </c>
      <c r="F2300" s="1" t="s">
        <v>49</v>
      </c>
      <c r="G2300" s="1" t="s">
        <v>19</v>
      </c>
      <c r="H2300" s="1" t="s">
        <v>20</v>
      </c>
      <c r="I2300" s="1" t="s">
        <v>239</v>
      </c>
      <c r="J2300" s="1">
        <v>5</v>
      </c>
      <c r="K2300" s="3">
        <v>11359.93</v>
      </c>
      <c r="L2300" s="1">
        <v>10</v>
      </c>
      <c r="M2300" s="1" t="s">
        <v>69</v>
      </c>
      <c r="N2300" s="10" t="s">
        <v>74</v>
      </c>
      <c r="Q2300"/>
    </row>
    <row r="2301" spans="1:17" x14ac:dyDescent="0.25">
      <c r="A2301" s="9" t="s">
        <v>3342</v>
      </c>
      <c r="B2301" s="2">
        <v>45255</v>
      </c>
      <c r="C2301" s="1" t="s">
        <v>2007</v>
      </c>
      <c r="D2301" s="1" t="s">
        <v>87</v>
      </c>
      <c r="E2301" s="1" t="s">
        <v>72</v>
      </c>
      <c r="F2301" s="1" t="s">
        <v>28</v>
      </c>
      <c r="G2301" s="1" t="s">
        <v>42</v>
      </c>
      <c r="H2301" s="1" t="s">
        <v>43</v>
      </c>
      <c r="I2301" s="1" t="s">
        <v>566</v>
      </c>
      <c r="J2301" s="1">
        <v>1</v>
      </c>
      <c r="K2301" s="3">
        <v>3096.03</v>
      </c>
      <c r="L2301" s="1">
        <v>5</v>
      </c>
      <c r="M2301" s="1" t="s">
        <v>36</v>
      </c>
      <c r="N2301" s="10" t="s">
        <v>45</v>
      </c>
      <c r="Q2301"/>
    </row>
    <row r="2302" spans="1:17" x14ac:dyDescent="0.25">
      <c r="A2302" s="9" t="s">
        <v>3343</v>
      </c>
      <c r="B2302" s="2">
        <v>45541</v>
      </c>
      <c r="C2302" s="1" t="s">
        <v>2407</v>
      </c>
      <c r="D2302" s="1" t="s">
        <v>16</v>
      </c>
      <c r="E2302" s="1" t="s">
        <v>34</v>
      </c>
      <c r="F2302" s="1" t="s">
        <v>99</v>
      </c>
      <c r="G2302" s="1" t="s">
        <v>53</v>
      </c>
      <c r="H2302" s="1" t="s">
        <v>54</v>
      </c>
      <c r="I2302" s="1" t="s">
        <v>1053</v>
      </c>
      <c r="J2302" s="1">
        <v>2</v>
      </c>
      <c r="K2302" s="3">
        <v>4933.6499999999996</v>
      </c>
      <c r="L2302" s="1">
        <v>0</v>
      </c>
      <c r="M2302" s="1" t="s">
        <v>36</v>
      </c>
      <c r="N2302" s="10" t="s">
        <v>37</v>
      </c>
      <c r="Q2302"/>
    </row>
    <row r="2303" spans="1:17" x14ac:dyDescent="0.25">
      <c r="A2303" s="9" t="s">
        <v>3344</v>
      </c>
      <c r="B2303" s="2">
        <v>44956</v>
      </c>
      <c r="C2303" s="1" t="s">
        <v>3264</v>
      </c>
      <c r="D2303" s="1" t="s">
        <v>33</v>
      </c>
      <c r="E2303" s="1" t="s">
        <v>41</v>
      </c>
      <c r="F2303" s="1" t="s">
        <v>88</v>
      </c>
      <c r="G2303" s="1" t="s">
        <v>42</v>
      </c>
      <c r="H2303" s="1" t="s">
        <v>43</v>
      </c>
      <c r="I2303" s="1" t="s">
        <v>572</v>
      </c>
      <c r="J2303" s="1">
        <v>3</v>
      </c>
      <c r="K2303" s="3">
        <v>11079.93</v>
      </c>
      <c r="L2303" s="1">
        <v>10</v>
      </c>
      <c r="M2303" s="1" t="s">
        <v>56</v>
      </c>
      <c r="N2303" s="10" t="s">
        <v>23</v>
      </c>
      <c r="Q2303"/>
    </row>
    <row r="2304" spans="1:17" x14ac:dyDescent="0.25">
      <c r="A2304" s="9" t="s">
        <v>3345</v>
      </c>
      <c r="B2304" s="2">
        <v>45167</v>
      </c>
      <c r="C2304" s="1" t="s">
        <v>1394</v>
      </c>
      <c r="D2304" s="1" t="s">
        <v>40</v>
      </c>
      <c r="E2304" s="1" t="s">
        <v>59</v>
      </c>
      <c r="F2304" s="1" t="s">
        <v>82</v>
      </c>
      <c r="G2304" s="1" t="s">
        <v>19</v>
      </c>
      <c r="H2304" s="1" t="s">
        <v>29</v>
      </c>
      <c r="I2304" s="1" t="s">
        <v>556</v>
      </c>
      <c r="J2304" s="1">
        <v>6</v>
      </c>
      <c r="K2304" s="3">
        <v>9393.7000000000007</v>
      </c>
      <c r="L2304" s="1">
        <v>15</v>
      </c>
      <c r="M2304" s="1" t="s">
        <v>93</v>
      </c>
      <c r="N2304" s="10" t="s">
        <v>64</v>
      </c>
      <c r="Q2304"/>
    </row>
    <row r="2305" spans="1:17" x14ac:dyDescent="0.25">
      <c r="A2305" s="9" t="s">
        <v>3346</v>
      </c>
      <c r="B2305" s="2">
        <v>45118</v>
      </c>
      <c r="C2305" s="1" t="s">
        <v>764</v>
      </c>
      <c r="D2305" s="1" t="s">
        <v>147</v>
      </c>
      <c r="E2305" s="1" t="s">
        <v>34</v>
      </c>
      <c r="F2305" s="1" t="s">
        <v>18</v>
      </c>
      <c r="G2305" s="1" t="s">
        <v>53</v>
      </c>
      <c r="H2305" s="1" t="s">
        <v>54</v>
      </c>
      <c r="I2305" s="1" t="s">
        <v>558</v>
      </c>
      <c r="J2305" s="1">
        <v>3</v>
      </c>
      <c r="K2305" s="3">
        <v>6676.06</v>
      </c>
      <c r="L2305" s="1">
        <v>10</v>
      </c>
      <c r="M2305" s="1" t="s">
        <v>22</v>
      </c>
      <c r="N2305" s="10" t="s">
        <v>31</v>
      </c>
      <c r="Q2305"/>
    </row>
    <row r="2306" spans="1:17" x14ac:dyDescent="0.25">
      <c r="A2306" s="9" t="s">
        <v>3347</v>
      </c>
      <c r="B2306" s="2">
        <v>45636</v>
      </c>
      <c r="C2306" s="1" t="s">
        <v>992</v>
      </c>
      <c r="D2306" s="1" t="s">
        <v>81</v>
      </c>
      <c r="E2306" s="1" t="s">
        <v>27</v>
      </c>
      <c r="F2306" s="1" t="s">
        <v>49</v>
      </c>
      <c r="G2306" s="1" t="s">
        <v>42</v>
      </c>
      <c r="H2306" s="1" t="s">
        <v>43</v>
      </c>
      <c r="I2306" s="1" t="s">
        <v>494</v>
      </c>
      <c r="J2306" s="1">
        <v>7</v>
      </c>
      <c r="K2306" s="3">
        <v>26494.06</v>
      </c>
      <c r="L2306" s="1">
        <v>0</v>
      </c>
      <c r="M2306" s="1" t="s">
        <v>93</v>
      </c>
      <c r="N2306" s="10" t="s">
        <v>45</v>
      </c>
      <c r="Q2306"/>
    </row>
    <row r="2307" spans="1:17" x14ac:dyDescent="0.25">
      <c r="A2307" s="9" t="s">
        <v>3348</v>
      </c>
      <c r="B2307" s="2">
        <v>45609</v>
      </c>
      <c r="C2307" s="1" t="s">
        <v>520</v>
      </c>
      <c r="D2307" s="1" t="s">
        <v>52</v>
      </c>
      <c r="E2307" s="1" t="s">
        <v>72</v>
      </c>
      <c r="F2307" s="1" t="s">
        <v>82</v>
      </c>
      <c r="G2307" s="1" t="s">
        <v>42</v>
      </c>
      <c r="H2307" s="1" t="s">
        <v>61</v>
      </c>
      <c r="I2307" s="1" t="s">
        <v>440</v>
      </c>
      <c r="J2307" s="1">
        <v>3</v>
      </c>
      <c r="K2307" s="3">
        <v>10709.39</v>
      </c>
      <c r="L2307" s="1">
        <v>5</v>
      </c>
      <c r="M2307" s="1" t="s">
        <v>36</v>
      </c>
      <c r="N2307" s="10" t="s">
        <v>74</v>
      </c>
      <c r="Q2307"/>
    </row>
    <row r="2308" spans="1:17" x14ac:dyDescent="0.25">
      <c r="A2308" s="9" t="s">
        <v>3349</v>
      </c>
      <c r="B2308" s="2">
        <v>45414</v>
      </c>
      <c r="C2308" s="1" t="s">
        <v>1119</v>
      </c>
      <c r="D2308" s="1" t="s">
        <v>71</v>
      </c>
      <c r="E2308" s="1" t="s">
        <v>34</v>
      </c>
      <c r="F2308" s="1" t="s">
        <v>49</v>
      </c>
      <c r="G2308" s="1" t="s">
        <v>53</v>
      </c>
      <c r="H2308" s="1" t="s">
        <v>54</v>
      </c>
      <c r="I2308" s="1" t="s">
        <v>639</v>
      </c>
      <c r="J2308" s="1">
        <v>7</v>
      </c>
      <c r="K2308" s="3">
        <v>21638.16</v>
      </c>
      <c r="L2308" s="1">
        <v>20</v>
      </c>
      <c r="M2308" s="1" t="s">
        <v>22</v>
      </c>
      <c r="N2308" s="10" t="s">
        <v>45</v>
      </c>
      <c r="Q2308"/>
    </row>
    <row r="2309" spans="1:17" x14ac:dyDescent="0.25">
      <c r="A2309" s="9" t="s">
        <v>3350</v>
      </c>
      <c r="B2309" s="2">
        <v>45187</v>
      </c>
      <c r="C2309" s="1" t="s">
        <v>39</v>
      </c>
      <c r="D2309" s="1" t="s">
        <v>52</v>
      </c>
      <c r="E2309" s="1" t="s">
        <v>72</v>
      </c>
      <c r="F2309" s="1" t="s">
        <v>60</v>
      </c>
      <c r="G2309" s="1" t="s">
        <v>19</v>
      </c>
      <c r="H2309" s="1" t="s">
        <v>29</v>
      </c>
      <c r="I2309" s="1" t="s">
        <v>267</v>
      </c>
      <c r="J2309" s="1">
        <v>6</v>
      </c>
      <c r="K2309" s="3">
        <v>18982.79</v>
      </c>
      <c r="L2309" s="1">
        <v>5</v>
      </c>
      <c r="M2309" s="1" t="s">
        <v>36</v>
      </c>
      <c r="N2309" s="10" t="s">
        <v>31</v>
      </c>
      <c r="Q2309"/>
    </row>
    <row r="2310" spans="1:17" x14ac:dyDescent="0.25">
      <c r="A2310" s="9" t="s">
        <v>3351</v>
      </c>
      <c r="B2310" s="2">
        <v>45049</v>
      </c>
      <c r="C2310" s="1" t="s">
        <v>359</v>
      </c>
      <c r="D2310" s="1" t="s">
        <v>81</v>
      </c>
      <c r="E2310" s="1" t="s">
        <v>27</v>
      </c>
      <c r="F2310" s="1" t="s">
        <v>88</v>
      </c>
      <c r="G2310" s="1" t="s">
        <v>83</v>
      </c>
      <c r="H2310" s="1" t="s">
        <v>43</v>
      </c>
      <c r="I2310" s="1" t="s">
        <v>488</v>
      </c>
      <c r="J2310" s="1">
        <v>6</v>
      </c>
      <c r="K2310" s="3">
        <v>15834.73</v>
      </c>
      <c r="L2310" s="1">
        <v>0</v>
      </c>
      <c r="M2310" s="1" t="s">
        <v>22</v>
      </c>
      <c r="N2310" s="10" t="s">
        <v>31</v>
      </c>
      <c r="Q2310"/>
    </row>
    <row r="2311" spans="1:17" x14ac:dyDescent="0.25">
      <c r="A2311" s="9" t="s">
        <v>3352</v>
      </c>
      <c r="B2311" s="2">
        <v>45253</v>
      </c>
      <c r="C2311" s="1" t="s">
        <v>642</v>
      </c>
      <c r="D2311" s="1" t="s">
        <v>26</v>
      </c>
      <c r="E2311" s="1" t="s">
        <v>59</v>
      </c>
      <c r="F2311" s="1" t="s">
        <v>28</v>
      </c>
      <c r="G2311" s="1" t="s">
        <v>83</v>
      </c>
      <c r="H2311" s="1" t="s">
        <v>43</v>
      </c>
      <c r="I2311" s="1" t="s">
        <v>339</v>
      </c>
      <c r="J2311" s="1">
        <v>6</v>
      </c>
      <c r="K2311" s="3">
        <v>7012.52</v>
      </c>
      <c r="L2311" s="1">
        <v>5</v>
      </c>
      <c r="M2311" s="1" t="s">
        <v>56</v>
      </c>
      <c r="N2311" s="10" t="s">
        <v>31</v>
      </c>
      <c r="Q2311"/>
    </row>
    <row r="2312" spans="1:17" x14ac:dyDescent="0.25">
      <c r="A2312" s="9" t="s">
        <v>3353</v>
      </c>
      <c r="B2312" s="2">
        <v>45504</v>
      </c>
      <c r="C2312" s="1" t="s">
        <v>287</v>
      </c>
      <c r="D2312" s="1" t="s">
        <v>67</v>
      </c>
      <c r="E2312" s="1" t="s">
        <v>59</v>
      </c>
      <c r="F2312" s="1" t="s">
        <v>82</v>
      </c>
      <c r="G2312" s="1" t="s">
        <v>19</v>
      </c>
      <c r="H2312" s="1" t="s">
        <v>20</v>
      </c>
      <c r="I2312" s="1" t="s">
        <v>312</v>
      </c>
      <c r="J2312" s="1">
        <v>2</v>
      </c>
      <c r="K2312" s="3">
        <v>286.64</v>
      </c>
      <c r="L2312" s="1" t="s">
        <v>110</v>
      </c>
      <c r="M2312" s="1" t="s">
        <v>36</v>
      </c>
      <c r="N2312" s="10" t="s">
        <v>23</v>
      </c>
      <c r="Q2312"/>
    </row>
    <row r="2313" spans="1:17" x14ac:dyDescent="0.25">
      <c r="A2313" s="9" t="s">
        <v>3354</v>
      </c>
      <c r="B2313" s="2">
        <v>45644</v>
      </c>
      <c r="C2313" s="1" t="s">
        <v>2108</v>
      </c>
      <c r="D2313" s="1" t="s">
        <v>81</v>
      </c>
      <c r="E2313" s="1" t="s">
        <v>41</v>
      </c>
      <c r="F2313" s="1" t="s">
        <v>49</v>
      </c>
      <c r="G2313" s="1" t="s">
        <v>19</v>
      </c>
      <c r="H2313" s="1" t="s">
        <v>29</v>
      </c>
      <c r="I2313" s="1" t="s">
        <v>148</v>
      </c>
      <c r="J2313" s="1">
        <v>3</v>
      </c>
      <c r="K2313" s="3">
        <v>13004.48</v>
      </c>
      <c r="L2313" s="1">
        <v>0</v>
      </c>
      <c r="M2313" s="1" t="s">
        <v>22</v>
      </c>
      <c r="N2313" s="10" t="s">
        <v>74</v>
      </c>
      <c r="Q2313"/>
    </row>
    <row r="2314" spans="1:17" x14ac:dyDescent="0.25">
      <c r="A2314" s="9" t="s">
        <v>3355</v>
      </c>
      <c r="B2314" s="2">
        <v>45185</v>
      </c>
      <c r="C2314" s="1" t="s">
        <v>1050</v>
      </c>
      <c r="D2314" s="1" t="s">
        <v>52</v>
      </c>
      <c r="E2314" s="1" t="s">
        <v>27</v>
      </c>
      <c r="F2314" s="1" t="s">
        <v>82</v>
      </c>
      <c r="G2314" s="1" t="s">
        <v>42</v>
      </c>
      <c r="H2314" s="1" t="s">
        <v>43</v>
      </c>
      <c r="I2314" s="1" t="s">
        <v>339</v>
      </c>
      <c r="J2314" s="1">
        <v>6</v>
      </c>
      <c r="K2314" s="3">
        <v>4183.96</v>
      </c>
      <c r="L2314" s="1">
        <v>5</v>
      </c>
      <c r="M2314" s="1" t="s">
        <v>63</v>
      </c>
      <c r="N2314" s="10" t="s">
        <v>37</v>
      </c>
      <c r="Q2314"/>
    </row>
    <row r="2315" spans="1:17" x14ac:dyDescent="0.25">
      <c r="A2315" s="9" t="s">
        <v>3356</v>
      </c>
      <c r="B2315" s="2">
        <v>45163</v>
      </c>
      <c r="C2315" s="1" t="s">
        <v>429</v>
      </c>
      <c r="D2315" s="1" t="s">
        <v>81</v>
      </c>
      <c r="E2315" s="1" t="s">
        <v>34</v>
      </c>
      <c r="F2315" s="1" t="s">
        <v>99</v>
      </c>
      <c r="G2315" s="1" t="s">
        <v>42</v>
      </c>
      <c r="H2315" s="1" t="s">
        <v>43</v>
      </c>
      <c r="I2315" s="1" t="s">
        <v>154</v>
      </c>
      <c r="J2315" s="1">
        <v>8</v>
      </c>
      <c r="K2315" s="3">
        <v>12229.73</v>
      </c>
      <c r="L2315" s="1">
        <v>10</v>
      </c>
      <c r="M2315" s="1" t="s">
        <v>22</v>
      </c>
      <c r="N2315" s="10" t="s">
        <v>37</v>
      </c>
      <c r="Q2315"/>
    </row>
    <row r="2316" spans="1:17" x14ac:dyDescent="0.25">
      <c r="A2316" s="9" t="s">
        <v>3357</v>
      </c>
      <c r="B2316" s="2">
        <v>45603</v>
      </c>
      <c r="C2316" s="1" t="s">
        <v>977</v>
      </c>
      <c r="D2316" s="1" t="s">
        <v>40</v>
      </c>
      <c r="E2316" s="1" t="s">
        <v>41</v>
      </c>
      <c r="F2316" s="1" t="s">
        <v>28</v>
      </c>
      <c r="G2316" s="1" t="s">
        <v>42</v>
      </c>
      <c r="H2316" s="1" t="s">
        <v>61</v>
      </c>
      <c r="I2316" s="1" t="s">
        <v>115</v>
      </c>
      <c r="J2316" s="1">
        <v>4</v>
      </c>
      <c r="K2316" s="3">
        <v>15710.01</v>
      </c>
      <c r="L2316" s="1">
        <v>15</v>
      </c>
      <c r="M2316" s="1" t="s">
        <v>69</v>
      </c>
      <c r="N2316" s="10" t="s">
        <v>64</v>
      </c>
      <c r="Q2316"/>
    </row>
    <row r="2317" spans="1:17" x14ac:dyDescent="0.25">
      <c r="A2317" s="9" t="s">
        <v>3358</v>
      </c>
      <c r="B2317" s="2">
        <v>45502</v>
      </c>
      <c r="C2317" s="1" t="s">
        <v>658</v>
      </c>
      <c r="D2317" s="1" t="s">
        <v>26</v>
      </c>
      <c r="E2317" s="1" t="s">
        <v>34</v>
      </c>
      <c r="F2317" s="1" t="s">
        <v>82</v>
      </c>
      <c r="G2317" s="1" t="s">
        <v>19</v>
      </c>
      <c r="H2317" s="1" t="s">
        <v>20</v>
      </c>
      <c r="I2317" s="1" t="s">
        <v>261</v>
      </c>
      <c r="J2317" s="1">
        <v>4</v>
      </c>
      <c r="K2317" s="3">
        <v>17842.150000000001</v>
      </c>
      <c r="L2317" s="1" t="s">
        <v>110</v>
      </c>
      <c r="M2317" s="1" t="s">
        <v>63</v>
      </c>
      <c r="N2317" s="10" t="s">
        <v>31</v>
      </c>
      <c r="Q2317"/>
    </row>
    <row r="2318" spans="1:17" x14ac:dyDescent="0.25">
      <c r="A2318" s="9" t="s">
        <v>3359</v>
      </c>
      <c r="B2318" s="2">
        <v>45236</v>
      </c>
      <c r="C2318" s="1" t="s">
        <v>711</v>
      </c>
      <c r="D2318" s="1" t="s">
        <v>81</v>
      </c>
      <c r="E2318" s="1" t="s">
        <v>27</v>
      </c>
      <c r="F2318" s="1" t="s">
        <v>60</v>
      </c>
      <c r="G2318" s="1" t="s">
        <v>42</v>
      </c>
      <c r="H2318" s="1" t="s">
        <v>43</v>
      </c>
      <c r="I2318" s="1" t="s">
        <v>566</v>
      </c>
      <c r="J2318" s="1">
        <v>1</v>
      </c>
      <c r="K2318" s="3">
        <v>4978.47</v>
      </c>
      <c r="L2318" s="1">
        <v>15</v>
      </c>
      <c r="M2318" s="1" t="s">
        <v>63</v>
      </c>
      <c r="N2318" s="10" t="s">
        <v>37</v>
      </c>
      <c r="Q2318"/>
    </row>
    <row r="2319" spans="1:17" x14ac:dyDescent="0.25">
      <c r="A2319" s="9" t="s">
        <v>3360</v>
      </c>
      <c r="B2319" s="2">
        <v>44994</v>
      </c>
      <c r="C2319" s="1" t="s">
        <v>3361</v>
      </c>
      <c r="D2319" s="1" t="s">
        <v>33</v>
      </c>
      <c r="E2319" s="1" t="s">
        <v>41</v>
      </c>
      <c r="F2319" s="1" t="s">
        <v>49</v>
      </c>
      <c r="G2319" s="1" t="s">
        <v>19</v>
      </c>
      <c r="H2319" s="1" t="s">
        <v>29</v>
      </c>
      <c r="I2319" s="1" t="s">
        <v>220</v>
      </c>
      <c r="J2319" s="1">
        <v>4</v>
      </c>
      <c r="K2319" s="3">
        <v>459.55</v>
      </c>
      <c r="L2319" s="1">
        <v>15</v>
      </c>
      <c r="M2319" s="1" t="s">
        <v>22</v>
      </c>
      <c r="N2319" s="10" t="s">
        <v>45</v>
      </c>
      <c r="Q2319"/>
    </row>
    <row r="2320" spans="1:17" x14ac:dyDescent="0.25">
      <c r="A2320" s="9" t="s">
        <v>3362</v>
      </c>
      <c r="B2320" s="2">
        <v>45471</v>
      </c>
      <c r="C2320" s="1" t="s">
        <v>1167</v>
      </c>
      <c r="D2320" s="1" t="s">
        <v>147</v>
      </c>
      <c r="E2320" s="1" t="s">
        <v>34</v>
      </c>
      <c r="F2320" s="1" t="s">
        <v>49</v>
      </c>
      <c r="G2320" s="1" t="s">
        <v>19</v>
      </c>
      <c r="H2320" s="1" t="s">
        <v>29</v>
      </c>
      <c r="I2320" s="1" t="s">
        <v>445</v>
      </c>
      <c r="J2320" s="1">
        <v>8</v>
      </c>
      <c r="K2320" s="3">
        <v>25174.13</v>
      </c>
      <c r="L2320" s="1">
        <v>15</v>
      </c>
      <c r="M2320" s="1" t="s">
        <v>36</v>
      </c>
      <c r="N2320" s="10" t="s">
        <v>23</v>
      </c>
      <c r="Q2320"/>
    </row>
    <row r="2321" spans="1:17" x14ac:dyDescent="0.25">
      <c r="A2321" s="9" t="s">
        <v>3363</v>
      </c>
      <c r="B2321" s="2">
        <v>45443</v>
      </c>
      <c r="C2321" s="1" t="s">
        <v>238</v>
      </c>
      <c r="D2321" s="1" t="s">
        <v>33</v>
      </c>
      <c r="E2321" s="1" t="s">
        <v>27</v>
      </c>
      <c r="F2321" s="1" t="s">
        <v>99</v>
      </c>
      <c r="G2321" s="1" t="s">
        <v>19</v>
      </c>
      <c r="H2321" s="1" t="s">
        <v>20</v>
      </c>
      <c r="I2321" s="1" t="s">
        <v>254</v>
      </c>
      <c r="J2321" s="1">
        <v>7</v>
      </c>
      <c r="K2321" s="3">
        <v>18738.830000000002</v>
      </c>
      <c r="L2321" s="1">
        <v>0</v>
      </c>
      <c r="M2321" s="1" t="s">
        <v>36</v>
      </c>
      <c r="N2321" s="10" t="s">
        <v>37</v>
      </c>
      <c r="Q2321"/>
    </row>
    <row r="2322" spans="1:17" x14ac:dyDescent="0.25">
      <c r="A2322" s="9" t="s">
        <v>3364</v>
      </c>
      <c r="B2322" s="2">
        <v>45465</v>
      </c>
      <c r="C2322" s="1" t="s">
        <v>2019</v>
      </c>
      <c r="D2322" s="1" t="s">
        <v>16</v>
      </c>
      <c r="E2322" s="1" t="s">
        <v>17</v>
      </c>
      <c r="F2322" s="1" t="s">
        <v>49</v>
      </c>
      <c r="G2322" s="1" t="s">
        <v>83</v>
      </c>
      <c r="H2322" s="1" t="s">
        <v>43</v>
      </c>
      <c r="I2322" s="1" t="s">
        <v>84</v>
      </c>
      <c r="J2322" s="1">
        <v>2</v>
      </c>
      <c r="K2322" s="3">
        <v>5307.31</v>
      </c>
      <c r="L2322" s="1">
        <v>15</v>
      </c>
      <c r="M2322" s="1" t="s">
        <v>63</v>
      </c>
      <c r="N2322" s="10" t="s">
        <v>23</v>
      </c>
      <c r="Q2322"/>
    </row>
    <row r="2323" spans="1:17" x14ac:dyDescent="0.25">
      <c r="A2323" s="9" t="s">
        <v>3365</v>
      </c>
      <c r="B2323" s="2">
        <v>45252</v>
      </c>
      <c r="C2323" s="1" t="s">
        <v>311</v>
      </c>
      <c r="D2323" s="1" t="s">
        <v>67</v>
      </c>
      <c r="E2323" s="1" t="s">
        <v>41</v>
      </c>
      <c r="F2323" s="1" t="s">
        <v>49</v>
      </c>
      <c r="G2323" s="1" t="s">
        <v>19</v>
      </c>
      <c r="H2323" s="1" t="s">
        <v>20</v>
      </c>
      <c r="I2323" s="1" t="s">
        <v>731</v>
      </c>
      <c r="J2323" s="1">
        <v>9</v>
      </c>
      <c r="K2323" s="3">
        <v>29305.93</v>
      </c>
      <c r="L2323" s="1" t="s">
        <v>110</v>
      </c>
      <c r="M2323" s="1" t="s">
        <v>36</v>
      </c>
      <c r="N2323" s="10" t="s">
        <v>23</v>
      </c>
      <c r="Q2323"/>
    </row>
    <row r="2324" spans="1:17" x14ac:dyDescent="0.25">
      <c r="A2324" s="9" t="s">
        <v>3366</v>
      </c>
      <c r="B2324" s="2">
        <v>45164</v>
      </c>
      <c r="C2324" s="1" t="s">
        <v>2124</v>
      </c>
      <c r="D2324" s="1" t="s">
        <v>71</v>
      </c>
      <c r="E2324" s="1" t="s">
        <v>17</v>
      </c>
      <c r="F2324" s="1" t="s">
        <v>82</v>
      </c>
      <c r="G2324" s="1" t="s">
        <v>53</v>
      </c>
      <c r="H2324" s="1" t="s">
        <v>54</v>
      </c>
      <c r="I2324" s="1" t="s">
        <v>173</v>
      </c>
      <c r="J2324" s="1">
        <v>7</v>
      </c>
      <c r="K2324" s="3">
        <v>27803.46</v>
      </c>
      <c r="L2324" s="1">
        <v>0</v>
      </c>
      <c r="M2324" s="1" t="s">
        <v>63</v>
      </c>
      <c r="N2324" s="10" t="s">
        <v>31</v>
      </c>
      <c r="Q2324"/>
    </row>
    <row r="2325" spans="1:17" x14ac:dyDescent="0.25">
      <c r="A2325" s="9" t="s">
        <v>3367</v>
      </c>
      <c r="B2325" s="2">
        <v>45331</v>
      </c>
      <c r="C2325" s="1" t="s">
        <v>1660</v>
      </c>
      <c r="D2325" s="1" t="s">
        <v>52</v>
      </c>
      <c r="E2325" s="1" t="s">
        <v>27</v>
      </c>
      <c r="F2325" s="1" t="s">
        <v>88</v>
      </c>
      <c r="G2325" s="1" t="s">
        <v>83</v>
      </c>
      <c r="H2325" s="1" t="s">
        <v>43</v>
      </c>
      <c r="I2325" s="1" t="s">
        <v>339</v>
      </c>
      <c r="J2325" s="1">
        <v>2</v>
      </c>
      <c r="K2325" s="3">
        <v>6250.87</v>
      </c>
      <c r="L2325" s="1">
        <v>15</v>
      </c>
      <c r="M2325" s="1" t="s">
        <v>69</v>
      </c>
      <c r="N2325" s="10" t="s">
        <v>74</v>
      </c>
      <c r="Q2325"/>
    </row>
    <row r="2326" spans="1:17" x14ac:dyDescent="0.25">
      <c r="A2326" s="9" t="s">
        <v>3368</v>
      </c>
      <c r="B2326" s="2">
        <v>44931</v>
      </c>
      <c r="C2326" s="1" t="s">
        <v>412</v>
      </c>
      <c r="D2326" s="1" t="s">
        <v>26</v>
      </c>
      <c r="E2326" s="1" t="s">
        <v>34</v>
      </c>
      <c r="F2326" s="1" t="s">
        <v>82</v>
      </c>
      <c r="G2326" s="1" t="s">
        <v>83</v>
      </c>
      <c r="H2326" s="1" t="s">
        <v>43</v>
      </c>
      <c r="I2326" s="1" t="s">
        <v>288</v>
      </c>
      <c r="J2326" s="1">
        <v>8</v>
      </c>
      <c r="K2326" s="3">
        <v>20633.830000000002</v>
      </c>
      <c r="L2326" s="1">
        <v>15</v>
      </c>
      <c r="M2326" s="1" t="s">
        <v>22</v>
      </c>
      <c r="N2326" s="10" t="s">
        <v>23</v>
      </c>
      <c r="Q2326"/>
    </row>
    <row r="2327" spans="1:17" x14ac:dyDescent="0.25">
      <c r="A2327" s="9" t="s">
        <v>3369</v>
      </c>
      <c r="B2327" s="2">
        <v>45078</v>
      </c>
      <c r="C2327" s="1" t="s">
        <v>1013</v>
      </c>
      <c r="D2327" s="1" t="s">
        <v>33</v>
      </c>
      <c r="E2327" s="1" t="s">
        <v>72</v>
      </c>
      <c r="F2327" s="1" t="s">
        <v>18</v>
      </c>
      <c r="G2327" s="1" t="s">
        <v>19</v>
      </c>
      <c r="H2327" s="1" t="s">
        <v>29</v>
      </c>
      <c r="I2327" s="1" t="s">
        <v>135</v>
      </c>
      <c r="J2327" s="1">
        <v>9</v>
      </c>
      <c r="K2327" s="3">
        <v>38814.519999999997</v>
      </c>
      <c r="L2327" s="1" t="s">
        <v>110</v>
      </c>
      <c r="M2327" s="1" t="s">
        <v>69</v>
      </c>
      <c r="N2327" s="10" t="s">
        <v>23</v>
      </c>
      <c r="Q2327"/>
    </row>
    <row r="2328" spans="1:17" x14ac:dyDescent="0.25">
      <c r="A2328" s="9" t="s">
        <v>3370</v>
      </c>
      <c r="B2328" s="2">
        <v>44968</v>
      </c>
      <c r="C2328" s="1" t="s">
        <v>1160</v>
      </c>
      <c r="D2328" s="1" t="s">
        <v>26</v>
      </c>
      <c r="E2328" s="1" t="s">
        <v>17</v>
      </c>
      <c r="F2328" s="1" t="s">
        <v>49</v>
      </c>
      <c r="G2328" s="1" t="s">
        <v>53</v>
      </c>
      <c r="H2328" s="1" t="s">
        <v>54</v>
      </c>
      <c r="I2328" s="1" t="s">
        <v>333</v>
      </c>
      <c r="J2328" s="1">
        <v>10</v>
      </c>
      <c r="K2328" s="3">
        <v>29394.93</v>
      </c>
      <c r="L2328" s="1" t="s">
        <v>110</v>
      </c>
      <c r="M2328" s="1" t="s">
        <v>36</v>
      </c>
      <c r="N2328" s="10" t="s">
        <v>31</v>
      </c>
      <c r="Q2328"/>
    </row>
    <row r="2329" spans="1:17" x14ac:dyDescent="0.25">
      <c r="A2329" s="9" t="s">
        <v>3371</v>
      </c>
      <c r="B2329" s="2">
        <v>45008</v>
      </c>
      <c r="C2329" s="1" t="s">
        <v>1120</v>
      </c>
      <c r="D2329" s="1" t="s">
        <v>147</v>
      </c>
      <c r="E2329" s="1" t="s">
        <v>59</v>
      </c>
      <c r="F2329" s="1" t="s">
        <v>60</v>
      </c>
      <c r="G2329" s="1" t="s">
        <v>19</v>
      </c>
      <c r="H2329" s="1" t="s">
        <v>29</v>
      </c>
      <c r="I2329" s="1" t="s">
        <v>141</v>
      </c>
      <c r="J2329" s="1">
        <v>7</v>
      </c>
      <c r="K2329" s="3">
        <v>15461.78</v>
      </c>
      <c r="L2329" s="1">
        <v>5</v>
      </c>
      <c r="M2329" s="1" t="s">
        <v>36</v>
      </c>
      <c r="N2329" s="10" t="s">
        <v>23</v>
      </c>
      <c r="Q2329"/>
    </row>
    <row r="2330" spans="1:17" x14ac:dyDescent="0.25">
      <c r="A2330" s="9" t="s">
        <v>3372</v>
      </c>
      <c r="B2330" s="2">
        <v>45089</v>
      </c>
      <c r="C2330" s="1" t="s">
        <v>1333</v>
      </c>
      <c r="D2330" s="1" t="s">
        <v>71</v>
      </c>
      <c r="E2330" s="1" t="s">
        <v>34</v>
      </c>
      <c r="F2330" s="1" t="s">
        <v>99</v>
      </c>
      <c r="G2330" s="1" t="s">
        <v>42</v>
      </c>
      <c r="H2330" s="1" t="s">
        <v>43</v>
      </c>
      <c r="I2330" s="1" t="s">
        <v>348</v>
      </c>
      <c r="J2330" s="1">
        <v>9</v>
      </c>
      <c r="K2330" s="3">
        <v>28082.92</v>
      </c>
      <c r="L2330" s="1">
        <v>5</v>
      </c>
      <c r="M2330" s="1" t="s">
        <v>36</v>
      </c>
      <c r="N2330" s="10" t="s">
        <v>74</v>
      </c>
      <c r="Q2330"/>
    </row>
    <row r="2331" spans="1:17" x14ac:dyDescent="0.25">
      <c r="A2331" s="9" t="s">
        <v>3373</v>
      </c>
      <c r="B2331" s="2">
        <v>45302</v>
      </c>
      <c r="C2331" s="1" t="s">
        <v>2256</v>
      </c>
      <c r="D2331" s="1" t="s">
        <v>71</v>
      </c>
      <c r="E2331" s="1" t="s">
        <v>41</v>
      </c>
      <c r="F2331" s="1" t="s">
        <v>99</v>
      </c>
      <c r="G2331" s="1" t="s">
        <v>19</v>
      </c>
      <c r="H2331" s="1" t="s">
        <v>20</v>
      </c>
      <c r="I2331" s="1" t="s">
        <v>928</v>
      </c>
      <c r="J2331" s="1">
        <v>1</v>
      </c>
      <c r="K2331" s="3">
        <v>2513.84</v>
      </c>
      <c r="L2331" s="1">
        <v>10</v>
      </c>
      <c r="M2331" s="1" t="s">
        <v>36</v>
      </c>
      <c r="N2331" s="10" t="s">
        <v>37</v>
      </c>
      <c r="Q2331"/>
    </row>
    <row r="2332" spans="1:17" x14ac:dyDescent="0.25">
      <c r="A2332" s="9" t="s">
        <v>3374</v>
      </c>
      <c r="B2332" s="2">
        <v>45579</v>
      </c>
      <c r="C2332" s="1" t="s">
        <v>1591</v>
      </c>
      <c r="D2332" s="1" t="s">
        <v>87</v>
      </c>
      <c r="E2332" s="1" t="s">
        <v>72</v>
      </c>
      <c r="F2332" s="1" t="s">
        <v>28</v>
      </c>
      <c r="G2332" s="1" t="s">
        <v>19</v>
      </c>
      <c r="H2332" s="1" t="s">
        <v>20</v>
      </c>
      <c r="I2332" s="1" t="s">
        <v>164</v>
      </c>
      <c r="J2332" s="1">
        <v>3</v>
      </c>
      <c r="K2332" s="3">
        <v>7969.07</v>
      </c>
      <c r="L2332" s="1">
        <v>20</v>
      </c>
      <c r="M2332" s="1" t="s">
        <v>56</v>
      </c>
      <c r="N2332" s="10" t="s">
        <v>74</v>
      </c>
      <c r="Q2332"/>
    </row>
    <row r="2333" spans="1:17" x14ac:dyDescent="0.25">
      <c r="A2333" s="9" t="s">
        <v>3375</v>
      </c>
      <c r="B2333" s="2">
        <v>45551</v>
      </c>
      <c r="C2333" s="1" t="s">
        <v>51</v>
      </c>
      <c r="D2333" s="1" t="s">
        <v>40</v>
      </c>
      <c r="E2333" s="1" t="s">
        <v>27</v>
      </c>
      <c r="F2333" s="1" t="s">
        <v>28</v>
      </c>
      <c r="G2333" s="1" t="s">
        <v>19</v>
      </c>
      <c r="H2333" s="1" t="s">
        <v>29</v>
      </c>
      <c r="I2333" s="1" t="s">
        <v>267</v>
      </c>
      <c r="J2333" s="1">
        <v>1</v>
      </c>
      <c r="K2333" s="3">
        <v>3391.02</v>
      </c>
      <c r="L2333" s="1" t="s">
        <v>110</v>
      </c>
      <c r="M2333" s="1" t="s">
        <v>69</v>
      </c>
      <c r="N2333" s="10" t="s">
        <v>45</v>
      </c>
      <c r="Q2333"/>
    </row>
    <row r="2334" spans="1:17" x14ac:dyDescent="0.25">
      <c r="A2334" s="9" t="s">
        <v>3376</v>
      </c>
      <c r="B2334" s="2">
        <v>45598</v>
      </c>
      <c r="C2334" s="1" t="s">
        <v>140</v>
      </c>
      <c r="D2334" s="1" t="s">
        <v>147</v>
      </c>
      <c r="E2334" s="1" t="s">
        <v>59</v>
      </c>
      <c r="F2334" s="1" t="s">
        <v>49</v>
      </c>
      <c r="G2334" s="1" t="s">
        <v>19</v>
      </c>
      <c r="H2334" s="1" t="s">
        <v>29</v>
      </c>
      <c r="I2334" s="1" t="s">
        <v>885</v>
      </c>
      <c r="J2334" s="1">
        <v>10</v>
      </c>
      <c r="K2334" s="3">
        <v>3992</v>
      </c>
      <c r="L2334" s="1">
        <v>0</v>
      </c>
      <c r="M2334" s="1" t="s">
        <v>69</v>
      </c>
      <c r="N2334" s="10" t="s">
        <v>64</v>
      </c>
      <c r="Q2334"/>
    </row>
    <row r="2335" spans="1:17" x14ac:dyDescent="0.25">
      <c r="A2335" s="9" t="s">
        <v>3377</v>
      </c>
      <c r="B2335" s="2">
        <v>45044</v>
      </c>
      <c r="C2335" s="1" t="s">
        <v>522</v>
      </c>
      <c r="D2335" s="1" t="s">
        <v>26</v>
      </c>
      <c r="E2335" s="1" t="s">
        <v>17</v>
      </c>
      <c r="F2335" s="1" t="s">
        <v>60</v>
      </c>
      <c r="G2335" s="1" t="s">
        <v>42</v>
      </c>
      <c r="H2335" s="1" t="s">
        <v>61</v>
      </c>
      <c r="I2335" s="1" t="s">
        <v>1011</v>
      </c>
      <c r="J2335" s="1">
        <v>7</v>
      </c>
      <c r="K2335" s="3">
        <v>26554.58</v>
      </c>
      <c r="L2335" s="1">
        <v>15</v>
      </c>
      <c r="M2335" s="1" t="s">
        <v>56</v>
      </c>
      <c r="N2335" s="10" t="s">
        <v>74</v>
      </c>
      <c r="Q2335"/>
    </row>
    <row r="2336" spans="1:17" x14ac:dyDescent="0.25">
      <c r="A2336" s="9" t="s">
        <v>3378</v>
      </c>
      <c r="B2336" s="2">
        <v>45191</v>
      </c>
      <c r="C2336" s="1" t="s">
        <v>595</v>
      </c>
      <c r="D2336" s="1" t="s">
        <v>147</v>
      </c>
      <c r="E2336" s="1" t="s">
        <v>17</v>
      </c>
      <c r="F2336" s="1" t="s">
        <v>99</v>
      </c>
      <c r="G2336" s="1" t="s">
        <v>19</v>
      </c>
      <c r="H2336" s="1" t="s">
        <v>20</v>
      </c>
      <c r="I2336" s="1" t="s">
        <v>788</v>
      </c>
      <c r="J2336" s="1">
        <v>10</v>
      </c>
      <c r="K2336" s="3">
        <v>41790.07</v>
      </c>
      <c r="L2336" s="1" t="s">
        <v>110</v>
      </c>
      <c r="M2336" s="1" t="s">
        <v>36</v>
      </c>
      <c r="N2336" s="10" t="s">
        <v>37</v>
      </c>
      <c r="Q2336"/>
    </row>
    <row r="2337" spans="1:17" x14ac:dyDescent="0.25">
      <c r="A2337" s="9" t="s">
        <v>3379</v>
      </c>
      <c r="B2337" s="2">
        <v>45199</v>
      </c>
      <c r="C2337" s="1" t="s">
        <v>1843</v>
      </c>
      <c r="D2337" s="1" t="s">
        <v>26</v>
      </c>
      <c r="E2337" s="1" t="s">
        <v>17</v>
      </c>
      <c r="F2337" s="1" t="s">
        <v>82</v>
      </c>
      <c r="G2337" s="1" t="s">
        <v>53</v>
      </c>
      <c r="H2337" s="1" t="s">
        <v>54</v>
      </c>
      <c r="I2337" s="1" t="s">
        <v>272</v>
      </c>
      <c r="J2337" s="1">
        <v>4</v>
      </c>
      <c r="K2337" s="3">
        <v>4910.09</v>
      </c>
      <c r="L2337" s="1">
        <v>5</v>
      </c>
      <c r="M2337" s="1" t="s">
        <v>69</v>
      </c>
      <c r="N2337" s="10" t="s">
        <v>74</v>
      </c>
      <c r="Q2337"/>
    </row>
    <row r="2338" spans="1:17" x14ac:dyDescent="0.25">
      <c r="A2338" s="9" t="s">
        <v>3380</v>
      </c>
      <c r="B2338" s="2">
        <v>45577</v>
      </c>
      <c r="C2338" s="1" t="s">
        <v>542</v>
      </c>
      <c r="D2338" s="1" t="s">
        <v>87</v>
      </c>
      <c r="E2338" s="1" t="s">
        <v>27</v>
      </c>
      <c r="F2338" s="1" t="s">
        <v>18</v>
      </c>
      <c r="G2338" s="1" t="s">
        <v>42</v>
      </c>
      <c r="H2338" s="1" t="s">
        <v>61</v>
      </c>
      <c r="I2338" s="1" t="s">
        <v>833</v>
      </c>
      <c r="J2338" s="1">
        <v>1</v>
      </c>
      <c r="K2338" s="3">
        <v>1051.8</v>
      </c>
      <c r="L2338" s="1">
        <v>10</v>
      </c>
      <c r="M2338" s="1" t="s">
        <v>56</v>
      </c>
      <c r="N2338" s="10" t="s">
        <v>31</v>
      </c>
      <c r="Q2338"/>
    </row>
    <row r="2339" spans="1:17" x14ac:dyDescent="0.25">
      <c r="A2339" s="9" t="s">
        <v>3381</v>
      </c>
      <c r="B2339" s="2">
        <v>45397</v>
      </c>
      <c r="C2339" s="1" t="s">
        <v>3256</v>
      </c>
      <c r="D2339" s="1" t="s">
        <v>71</v>
      </c>
      <c r="E2339" s="1" t="s">
        <v>72</v>
      </c>
      <c r="F2339" s="1" t="s">
        <v>99</v>
      </c>
      <c r="G2339" s="1" t="s">
        <v>42</v>
      </c>
      <c r="H2339" s="1" t="s">
        <v>61</v>
      </c>
      <c r="I2339" s="1" t="s">
        <v>529</v>
      </c>
      <c r="J2339" s="1">
        <v>4</v>
      </c>
      <c r="K2339" s="3">
        <v>1639.38</v>
      </c>
      <c r="L2339" s="1">
        <v>5</v>
      </c>
      <c r="M2339" s="1" t="s">
        <v>56</v>
      </c>
      <c r="N2339" s="10" t="s">
        <v>31</v>
      </c>
      <c r="Q2339"/>
    </row>
    <row r="2340" spans="1:17" x14ac:dyDescent="0.25">
      <c r="A2340" s="9" t="s">
        <v>3382</v>
      </c>
      <c r="B2340" s="2">
        <v>45367</v>
      </c>
      <c r="C2340" s="1" t="s">
        <v>578</v>
      </c>
      <c r="D2340" s="1" t="s">
        <v>26</v>
      </c>
      <c r="E2340" s="1" t="s">
        <v>59</v>
      </c>
      <c r="F2340" s="1" t="s">
        <v>88</v>
      </c>
      <c r="G2340" s="1" t="s">
        <v>42</v>
      </c>
      <c r="H2340" s="1" t="s">
        <v>61</v>
      </c>
      <c r="I2340" s="1" t="s">
        <v>1020</v>
      </c>
      <c r="J2340" s="1">
        <v>3</v>
      </c>
      <c r="K2340" s="3">
        <v>7212.68</v>
      </c>
      <c r="L2340" s="1">
        <v>0</v>
      </c>
      <c r="M2340" s="1" t="s">
        <v>56</v>
      </c>
      <c r="N2340" s="10" t="s">
        <v>74</v>
      </c>
      <c r="Q2340"/>
    </row>
    <row r="2341" spans="1:17" x14ac:dyDescent="0.25">
      <c r="A2341" s="9" t="s">
        <v>3383</v>
      </c>
      <c r="B2341" s="2">
        <v>44967</v>
      </c>
      <c r="C2341" s="1" t="s">
        <v>1926</v>
      </c>
      <c r="D2341" s="1" t="s">
        <v>48</v>
      </c>
      <c r="E2341" s="1" t="s">
        <v>27</v>
      </c>
      <c r="F2341" s="1" t="s">
        <v>82</v>
      </c>
      <c r="G2341" s="1" t="s">
        <v>42</v>
      </c>
      <c r="H2341" s="1" t="s">
        <v>43</v>
      </c>
      <c r="I2341" s="1" t="s">
        <v>394</v>
      </c>
      <c r="J2341" s="1">
        <v>4</v>
      </c>
      <c r="K2341" s="3">
        <v>3211.08</v>
      </c>
      <c r="L2341" s="1">
        <v>20</v>
      </c>
      <c r="M2341" s="1" t="s">
        <v>56</v>
      </c>
      <c r="N2341" s="10" t="s">
        <v>45</v>
      </c>
      <c r="Q2341"/>
    </row>
    <row r="2342" spans="1:17" x14ac:dyDescent="0.25">
      <c r="A2342" s="9" t="s">
        <v>3384</v>
      </c>
      <c r="B2342" s="2">
        <v>45327</v>
      </c>
      <c r="C2342" s="1" t="s">
        <v>1304</v>
      </c>
      <c r="D2342" s="1" t="s">
        <v>26</v>
      </c>
      <c r="E2342" s="1" t="s">
        <v>27</v>
      </c>
      <c r="F2342" s="1" t="s">
        <v>82</v>
      </c>
      <c r="G2342" s="1" t="s">
        <v>19</v>
      </c>
      <c r="H2342" s="1" t="s">
        <v>29</v>
      </c>
      <c r="I2342" s="1" t="s">
        <v>1215</v>
      </c>
      <c r="J2342" s="1">
        <v>10</v>
      </c>
      <c r="K2342" s="3">
        <v>46409.4</v>
      </c>
      <c r="L2342" s="1">
        <v>20</v>
      </c>
      <c r="M2342" s="1" t="s">
        <v>22</v>
      </c>
      <c r="N2342" s="10" t="s">
        <v>37</v>
      </c>
      <c r="Q2342"/>
    </row>
    <row r="2343" spans="1:17" x14ac:dyDescent="0.25">
      <c r="A2343" s="9" t="s">
        <v>3385</v>
      </c>
      <c r="B2343" s="2">
        <v>45515</v>
      </c>
      <c r="C2343" s="1" t="s">
        <v>1558</v>
      </c>
      <c r="D2343" s="1" t="s">
        <v>67</v>
      </c>
      <c r="E2343" s="1" t="s">
        <v>17</v>
      </c>
      <c r="F2343" s="1" t="s">
        <v>88</v>
      </c>
      <c r="G2343" s="1" t="s">
        <v>19</v>
      </c>
      <c r="H2343" s="1" t="s">
        <v>20</v>
      </c>
      <c r="I2343" s="1" t="s">
        <v>193</v>
      </c>
      <c r="J2343" s="1">
        <v>5</v>
      </c>
      <c r="K2343" s="3">
        <v>11489.82</v>
      </c>
      <c r="L2343" s="1">
        <v>10</v>
      </c>
      <c r="M2343" s="1" t="s">
        <v>63</v>
      </c>
      <c r="N2343" s="10" t="s">
        <v>64</v>
      </c>
      <c r="Q2343"/>
    </row>
    <row r="2344" spans="1:17" x14ac:dyDescent="0.25">
      <c r="A2344" s="9" t="s">
        <v>3386</v>
      </c>
      <c r="B2344" s="2">
        <v>45539</v>
      </c>
      <c r="C2344" s="1" t="s">
        <v>1115</v>
      </c>
      <c r="D2344" s="1" t="s">
        <v>147</v>
      </c>
      <c r="E2344" s="1" t="s">
        <v>59</v>
      </c>
      <c r="F2344" s="1" t="s">
        <v>49</v>
      </c>
      <c r="G2344" s="1" t="s">
        <v>19</v>
      </c>
      <c r="H2344" s="1" t="s">
        <v>20</v>
      </c>
      <c r="I2344" s="1" t="s">
        <v>21</v>
      </c>
      <c r="J2344" s="1">
        <v>6</v>
      </c>
      <c r="K2344" s="3">
        <v>5005.1499999999996</v>
      </c>
      <c r="L2344" s="1" t="s">
        <v>110</v>
      </c>
      <c r="M2344" s="1" t="s">
        <v>63</v>
      </c>
      <c r="N2344" s="10" t="s">
        <v>64</v>
      </c>
      <c r="Q2344"/>
    </row>
    <row r="2345" spans="1:17" x14ac:dyDescent="0.25">
      <c r="A2345" s="9" t="s">
        <v>3387</v>
      </c>
      <c r="B2345" s="2">
        <v>45574</v>
      </c>
      <c r="C2345" s="1" t="s">
        <v>2205</v>
      </c>
      <c r="D2345" s="1" t="s">
        <v>81</v>
      </c>
      <c r="E2345" s="1" t="s">
        <v>41</v>
      </c>
      <c r="F2345" s="1" t="s">
        <v>60</v>
      </c>
      <c r="G2345" s="1" t="s">
        <v>42</v>
      </c>
      <c r="H2345" s="1" t="s">
        <v>61</v>
      </c>
      <c r="I2345" s="1" t="s">
        <v>151</v>
      </c>
      <c r="J2345" s="1">
        <v>4</v>
      </c>
      <c r="K2345" s="3">
        <v>13058.31</v>
      </c>
      <c r="L2345" s="1" t="s">
        <v>110</v>
      </c>
      <c r="M2345" s="1" t="s">
        <v>22</v>
      </c>
      <c r="N2345" s="10" t="s">
        <v>23</v>
      </c>
      <c r="Q2345"/>
    </row>
    <row r="2346" spans="1:17" x14ac:dyDescent="0.25">
      <c r="A2346" s="9" t="s">
        <v>3388</v>
      </c>
      <c r="B2346" s="2">
        <v>45643</v>
      </c>
      <c r="C2346" s="1" t="s">
        <v>1401</v>
      </c>
      <c r="D2346" s="1" t="s">
        <v>67</v>
      </c>
      <c r="E2346" s="1" t="s">
        <v>17</v>
      </c>
      <c r="F2346" s="1" t="s">
        <v>82</v>
      </c>
      <c r="G2346" s="1" t="s">
        <v>42</v>
      </c>
      <c r="H2346" s="1" t="s">
        <v>61</v>
      </c>
      <c r="I2346" s="1" t="s">
        <v>294</v>
      </c>
      <c r="J2346" s="1">
        <v>6</v>
      </c>
      <c r="K2346" s="3">
        <v>15148.5</v>
      </c>
      <c r="L2346" s="1">
        <v>5</v>
      </c>
      <c r="M2346" s="1" t="s">
        <v>56</v>
      </c>
      <c r="N2346" s="10" t="s">
        <v>64</v>
      </c>
      <c r="Q2346"/>
    </row>
    <row r="2347" spans="1:17" x14ac:dyDescent="0.25">
      <c r="A2347" s="9" t="s">
        <v>3389</v>
      </c>
      <c r="B2347" s="2">
        <v>45404</v>
      </c>
      <c r="C2347" s="1" t="s">
        <v>580</v>
      </c>
      <c r="D2347" s="1" t="s">
        <v>169</v>
      </c>
      <c r="E2347" s="1" t="s">
        <v>27</v>
      </c>
      <c r="F2347" s="1" t="s">
        <v>18</v>
      </c>
      <c r="G2347" s="1" t="s">
        <v>42</v>
      </c>
      <c r="H2347" s="1" t="s">
        <v>61</v>
      </c>
      <c r="I2347" s="1" t="s">
        <v>388</v>
      </c>
      <c r="J2347" s="1">
        <v>8</v>
      </c>
      <c r="K2347" s="3">
        <v>2325.08</v>
      </c>
      <c r="L2347" s="1" t="s">
        <v>110</v>
      </c>
      <c r="M2347" s="1" t="s">
        <v>93</v>
      </c>
      <c r="N2347" s="10" t="s">
        <v>37</v>
      </c>
      <c r="Q2347"/>
    </row>
    <row r="2348" spans="1:17" x14ac:dyDescent="0.25">
      <c r="A2348" s="9" t="s">
        <v>3390</v>
      </c>
      <c r="B2348" s="2">
        <v>45027</v>
      </c>
      <c r="C2348" s="1" t="s">
        <v>988</v>
      </c>
      <c r="D2348" s="1" t="s">
        <v>71</v>
      </c>
      <c r="E2348" s="1" t="s">
        <v>59</v>
      </c>
      <c r="F2348" s="1" t="s">
        <v>99</v>
      </c>
      <c r="G2348" s="1" t="s">
        <v>42</v>
      </c>
      <c r="H2348" s="1" t="s">
        <v>61</v>
      </c>
      <c r="I2348" s="1" t="s">
        <v>632</v>
      </c>
      <c r="J2348" s="1">
        <v>3</v>
      </c>
      <c r="K2348" s="3">
        <v>7507.6</v>
      </c>
      <c r="L2348" s="1">
        <v>0</v>
      </c>
      <c r="M2348" s="1" t="s">
        <v>63</v>
      </c>
      <c r="N2348" s="10" t="s">
        <v>45</v>
      </c>
      <c r="Q2348"/>
    </row>
    <row r="2349" spans="1:17" x14ac:dyDescent="0.25">
      <c r="A2349" s="9" t="s">
        <v>3391</v>
      </c>
      <c r="B2349" s="2">
        <v>45151</v>
      </c>
      <c r="C2349" s="1" t="s">
        <v>123</v>
      </c>
      <c r="D2349" s="1" t="s">
        <v>26</v>
      </c>
      <c r="E2349" s="1" t="s">
        <v>59</v>
      </c>
      <c r="F2349" s="1" t="s">
        <v>88</v>
      </c>
      <c r="G2349" s="1" t="s">
        <v>53</v>
      </c>
      <c r="H2349" s="1" t="s">
        <v>54</v>
      </c>
      <c r="I2349" s="1" t="s">
        <v>608</v>
      </c>
      <c r="J2349" s="1">
        <v>2</v>
      </c>
      <c r="K2349" s="3">
        <v>6530.15</v>
      </c>
      <c r="L2349" s="1">
        <v>0</v>
      </c>
      <c r="M2349" s="1" t="s">
        <v>93</v>
      </c>
      <c r="N2349" s="10" t="s">
        <v>37</v>
      </c>
      <c r="Q2349"/>
    </row>
    <row r="2350" spans="1:17" x14ac:dyDescent="0.25">
      <c r="A2350" s="9" t="s">
        <v>3392</v>
      </c>
      <c r="B2350" s="2">
        <v>45265</v>
      </c>
      <c r="C2350" s="1" t="s">
        <v>1676</v>
      </c>
      <c r="D2350" s="1" t="s">
        <v>81</v>
      </c>
      <c r="E2350" s="1" t="s">
        <v>72</v>
      </c>
      <c r="F2350" s="1" t="s">
        <v>99</v>
      </c>
      <c r="G2350" s="1" t="s">
        <v>83</v>
      </c>
      <c r="H2350" s="1" t="s">
        <v>43</v>
      </c>
      <c r="I2350" s="1" t="s">
        <v>182</v>
      </c>
      <c r="J2350" s="1">
        <v>9</v>
      </c>
      <c r="K2350" s="3">
        <v>21377.66</v>
      </c>
      <c r="L2350" s="1">
        <v>10</v>
      </c>
      <c r="M2350" s="1" t="s">
        <v>36</v>
      </c>
      <c r="N2350" s="10" t="s">
        <v>23</v>
      </c>
      <c r="Q2350"/>
    </row>
    <row r="2351" spans="1:17" x14ac:dyDescent="0.25">
      <c r="A2351" s="9" t="s">
        <v>457</v>
      </c>
      <c r="B2351" s="2">
        <v>44958</v>
      </c>
      <c r="C2351" s="1" t="s">
        <v>909</v>
      </c>
      <c r="D2351" s="1" t="s">
        <v>87</v>
      </c>
      <c r="E2351" s="1" t="s">
        <v>72</v>
      </c>
      <c r="F2351" s="1" t="s">
        <v>82</v>
      </c>
      <c r="G2351" s="1" t="s">
        <v>83</v>
      </c>
      <c r="H2351" s="1" t="s">
        <v>43</v>
      </c>
      <c r="I2351" s="1" t="s">
        <v>323</v>
      </c>
      <c r="J2351" s="1">
        <v>9</v>
      </c>
      <c r="K2351" s="3">
        <v>37557.56</v>
      </c>
      <c r="L2351" s="1">
        <v>0</v>
      </c>
      <c r="M2351" s="1" t="s">
        <v>63</v>
      </c>
      <c r="N2351" s="10" t="s">
        <v>74</v>
      </c>
      <c r="Q2351"/>
    </row>
    <row r="2352" spans="1:17" x14ac:dyDescent="0.25">
      <c r="A2352" s="9" t="s">
        <v>3393</v>
      </c>
      <c r="B2352" s="2">
        <v>45090</v>
      </c>
      <c r="C2352" s="1" t="s">
        <v>200</v>
      </c>
      <c r="D2352" s="1" t="s">
        <v>33</v>
      </c>
      <c r="E2352" s="1" t="s">
        <v>27</v>
      </c>
      <c r="F2352" s="1" t="s">
        <v>18</v>
      </c>
      <c r="G2352" s="1" t="s">
        <v>42</v>
      </c>
      <c r="H2352" s="1" t="s">
        <v>43</v>
      </c>
      <c r="I2352" s="1" t="s">
        <v>348</v>
      </c>
      <c r="J2352" s="1">
        <v>8</v>
      </c>
      <c r="K2352" s="3">
        <v>21972.27</v>
      </c>
      <c r="L2352" s="1">
        <v>5</v>
      </c>
      <c r="M2352" s="1" t="s">
        <v>56</v>
      </c>
      <c r="N2352" s="10" t="s">
        <v>64</v>
      </c>
      <c r="Q2352"/>
    </row>
    <row r="2353" spans="1:17" x14ac:dyDescent="0.25">
      <c r="A2353" s="9" t="s">
        <v>3394</v>
      </c>
      <c r="B2353" s="2">
        <v>45464</v>
      </c>
      <c r="C2353" s="1" t="s">
        <v>1214</v>
      </c>
      <c r="D2353" s="1" t="s">
        <v>26</v>
      </c>
      <c r="E2353" s="1" t="s">
        <v>41</v>
      </c>
      <c r="F2353" s="1" t="s">
        <v>99</v>
      </c>
      <c r="G2353" s="1" t="s">
        <v>42</v>
      </c>
      <c r="H2353" s="1" t="s">
        <v>43</v>
      </c>
      <c r="I2353" s="1" t="s">
        <v>491</v>
      </c>
      <c r="J2353" s="1">
        <v>8</v>
      </c>
      <c r="K2353" s="3">
        <v>39409.64</v>
      </c>
      <c r="L2353" s="1">
        <v>20</v>
      </c>
      <c r="M2353" s="1" t="s">
        <v>22</v>
      </c>
      <c r="N2353" s="10" t="s">
        <v>23</v>
      </c>
      <c r="Q2353"/>
    </row>
    <row r="2354" spans="1:17" x14ac:dyDescent="0.25">
      <c r="A2354" s="9" t="s">
        <v>3395</v>
      </c>
      <c r="B2354" s="2">
        <v>45096</v>
      </c>
      <c r="C2354" s="1" t="s">
        <v>198</v>
      </c>
      <c r="D2354" s="1" t="s">
        <v>67</v>
      </c>
      <c r="E2354" s="1" t="s">
        <v>59</v>
      </c>
      <c r="F2354" s="1" t="s">
        <v>18</v>
      </c>
      <c r="G2354" s="1" t="s">
        <v>42</v>
      </c>
      <c r="H2354" s="1" t="s">
        <v>43</v>
      </c>
      <c r="I2354" s="1" t="s">
        <v>488</v>
      </c>
      <c r="J2354" s="1">
        <v>2</v>
      </c>
      <c r="K2354" s="3">
        <v>9068.68</v>
      </c>
      <c r="L2354" s="1">
        <v>20</v>
      </c>
      <c r="M2354" s="1" t="s">
        <v>22</v>
      </c>
      <c r="N2354" s="10" t="s">
        <v>74</v>
      </c>
      <c r="Q2354"/>
    </row>
    <row r="2355" spans="1:17" x14ac:dyDescent="0.25">
      <c r="A2355" s="9" t="s">
        <v>3396</v>
      </c>
      <c r="B2355" s="2">
        <v>45414</v>
      </c>
      <c r="C2355" s="1" t="s">
        <v>282</v>
      </c>
      <c r="D2355" s="1" t="s">
        <v>192</v>
      </c>
      <c r="E2355" s="1" t="s">
        <v>17</v>
      </c>
      <c r="F2355" s="1" t="s">
        <v>18</v>
      </c>
      <c r="G2355" s="1" t="s">
        <v>42</v>
      </c>
      <c r="H2355" s="1" t="s">
        <v>43</v>
      </c>
      <c r="I2355" s="1" t="s">
        <v>566</v>
      </c>
      <c r="J2355" s="1">
        <v>8</v>
      </c>
      <c r="K2355" s="3">
        <v>35616.58</v>
      </c>
      <c r="L2355" s="1" t="s">
        <v>110</v>
      </c>
      <c r="M2355" s="1" t="s">
        <v>22</v>
      </c>
      <c r="N2355" s="10" t="s">
        <v>31</v>
      </c>
      <c r="Q2355"/>
    </row>
    <row r="2356" spans="1:17" x14ac:dyDescent="0.25">
      <c r="A2356" s="9" t="s">
        <v>3397</v>
      </c>
      <c r="B2356" s="2">
        <v>45011</v>
      </c>
      <c r="C2356" s="1" t="s">
        <v>1520</v>
      </c>
      <c r="D2356" s="1" t="s">
        <v>48</v>
      </c>
      <c r="E2356" s="1" t="s">
        <v>27</v>
      </c>
      <c r="F2356" s="1" t="s">
        <v>18</v>
      </c>
      <c r="G2356" s="1" t="s">
        <v>42</v>
      </c>
      <c r="H2356" s="1" t="s">
        <v>61</v>
      </c>
      <c r="I2356" s="1" t="s">
        <v>294</v>
      </c>
      <c r="J2356" s="1">
        <v>4</v>
      </c>
      <c r="K2356" s="3">
        <v>14898.2</v>
      </c>
      <c r="L2356" s="1" t="s">
        <v>110</v>
      </c>
      <c r="M2356" s="1" t="s">
        <v>56</v>
      </c>
      <c r="N2356" s="10" t="s">
        <v>64</v>
      </c>
      <c r="Q2356"/>
    </row>
    <row r="2357" spans="1:17" x14ac:dyDescent="0.25">
      <c r="A2357" s="9" t="s">
        <v>3398</v>
      </c>
      <c r="B2357" s="2">
        <v>45194</v>
      </c>
      <c r="C2357" s="1" t="s">
        <v>1050</v>
      </c>
      <c r="D2357" s="1" t="s">
        <v>161</v>
      </c>
      <c r="E2357" s="1" t="s">
        <v>27</v>
      </c>
      <c r="F2357" s="1" t="s">
        <v>60</v>
      </c>
      <c r="G2357" s="1" t="s">
        <v>42</v>
      </c>
      <c r="H2357" s="1" t="s">
        <v>43</v>
      </c>
      <c r="I2357" s="1" t="s">
        <v>488</v>
      </c>
      <c r="J2357" s="1">
        <v>1</v>
      </c>
      <c r="K2357" s="3">
        <v>2610.92</v>
      </c>
      <c r="L2357" s="1">
        <v>0</v>
      </c>
      <c r="M2357" s="1" t="s">
        <v>36</v>
      </c>
      <c r="N2357" s="10" t="s">
        <v>45</v>
      </c>
      <c r="Q2357"/>
    </row>
    <row r="2358" spans="1:17" x14ac:dyDescent="0.25">
      <c r="A2358" s="9" t="s">
        <v>3399</v>
      </c>
      <c r="B2358" s="2">
        <v>45197</v>
      </c>
      <c r="C2358" s="1" t="s">
        <v>858</v>
      </c>
      <c r="D2358" s="1" t="s">
        <v>71</v>
      </c>
      <c r="E2358" s="1" t="s">
        <v>41</v>
      </c>
      <c r="F2358" s="1" t="s">
        <v>18</v>
      </c>
      <c r="G2358" s="1" t="s">
        <v>83</v>
      </c>
      <c r="H2358" s="1" t="s">
        <v>43</v>
      </c>
      <c r="I2358" s="1" t="s">
        <v>323</v>
      </c>
      <c r="J2358" s="1">
        <v>10</v>
      </c>
      <c r="K2358" s="3">
        <v>34335.54</v>
      </c>
      <c r="L2358" s="1" t="s">
        <v>110</v>
      </c>
      <c r="M2358" s="1" t="s">
        <v>69</v>
      </c>
      <c r="N2358" s="10" t="s">
        <v>64</v>
      </c>
      <c r="Q2358"/>
    </row>
    <row r="2359" spans="1:17" x14ac:dyDescent="0.25">
      <c r="A2359" s="9" t="s">
        <v>3400</v>
      </c>
      <c r="B2359" s="2">
        <v>45356</v>
      </c>
      <c r="C2359" s="1" t="s">
        <v>490</v>
      </c>
      <c r="D2359" s="1" t="s">
        <v>16</v>
      </c>
      <c r="E2359" s="1" t="s">
        <v>72</v>
      </c>
      <c r="F2359" s="1" t="s">
        <v>49</v>
      </c>
      <c r="G2359" s="1" t="s">
        <v>83</v>
      </c>
      <c r="H2359" s="1" t="s">
        <v>43</v>
      </c>
      <c r="I2359" s="1" t="s">
        <v>572</v>
      </c>
      <c r="J2359" s="1">
        <v>9</v>
      </c>
      <c r="K2359" s="3">
        <v>33238.339999999997</v>
      </c>
      <c r="L2359" s="1">
        <v>20</v>
      </c>
      <c r="M2359" s="1" t="s">
        <v>69</v>
      </c>
      <c r="N2359" s="10" t="s">
        <v>37</v>
      </c>
      <c r="Q2359"/>
    </row>
    <row r="2360" spans="1:17" x14ac:dyDescent="0.25">
      <c r="A2360" s="9" t="s">
        <v>3401</v>
      </c>
      <c r="B2360" s="2">
        <v>45048</v>
      </c>
      <c r="C2360" s="1" t="s">
        <v>1394</v>
      </c>
      <c r="D2360" s="1" t="s">
        <v>71</v>
      </c>
      <c r="E2360" s="1" t="s">
        <v>59</v>
      </c>
      <c r="F2360" s="1" t="s">
        <v>60</v>
      </c>
      <c r="G2360" s="1" t="s">
        <v>53</v>
      </c>
      <c r="H2360" s="1" t="s">
        <v>54</v>
      </c>
      <c r="I2360" s="1" t="s">
        <v>333</v>
      </c>
      <c r="J2360" s="1">
        <v>6</v>
      </c>
      <c r="K2360" s="3">
        <v>11953.71</v>
      </c>
      <c r="L2360" s="1">
        <v>20</v>
      </c>
      <c r="M2360" s="1" t="s">
        <v>63</v>
      </c>
      <c r="N2360" s="10" t="s">
        <v>37</v>
      </c>
      <c r="Q2360"/>
    </row>
    <row r="2361" spans="1:17" x14ac:dyDescent="0.25">
      <c r="A2361" s="9" t="s">
        <v>3402</v>
      </c>
      <c r="B2361" s="2">
        <v>45349</v>
      </c>
      <c r="C2361" s="1" t="s">
        <v>795</v>
      </c>
      <c r="D2361" s="1" t="s">
        <v>67</v>
      </c>
      <c r="E2361" s="1" t="s">
        <v>72</v>
      </c>
      <c r="F2361" s="1" t="s">
        <v>82</v>
      </c>
      <c r="G2361" s="1" t="s">
        <v>83</v>
      </c>
      <c r="H2361" s="1" t="s">
        <v>43</v>
      </c>
      <c r="I2361" s="1" t="s">
        <v>244</v>
      </c>
      <c r="J2361" s="1">
        <v>2</v>
      </c>
      <c r="K2361" s="3">
        <v>8956.4599999999991</v>
      </c>
      <c r="L2361" s="1">
        <v>20</v>
      </c>
      <c r="M2361" s="1" t="s">
        <v>69</v>
      </c>
      <c r="N2361" s="10" t="s">
        <v>37</v>
      </c>
      <c r="Q2361"/>
    </row>
    <row r="2362" spans="1:17" x14ac:dyDescent="0.25">
      <c r="A2362" s="9" t="s">
        <v>3403</v>
      </c>
      <c r="B2362" s="2">
        <v>45007</v>
      </c>
      <c r="C2362" s="1" t="s">
        <v>1023</v>
      </c>
      <c r="D2362" s="1" t="s">
        <v>33</v>
      </c>
      <c r="E2362" s="1" t="s">
        <v>72</v>
      </c>
      <c r="F2362" s="1" t="s">
        <v>60</v>
      </c>
      <c r="G2362" s="1" t="s">
        <v>53</v>
      </c>
      <c r="H2362" s="1" t="s">
        <v>54</v>
      </c>
      <c r="I2362" s="1" t="s">
        <v>558</v>
      </c>
      <c r="J2362" s="1">
        <v>9</v>
      </c>
      <c r="K2362" s="3">
        <v>37365.760000000002</v>
      </c>
      <c r="L2362" s="1">
        <v>10</v>
      </c>
      <c r="M2362" s="1" t="s">
        <v>36</v>
      </c>
      <c r="N2362" s="10" t="s">
        <v>64</v>
      </c>
      <c r="Q2362"/>
    </row>
    <row r="2363" spans="1:17" x14ac:dyDescent="0.25">
      <c r="A2363" s="9" t="s">
        <v>3404</v>
      </c>
      <c r="B2363" s="2">
        <v>45001</v>
      </c>
      <c r="C2363" s="1" t="s">
        <v>1674</v>
      </c>
      <c r="D2363" s="1" t="s">
        <v>40</v>
      </c>
      <c r="E2363" s="1" t="s">
        <v>72</v>
      </c>
      <c r="F2363" s="1" t="s">
        <v>82</v>
      </c>
      <c r="G2363" s="1" t="s">
        <v>19</v>
      </c>
      <c r="H2363" s="1" t="s">
        <v>29</v>
      </c>
      <c r="I2363" s="1" t="s">
        <v>452</v>
      </c>
      <c r="J2363" s="1">
        <v>1</v>
      </c>
      <c r="K2363" s="3">
        <v>3059.59</v>
      </c>
      <c r="L2363" s="1">
        <v>20</v>
      </c>
      <c r="M2363" s="1" t="s">
        <v>63</v>
      </c>
      <c r="N2363" s="10" t="s">
        <v>31</v>
      </c>
      <c r="Q2363"/>
    </row>
    <row r="2364" spans="1:17" x14ac:dyDescent="0.25">
      <c r="A2364" s="9" t="s">
        <v>3405</v>
      </c>
      <c r="B2364" s="2">
        <v>45483</v>
      </c>
      <c r="C2364" s="1" t="s">
        <v>945</v>
      </c>
      <c r="D2364" s="1" t="s">
        <v>33</v>
      </c>
      <c r="E2364" s="1" t="s">
        <v>27</v>
      </c>
      <c r="F2364" s="1" t="s">
        <v>49</v>
      </c>
      <c r="G2364" s="1" t="s">
        <v>53</v>
      </c>
      <c r="H2364" s="1" t="s">
        <v>54</v>
      </c>
      <c r="I2364" s="1" t="s">
        <v>427</v>
      </c>
      <c r="J2364" s="1">
        <v>3</v>
      </c>
      <c r="K2364" s="3">
        <v>5866.58</v>
      </c>
      <c r="L2364" s="1">
        <v>10</v>
      </c>
      <c r="M2364" s="1" t="s">
        <v>69</v>
      </c>
      <c r="N2364" s="10" t="s">
        <v>64</v>
      </c>
      <c r="Q2364"/>
    </row>
    <row r="2365" spans="1:17" x14ac:dyDescent="0.25">
      <c r="A2365" s="9" t="s">
        <v>3406</v>
      </c>
      <c r="B2365" s="2">
        <v>44967</v>
      </c>
      <c r="C2365" s="1" t="s">
        <v>32</v>
      </c>
      <c r="D2365" s="1" t="s">
        <v>26</v>
      </c>
      <c r="E2365" s="1" t="s">
        <v>27</v>
      </c>
      <c r="F2365" s="1" t="s">
        <v>88</v>
      </c>
      <c r="G2365" s="1" t="s">
        <v>19</v>
      </c>
      <c r="H2365" s="1" t="s">
        <v>20</v>
      </c>
      <c r="I2365" s="1" t="s">
        <v>263</v>
      </c>
      <c r="J2365" s="1">
        <v>8</v>
      </c>
      <c r="K2365" s="3">
        <v>25059</v>
      </c>
      <c r="L2365" s="1">
        <v>20</v>
      </c>
      <c r="M2365" s="1" t="s">
        <v>36</v>
      </c>
      <c r="N2365" s="10" t="s">
        <v>23</v>
      </c>
      <c r="Q2365"/>
    </row>
    <row r="2366" spans="1:17" x14ac:dyDescent="0.25">
      <c r="A2366" s="9" t="s">
        <v>3407</v>
      </c>
      <c r="B2366" s="2">
        <v>45329</v>
      </c>
      <c r="C2366" s="1" t="s">
        <v>410</v>
      </c>
      <c r="D2366" s="1" t="s">
        <v>67</v>
      </c>
      <c r="E2366" s="1" t="s">
        <v>34</v>
      </c>
      <c r="F2366" s="1" t="s">
        <v>60</v>
      </c>
      <c r="G2366" s="1" t="s">
        <v>83</v>
      </c>
      <c r="H2366" s="1" t="s">
        <v>43</v>
      </c>
      <c r="I2366" s="1" t="s">
        <v>89</v>
      </c>
      <c r="J2366" s="1">
        <v>1</v>
      </c>
      <c r="K2366" s="3">
        <v>736.89</v>
      </c>
      <c r="L2366" s="1">
        <v>0</v>
      </c>
      <c r="M2366" s="1" t="s">
        <v>36</v>
      </c>
      <c r="N2366" s="10" t="s">
        <v>31</v>
      </c>
      <c r="Q2366"/>
    </row>
    <row r="2367" spans="1:17" x14ac:dyDescent="0.25">
      <c r="A2367" s="9" t="s">
        <v>3408</v>
      </c>
      <c r="B2367" s="2">
        <v>44958</v>
      </c>
      <c r="C2367" s="1" t="s">
        <v>1253</v>
      </c>
      <c r="D2367" s="1" t="s">
        <v>26</v>
      </c>
      <c r="E2367" s="1" t="s">
        <v>72</v>
      </c>
      <c r="F2367" s="1" t="s">
        <v>99</v>
      </c>
      <c r="G2367" s="1" t="s">
        <v>19</v>
      </c>
      <c r="H2367" s="1" t="s">
        <v>29</v>
      </c>
      <c r="I2367" s="1" t="s">
        <v>1215</v>
      </c>
      <c r="J2367" s="1">
        <v>4</v>
      </c>
      <c r="K2367" s="3">
        <v>18670.79</v>
      </c>
      <c r="L2367" s="1">
        <v>20</v>
      </c>
      <c r="M2367" s="1" t="s">
        <v>22</v>
      </c>
      <c r="N2367" s="10" t="s">
        <v>64</v>
      </c>
      <c r="Q2367"/>
    </row>
    <row r="2368" spans="1:17" x14ac:dyDescent="0.25">
      <c r="A2368" s="9" t="s">
        <v>3409</v>
      </c>
      <c r="B2368" s="2">
        <v>44928</v>
      </c>
      <c r="C2368" s="1" t="s">
        <v>623</v>
      </c>
      <c r="D2368" s="1" t="s">
        <v>16</v>
      </c>
      <c r="E2368" s="1" t="s">
        <v>59</v>
      </c>
      <c r="F2368" s="1" t="s">
        <v>88</v>
      </c>
      <c r="G2368" s="1" t="s">
        <v>83</v>
      </c>
      <c r="H2368" s="1" t="s">
        <v>43</v>
      </c>
      <c r="I2368" s="1" t="s">
        <v>365</v>
      </c>
      <c r="J2368" s="1">
        <v>6</v>
      </c>
      <c r="K2368" s="3">
        <v>14237.46</v>
      </c>
      <c r="L2368" s="1">
        <v>15</v>
      </c>
      <c r="M2368" s="1" t="s">
        <v>69</v>
      </c>
      <c r="N2368" s="10" t="s">
        <v>45</v>
      </c>
      <c r="Q2368"/>
    </row>
    <row r="2369" spans="1:17" x14ac:dyDescent="0.25">
      <c r="A2369" s="9" t="s">
        <v>3410</v>
      </c>
      <c r="B2369" s="2">
        <v>45540</v>
      </c>
      <c r="C2369" s="1" t="s">
        <v>2565</v>
      </c>
      <c r="D2369" s="1" t="s">
        <v>67</v>
      </c>
      <c r="E2369" s="1" t="s">
        <v>34</v>
      </c>
      <c r="F2369" s="1" t="s">
        <v>82</v>
      </c>
      <c r="G2369" s="1" t="s">
        <v>42</v>
      </c>
      <c r="H2369" s="1" t="s">
        <v>43</v>
      </c>
      <c r="I2369" s="1" t="s">
        <v>44</v>
      </c>
      <c r="J2369" s="1">
        <v>5</v>
      </c>
      <c r="K2369" s="3">
        <v>6328.82</v>
      </c>
      <c r="L2369" s="1">
        <v>20</v>
      </c>
      <c r="M2369" s="1" t="s">
        <v>36</v>
      </c>
      <c r="N2369" s="10" t="s">
        <v>74</v>
      </c>
      <c r="Q2369"/>
    </row>
    <row r="2370" spans="1:17" x14ac:dyDescent="0.25">
      <c r="A2370" s="9" t="s">
        <v>3411</v>
      </c>
      <c r="B2370" s="2">
        <v>45326</v>
      </c>
      <c r="C2370" s="1" t="s">
        <v>2456</v>
      </c>
      <c r="D2370" s="1" t="s">
        <v>26</v>
      </c>
      <c r="E2370" s="1" t="s">
        <v>17</v>
      </c>
      <c r="F2370" s="1" t="s">
        <v>60</v>
      </c>
      <c r="G2370" s="1" t="s">
        <v>19</v>
      </c>
      <c r="H2370" s="1" t="s">
        <v>29</v>
      </c>
      <c r="I2370" s="1" t="s">
        <v>113</v>
      </c>
      <c r="J2370" s="1">
        <v>4</v>
      </c>
      <c r="K2370" s="3">
        <v>9258.18</v>
      </c>
      <c r="L2370" s="1">
        <v>0</v>
      </c>
      <c r="M2370" s="1" t="s">
        <v>93</v>
      </c>
      <c r="N2370" s="10" t="s">
        <v>37</v>
      </c>
      <c r="Q2370"/>
    </row>
    <row r="2371" spans="1:17" x14ac:dyDescent="0.25">
      <c r="A2371" s="9" t="s">
        <v>3412</v>
      </c>
      <c r="B2371" s="2">
        <v>45454</v>
      </c>
      <c r="C2371" s="1" t="s">
        <v>216</v>
      </c>
      <c r="D2371" s="1" t="s">
        <v>87</v>
      </c>
      <c r="E2371" s="1" t="s">
        <v>59</v>
      </c>
      <c r="F2371" s="1" t="s">
        <v>49</v>
      </c>
      <c r="G2371" s="1" t="s">
        <v>19</v>
      </c>
      <c r="H2371" s="1" t="s">
        <v>20</v>
      </c>
      <c r="I2371" s="1" t="s">
        <v>130</v>
      </c>
      <c r="J2371" s="1">
        <v>7</v>
      </c>
      <c r="K2371" s="3">
        <v>14838.7</v>
      </c>
      <c r="L2371" s="1" t="s">
        <v>110</v>
      </c>
      <c r="M2371" s="1" t="s">
        <v>69</v>
      </c>
      <c r="N2371" s="10" t="s">
        <v>37</v>
      </c>
      <c r="Q2371"/>
    </row>
    <row r="2372" spans="1:17" x14ac:dyDescent="0.25">
      <c r="A2372" s="9" t="s">
        <v>3413</v>
      </c>
      <c r="B2372" s="2">
        <v>45499</v>
      </c>
      <c r="C2372" s="1" t="s">
        <v>645</v>
      </c>
      <c r="D2372" s="1" t="s">
        <v>436</v>
      </c>
      <c r="E2372" s="1" t="s">
        <v>41</v>
      </c>
      <c r="F2372" s="1" t="s">
        <v>88</v>
      </c>
      <c r="G2372" s="1" t="s">
        <v>83</v>
      </c>
      <c r="H2372" s="1" t="s">
        <v>43</v>
      </c>
      <c r="I2372" s="1" t="s">
        <v>154</v>
      </c>
      <c r="J2372" s="1">
        <v>8</v>
      </c>
      <c r="K2372" s="3">
        <v>35524.339999999997</v>
      </c>
      <c r="L2372" s="1">
        <v>15</v>
      </c>
      <c r="M2372" s="1" t="s">
        <v>56</v>
      </c>
      <c r="N2372" s="10" t="s">
        <v>64</v>
      </c>
      <c r="Q2372"/>
    </row>
    <row r="2373" spans="1:17" x14ac:dyDescent="0.25">
      <c r="A2373" s="9" t="s">
        <v>3414</v>
      </c>
      <c r="B2373" s="2">
        <v>45352</v>
      </c>
      <c r="C2373" s="1" t="s">
        <v>296</v>
      </c>
      <c r="D2373" s="1" t="s">
        <v>81</v>
      </c>
      <c r="E2373" s="1" t="s">
        <v>59</v>
      </c>
      <c r="F2373" s="1" t="s">
        <v>88</v>
      </c>
      <c r="G2373" s="1" t="s">
        <v>42</v>
      </c>
      <c r="H2373" s="1" t="s">
        <v>61</v>
      </c>
      <c r="I2373" s="1" t="s">
        <v>305</v>
      </c>
      <c r="J2373" s="1">
        <v>7</v>
      </c>
      <c r="K2373" s="3">
        <v>5485.57</v>
      </c>
      <c r="L2373" s="1">
        <v>20</v>
      </c>
      <c r="M2373" s="1" t="s">
        <v>69</v>
      </c>
      <c r="N2373" s="10" t="s">
        <v>45</v>
      </c>
      <c r="Q2373"/>
    </row>
    <row r="2374" spans="1:17" x14ac:dyDescent="0.25">
      <c r="A2374" s="9" t="s">
        <v>3415</v>
      </c>
      <c r="B2374" s="2">
        <v>45174</v>
      </c>
      <c r="C2374" s="1" t="s">
        <v>557</v>
      </c>
      <c r="D2374" s="1" t="s">
        <v>87</v>
      </c>
      <c r="E2374" s="1" t="s">
        <v>17</v>
      </c>
      <c r="F2374" s="1" t="s">
        <v>49</v>
      </c>
      <c r="G2374" s="1" t="s">
        <v>42</v>
      </c>
      <c r="H2374" s="1" t="s">
        <v>43</v>
      </c>
      <c r="I2374" s="1" t="s">
        <v>84</v>
      </c>
      <c r="J2374" s="1">
        <v>6</v>
      </c>
      <c r="K2374" s="3">
        <v>10946.16</v>
      </c>
      <c r="L2374" s="1">
        <v>10</v>
      </c>
      <c r="M2374" s="1" t="s">
        <v>56</v>
      </c>
      <c r="N2374" s="10" t="s">
        <v>23</v>
      </c>
      <c r="Q2374"/>
    </row>
    <row r="2375" spans="1:17" x14ac:dyDescent="0.25">
      <c r="A2375" s="9" t="s">
        <v>3416</v>
      </c>
      <c r="B2375" s="2">
        <v>45618</v>
      </c>
      <c r="C2375" s="1" t="s">
        <v>1200</v>
      </c>
      <c r="D2375" s="1" t="s">
        <v>71</v>
      </c>
      <c r="E2375" s="1" t="s">
        <v>27</v>
      </c>
      <c r="F2375" s="1" t="s">
        <v>60</v>
      </c>
      <c r="G2375" s="1" t="s">
        <v>53</v>
      </c>
      <c r="H2375" s="1" t="s">
        <v>54</v>
      </c>
      <c r="I2375" s="1" t="s">
        <v>639</v>
      </c>
      <c r="J2375" s="1">
        <v>2</v>
      </c>
      <c r="K2375" s="3">
        <v>1049.68</v>
      </c>
      <c r="L2375" s="1">
        <v>15</v>
      </c>
      <c r="M2375" s="1" t="s">
        <v>22</v>
      </c>
      <c r="N2375" s="10" t="s">
        <v>23</v>
      </c>
      <c r="Q2375"/>
    </row>
    <row r="2376" spans="1:17" x14ac:dyDescent="0.25">
      <c r="A2376" s="9" t="s">
        <v>3417</v>
      </c>
      <c r="B2376" s="2">
        <v>45110</v>
      </c>
      <c r="C2376" s="1" t="s">
        <v>839</v>
      </c>
      <c r="D2376" s="1" t="s">
        <v>26</v>
      </c>
      <c r="E2376" s="1" t="s">
        <v>27</v>
      </c>
      <c r="F2376" s="1" t="s">
        <v>18</v>
      </c>
      <c r="G2376" s="1" t="s">
        <v>19</v>
      </c>
      <c r="H2376" s="1" t="s">
        <v>20</v>
      </c>
      <c r="I2376" s="1" t="s">
        <v>391</v>
      </c>
      <c r="J2376" s="1">
        <v>7</v>
      </c>
      <c r="K2376" s="3">
        <v>7180.95</v>
      </c>
      <c r="L2376" s="1">
        <v>5</v>
      </c>
      <c r="M2376" s="1" t="s">
        <v>22</v>
      </c>
      <c r="N2376" s="10" t="s">
        <v>64</v>
      </c>
      <c r="Q2376"/>
    </row>
    <row r="2377" spans="1:17" x14ac:dyDescent="0.25">
      <c r="A2377" s="9" t="s">
        <v>3418</v>
      </c>
      <c r="B2377" s="2">
        <v>45418</v>
      </c>
      <c r="C2377" s="1" t="s">
        <v>1438</v>
      </c>
      <c r="D2377" s="1" t="s">
        <v>40</v>
      </c>
      <c r="E2377" s="1" t="s">
        <v>72</v>
      </c>
      <c r="F2377" s="1" t="s">
        <v>28</v>
      </c>
      <c r="G2377" s="1" t="s">
        <v>83</v>
      </c>
      <c r="H2377" s="1" t="s">
        <v>43</v>
      </c>
      <c r="I2377" s="1" t="s">
        <v>258</v>
      </c>
      <c r="J2377" s="1">
        <v>-8</v>
      </c>
      <c r="K2377" s="3">
        <v>34425.08</v>
      </c>
      <c r="L2377" s="1">
        <v>15</v>
      </c>
      <c r="M2377" s="1" t="s">
        <v>56</v>
      </c>
      <c r="N2377" s="10" t="s">
        <v>64</v>
      </c>
      <c r="Q2377"/>
    </row>
    <row r="2378" spans="1:17" x14ac:dyDescent="0.25">
      <c r="A2378" s="9" t="s">
        <v>3419</v>
      </c>
      <c r="B2378" s="2">
        <v>45204</v>
      </c>
      <c r="C2378" s="1" t="s">
        <v>1425</v>
      </c>
      <c r="D2378" s="1" t="s">
        <v>33</v>
      </c>
      <c r="E2378" s="1" t="s">
        <v>59</v>
      </c>
      <c r="F2378" s="1" t="s">
        <v>82</v>
      </c>
      <c r="G2378" s="1" t="s">
        <v>19</v>
      </c>
      <c r="H2378" s="1" t="s">
        <v>20</v>
      </c>
      <c r="I2378" s="1" t="s">
        <v>928</v>
      </c>
      <c r="J2378" s="1">
        <v>3</v>
      </c>
      <c r="K2378" s="3">
        <v>13727.92</v>
      </c>
      <c r="L2378" s="1">
        <v>20</v>
      </c>
      <c r="M2378" s="1" t="s">
        <v>22</v>
      </c>
      <c r="N2378" s="10" t="s">
        <v>23</v>
      </c>
      <c r="Q2378"/>
    </row>
    <row r="2379" spans="1:17" x14ac:dyDescent="0.25">
      <c r="A2379" s="9" t="s">
        <v>3420</v>
      </c>
      <c r="B2379" s="2">
        <v>45362</v>
      </c>
      <c r="C2379" s="1" t="s">
        <v>720</v>
      </c>
      <c r="D2379" s="1" t="s">
        <v>81</v>
      </c>
      <c r="E2379" s="1" t="s">
        <v>72</v>
      </c>
      <c r="F2379" s="1" t="s">
        <v>18</v>
      </c>
      <c r="G2379" s="1" t="s">
        <v>19</v>
      </c>
      <c r="H2379" s="1" t="s">
        <v>20</v>
      </c>
      <c r="I2379" s="1" t="s">
        <v>312</v>
      </c>
      <c r="J2379" s="1">
        <v>3</v>
      </c>
      <c r="K2379" s="3">
        <v>14910.46</v>
      </c>
      <c r="L2379" s="1">
        <v>20</v>
      </c>
      <c r="M2379" s="1" t="s">
        <v>56</v>
      </c>
      <c r="N2379" s="10" t="s">
        <v>74</v>
      </c>
      <c r="Q2379"/>
    </row>
    <row r="2380" spans="1:17" x14ac:dyDescent="0.25">
      <c r="A2380" s="9" t="s">
        <v>3421</v>
      </c>
      <c r="B2380" s="2">
        <v>45144</v>
      </c>
      <c r="C2380" s="1" t="s">
        <v>206</v>
      </c>
      <c r="D2380" s="1" t="s">
        <v>81</v>
      </c>
      <c r="E2380" s="1" t="s">
        <v>72</v>
      </c>
      <c r="F2380" s="1" t="s">
        <v>49</v>
      </c>
      <c r="G2380" s="1" t="s">
        <v>42</v>
      </c>
      <c r="H2380" s="1" t="s">
        <v>61</v>
      </c>
      <c r="I2380" s="1" t="s">
        <v>1020</v>
      </c>
      <c r="J2380" s="1">
        <v>1</v>
      </c>
      <c r="K2380" s="3">
        <v>2777.29</v>
      </c>
      <c r="L2380" s="1">
        <v>5</v>
      </c>
      <c r="M2380" s="1" t="s">
        <v>63</v>
      </c>
      <c r="N2380" s="10" t="s">
        <v>45</v>
      </c>
      <c r="Q2380"/>
    </row>
    <row r="2381" spans="1:17" x14ac:dyDescent="0.25">
      <c r="A2381" s="9" t="s">
        <v>3422</v>
      </c>
      <c r="B2381" s="2">
        <v>45029</v>
      </c>
      <c r="C2381" s="1" t="s">
        <v>1379</v>
      </c>
      <c r="D2381" s="1" t="s">
        <v>71</v>
      </c>
      <c r="E2381" s="1" t="s">
        <v>34</v>
      </c>
      <c r="F2381" s="1" t="s">
        <v>18</v>
      </c>
      <c r="G2381" s="1" t="s">
        <v>83</v>
      </c>
      <c r="H2381" s="1" t="s">
        <v>43</v>
      </c>
      <c r="I2381" s="1" t="s">
        <v>182</v>
      </c>
      <c r="J2381" s="1">
        <v>4</v>
      </c>
      <c r="K2381" s="3">
        <v>4614.59</v>
      </c>
      <c r="L2381" s="1">
        <v>20</v>
      </c>
      <c r="M2381" s="1" t="s">
        <v>56</v>
      </c>
      <c r="N2381" s="10" t="s">
        <v>74</v>
      </c>
      <c r="Q2381"/>
    </row>
    <row r="2382" spans="1:17" x14ac:dyDescent="0.25">
      <c r="A2382" s="9" t="s">
        <v>3423</v>
      </c>
      <c r="B2382" s="2">
        <v>45473</v>
      </c>
      <c r="C2382" s="1" t="s">
        <v>271</v>
      </c>
      <c r="D2382" s="1" t="s">
        <v>399</v>
      </c>
      <c r="E2382" s="1" t="s">
        <v>72</v>
      </c>
      <c r="F2382" s="1" t="s">
        <v>60</v>
      </c>
      <c r="G2382" s="1" t="s">
        <v>42</v>
      </c>
      <c r="H2382" s="1" t="s">
        <v>43</v>
      </c>
      <c r="I2382" s="1" t="s">
        <v>572</v>
      </c>
      <c r="J2382" s="1">
        <v>8</v>
      </c>
      <c r="K2382" s="3">
        <v>27433.39</v>
      </c>
      <c r="L2382" s="1">
        <v>20</v>
      </c>
      <c r="M2382" s="1" t="s">
        <v>36</v>
      </c>
      <c r="N2382" s="10" t="s">
        <v>37</v>
      </c>
      <c r="Q2382"/>
    </row>
    <row r="2383" spans="1:17" x14ac:dyDescent="0.25">
      <c r="A2383" s="9" t="s">
        <v>3424</v>
      </c>
      <c r="B2383" s="2">
        <v>45054</v>
      </c>
      <c r="C2383" s="1" t="s">
        <v>2327</v>
      </c>
      <c r="D2383" s="1" t="s">
        <v>87</v>
      </c>
      <c r="E2383" s="1" t="s">
        <v>41</v>
      </c>
      <c r="F2383" s="1" t="s">
        <v>88</v>
      </c>
      <c r="G2383" s="1" t="s">
        <v>42</v>
      </c>
      <c r="H2383" s="1" t="s">
        <v>61</v>
      </c>
      <c r="I2383" s="1" t="s">
        <v>440</v>
      </c>
      <c r="J2383" s="1">
        <v>3</v>
      </c>
      <c r="K2383" s="3">
        <v>8955.0300000000007</v>
      </c>
      <c r="L2383" s="1">
        <v>15</v>
      </c>
      <c r="M2383" s="1" t="s">
        <v>22</v>
      </c>
      <c r="N2383" s="10" t="s">
        <v>74</v>
      </c>
      <c r="Q2383"/>
    </row>
    <row r="2384" spans="1:17" x14ac:dyDescent="0.25">
      <c r="A2384" s="9" t="s">
        <v>3425</v>
      </c>
      <c r="B2384" s="2">
        <v>45426</v>
      </c>
      <c r="C2384" s="1" t="s">
        <v>3426</v>
      </c>
      <c r="D2384" s="1" t="s">
        <v>40</v>
      </c>
      <c r="E2384" s="1" t="s">
        <v>41</v>
      </c>
      <c r="F2384" s="1" t="s">
        <v>49</v>
      </c>
      <c r="G2384" s="1" t="s">
        <v>19</v>
      </c>
      <c r="H2384" s="1" t="s">
        <v>20</v>
      </c>
      <c r="I2384" s="1" t="s">
        <v>1234</v>
      </c>
      <c r="J2384" s="1">
        <v>7</v>
      </c>
      <c r="K2384" s="3">
        <v>19472.54</v>
      </c>
      <c r="L2384" s="1">
        <v>0</v>
      </c>
      <c r="M2384" s="1" t="s">
        <v>69</v>
      </c>
      <c r="N2384" s="10" t="s">
        <v>23</v>
      </c>
      <c r="Q2384"/>
    </row>
    <row r="2385" spans="1:17" x14ac:dyDescent="0.25">
      <c r="A2385" s="9" t="s">
        <v>3427</v>
      </c>
      <c r="B2385" s="2">
        <v>45032</v>
      </c>
      <c r="C2385" s="1" t="s">
        <v>341</v>
      </c>
      <c r="D2385" s="1" t="s">
        <v>16</v>
      </c>
      <c r="E2385" s="1" t="s">
        <v>59</v>
      </c>
      <c r="F2385" s="1" t="s">
        <v>60</v>
      </c>
      <c r="G2385" s="1" t="s">
        <v>42</v>
      </c>
      <c r="H2385" s="1" t="s">
        <v>43</v>
      </c>
      <c r="I2385" s="1" t="s">
        <v>258</v>
      </c>
      <c r="J2385" s="1">
        <v>5</v>
      </c>
      <c r="K2385" s="3">
        <v>22996.32</v>
      </c>
      <c r="L2385" s="1">
        <v>20</v>
      </c>
      <c r="M2385" s="1" t="s">
        <v>63</v>
      </c>
      <c r="N2385" s="10" t="s">
        <v>74</v>
      </c>
      <c r="Q2385"/>
    </row>
    <row r="2386" spans="1:17" x14ac:dyDescent="0.25">
      <c r="A2386" s="9" t="s">
        <v>3428</v>
      </c>
      <c r="B2386" s="2">
        <v>45054</v>
      </c>
      <c r="C2386" s="1" t="s">
        <v>15</v>
      </c>
      <c r="D2386" s="1" t="s">
        <v>67</v>
      </c>
      <c r="E2386" s="1" t="s">
        <v>72</v>
      </c>
      <c r="F2386" s="1" t="s">
        <v>28</v>
      </c>
      <c r="G2386" s="1" t="s">
        <v>42</v>
      </c>
      <c r="H2386" s="1" t="s">
        <v>43</v>
      </c>
      <c r="I2386" s="1" t="s">
        <v>339</v>
      </c>
      <c r="J2386" s="1">
        <v>7</v>
      </c>
      <c r="K2386" s="3">
        <v>2246.73</v>
      </c>
      <c r="L2386" s="1">
        <v>15</v>
      </c>
      <c r="M2386" s="1" t="s">
        <v>93</v>
      </c>
      <c r="N2386" s="10" t="s">
        <v>31</v>
      </c>
      <c r="Q2386"/>
    </row>
    <row r="2387" spans="1:17" x14ac:dyDescent="0.25">
      <c r="A2387" s="9" t="s">
        <v>3429</v>
      </c>
      <c r="B2387" s="2">
        <v>45127</v>
      </c>
      <c r="C2387" s="1" t="s">
        <v>387</v>
      </c>
      <c r="D2387" s="1" t="s">
        <v>67</v>
      </c>
      <c r="E2387" s="1" t="s">
        <v>59</v>
      </c>
      <c r="F2387" s="1" t="s">
        <v>99</v>
      </c>
      <c r="G2387" s="1" t="s">
        <v>19</v>
      </c>
      <c r="H2387" s="1" t="s">
        <v>20</v>
      </c>
      <c r="I2387" s="1" t="s">
        <v>254</v>
      </c>
      <c r="J2387" s="1">
        <v>4</v>
      </c>
      <c r="K2387" s="3">
        <v>9023.27</v>
      </c>
      <c r="L2387" s="1">
        <v>15</v>
      </c>
      <c r="M2387" s="1" t="s">
        <v>56</v>
      </c>
      <c r="N2387" s="10" t="s">
        <v>31</v>
      </c>
      <c r="Q2387"/>
    </row>
    <row r="2388" spans="1:17" x14ac:dyDescent="0.25">
      <c r="A2388" s="9" t="s">
        <v>3430</v>
      </c>
      <c r="B2388" s="2">
        <v>45092</v>
      </c>
      <c r="C2388" s="1" t="s">
        <v>484</v>
      </c>
      <c r="D2388" s="1" t="s">
        <v>40</v>
      </c>
      <c r="E2388" s="1" t="s">
        <v>59</v>
      </c>
      <c r="F2388" s="1" t="s">
        <v>28</v>
      </c>
      <c r="G2388" s="1" t="s">
        <v>42</v>
      </c>
      <c r="H2388" s="1" t="s">
        <v>43</v>
      </c>
      <c r="I2388" s="1" t="s">
        <v>380</v>
      </c>
      <c r="J2388" s="1">
        <v>2</v>
      </c>
      <c r="K2388" s="3">
        <v>8366.91</v>
      </c>
      <c r="L2388" s="1">
        <v>15</v>
      </c>
      <c r="M2388" s="1" t="s">
        <v>36</v>
      </c>
      <c r="N2388" s="10" t="s">
        <v>45</v>
      </c>
      <c r="Q2388"/>
    </row>
    <row r="2389" spans="1:17" x14ac:dyDescent="0.25">
      <c r="A2389" s="9" t="s">
        <v>3431</v>
      </c>
      <c r="B2389" s="2">
        <v>45559</v>
      </c>
      <c r="C2389" s="1" t="s">
        <v>1534</v>
      </c>
      <c r="D2389" s="1" t="s">
        <v>147</v>
      </c>
      <c r="E2389" s="1" t="s">
        <v>17</v>
      </c>
      <c r="F2389" s="1" t="s">
        <v>99</v>
      </c>
      <c r="G2389" s="1" t="s">
        <v>83</v>
      </c>
      <c r="H2389" s="1" t="s">
        <v>43</v>
      </c>
      <c r="I2389" s="1" t="s">
        <v>572</v>
      </c>
      <c r="J2389" s="1">
        <v>4</v>
      </c>
      <c r="K2389" s="3">
        <v>3775</v>
      </c>
      <c r="L2389" s="1">
        <v>0</v>
      </c>
      <c r="M2389" s="1" t="s">
        <v>63</v>
      </c>
      <c r="N2389" s="10" t="s">
        <v>37</v>
      </c>
      <c r="Q2389"/>
    </row>
    <row r="2390" spans="1:17" x14ac:dyDescent="0.25">
      <c r="A2390" s="9" t="s">
        <v>3432</v>
      </c>
      <c r="B2390" s="2">
        <v>45143</v>
      </c>
      <c r="C2390" s="1" t="s">
        <v>3433</v>
      </c>
      <c r="D2390" s="1" t="s">
        <v>87</v>
      </c>
      <c r="E2390" s="1" t="s">
        <v>27</v>
      </c>
      <c r="F2390" s="1" t="s">
        <v>18</v>
      </c>
      <c r="G2390" s="1" t="s">
        <v>19</v>
      </c>
      <c r="H2390" s="1" t="s">
        <v>20</v>
      </c>
      <c r="I2390" s="1" t="s">
        <v>788</v>
      </c>
      <c r="J2390" s="1">
        <v>5</v>
      </c>
      <c r="K2390" s="3">
        <v>4983.16</v>
      </c>
      <c r="L2390" s="1">
        <v>10</v>
      </c>
      <c r="M2390" s="1" t="s">
        <v>22</v>
      </c>
      <c r="N2390" s="10" t="s">
        <v>64</v>
      </c>
      <c r="Q2390"/>
    </row>
    <row r="2391" spans="1:17" x14ac:dyDescent="0.25">
      <c r="A2391" s="9" t="s">
        <v>3434</v>
      </c>
      <c r="B2391" s="2">
        <v>45115</v>
      </c>
      <c r="C2391" s="1" t="s">
        <v>1296</v>
      </c>
      <c r="D2391" s="1" t="s">
        <v>67</v>
      </c>
      <c r="E2391" s="1" t="s">
        <v>17</v>
      </c>
      <c r="F2391" s="1" t="s">
        <v>99</v>
      </c>
      <c r="G2391" s="1" t="s">
        <v>19</v>
      </c>
      <c r="H2391" s="1" t="s">
        <v>29</v>
      </c>
      <c r="I2391" s="1" t="s">
        <v>472</v>
      </c>
      <c r="J2391" s="1">
        <v>9</v>
      </c>
      <c r="K2391" s="3">
        <v>7457.59</v>
      </c>
      <c r="L2391" s="1">
        <v>5</v>
      </c>
      <c r="M2391" s="1" t="s">
        <v>36</v>
      </c>
      <c r="N2391" s="10" t="s">
        <v>31</v>
      </c>
      <c r="Q2391"/>
    </row>
    <row r="2392" spans="1:17" x14ac:dyDescent="0.25">
      <c r="A2392" s="9" t="s">
        <v>3435</v>
      </c>
      <c r="B2392" s="2">
        <v>45257</v>
      </c>
      <c r="C2392" s="1" t="s">
        <v>1900</v>
      </c>
      <c r="D2392" s="1" t="s">
        <v>16</v>
      </c>
      <c r="E2392" s="1" t="s">
        <v>59</v>
      </c>
      <c r="F2392" s="1" t="s">
        <v>99</v>
      </c>
      <c r="G2392" s="1" t="s">
        <v>19</v>
      </c>
      <c r="H2392" s="1" t="s">
        <v>29</v>
      </c>
      <c r="I2392" s="1" t="s">
        <v>162</v>
      </c>
      <c r="J2392" s="1">
        <v>10</v>
      </c>
      <c r="K2392" s="3">
        <v>36728.04</v>
      </c>
      <c r="L2392" s="1">
        <v>15</v>
      </c>
      <c r="M2392" s="1" t="s">
        <v>36</v>
      </c>
      <c r="N2392" s="10" t="s">
        <v>31</v>
      </c>
      <c r="Q2392"/>
    </row>
    <row r="2393" spans="1:17" x14ac:dyDescent="0.25">
      <c r="A2393" s="9" t="s">
        <v>3436</v>
      </c>
      <c r="B2393" s="2">
        <v>45310</v>
      </c>
      <c r="C2393" s="1" t="s">
        <v>524</v>
      </c>
      <c r="D2393" s="1" t="s">
        <v>71</v>
      </c>
      <c r="E2393" s="1" t="s">
        <v>17</v>
      </c>
      <c r="F2393" s="1" t="s">
        <v>60</v>
      </c>
      <c r="G2393" s="1" t="s">
        <v>42</v>
      </c>
      <c r="H2393" s="1" t="s">
        <v>61</v>
      </c>
      <c r="I2393" s="1" t="s">
        <v>115</v>
      </c>
      <c r="J2393" s="1">
        <v>9</v>
      </c>
      <c r="K2393" s="3">
        <v>29300.3</v>
      </c>
      <c r="L2393" s="1">
        <v>5</v>
      </c>
      <c r="M2393" s="1" t="s">
        <v>56</v>
      </c>
      <c r="N2393" s="10" t="s">
        <v>31</v>
      </c>
      <c r="Q2393"/>
    </row>
    <row r="2394" spans="1:17" x14ac:dyDescent="0.25">
      <c r="A2394" s="9" t="s">
        <v>3437</v>
      </c>
      <c r="B2394" s="2">
        <v>45213</v>
      </c>
      <c r="C2394" s="1" t="s">
        <v>960</v>
      </c>
      <c r="D2394" s="1" t="s">
        <v>81</v>
      </c>
      <c r="E2394" s="1" t="s">
        <v>59</v>
      </c>
      <c r="F2394" s="1" t="s">
        <v>60</v>
      </c>
      <c r="G2394" s="1" t="s">
        <v>19</v>
      </c>
      <c r="H2394" s="1" t="s">
        <v>20</v>
      </c>
      <c r="I2394" s="1" t="s">
        <v>583</v>
      </c>
      <c r="J2394" s="1">
        <v>6</v>
      </c>
      <c r="K2394" s="3">
        <v>10414.85</v>
      </c>
      <c r="L2394" s="1">
        <v>10</v>
      </c>
      <c r="M2394" s="1" t="s">
        <v>22</v>
      </c>
      <c r="N2394" s="10" t="s">
        <v>45</v>
      </c>
      <c r="Q2394"/>
    </row>
    <row r="2395" spans="1:17" x14ac:dyDescent="0.25">
      <c r="A2395" s="9" t="s">
        <v>3438</v>
      </c>
      <c r="B2395" s="2">
        <v>45330</v>
      </c>
      <c r="C2395" s="1" t="s">
        <v>790</v>
      </c>
      <c r="D2395" s="1" t="s">
        <v>81</v>
      </c>
      <c r="E2395" s="1" t="s">
        <v>34</v>
      </c>
      <c r="F2395" s="1" t="s">
        <v>99</v>
      </c>
      <c r="G2395" s="1" t="s">
        <v>53</v>
      </c>
      <c r="H2395" s="1" t="s">
        <v>54</v>
      </c>
      <c r="I2395" s="1" t="s">
        <v>554</v>
      </c>
      <c r="J2395" s="1">
        <v>10</v>
      </c>
      <c r="K2395" s="3">
        <v>32908.29</v>
      </c>
      <c r="L2395" s="1">
        <v>10</v>
      </c>
      <c r="M2395" s="1" t="s">
        <v>93</v>
      </c>
      <c r="N2395" s="10" t="s">
        <v>74</v>
      </c>
      <c r="Q2395"/>
    </row>
    <row r="2396" spans="1:17" x14ac:dyDescent="0.25">
      <c r="A2396" s="9" t="s">
        <v>3439</v>
      </c>
      <c r="B2396" s="2">
        <v>45327</v>
      </c>
      <c r="C2396" s="1" t="s">
        <v>1294</v>
      </c>
      <c r="D2396" s="1" t="s">
        <v>118</v>
      </c>
      <c r="E2396" s="1" t="s">
        <v>59</v>
      </c>
      <c r="F2396" s="1" t="s">
        <v>60</v>
      </c>
      <c r="G2396" s="1" t="s">
        <v>19</v>
      </c>
      <c r="H2396" s="1" t="s">
        <v>20</v>
      </c>
      <c r="I2396" s="1" t="s">
        <v>254</v>
      </c>
      <c r="J2396" s="1">
        <v>4</v>
      </c>
      <c r="K2396" s="3">
        <v>19581.11</v>
      </c>
      <c r="L2396" s="1">
        <v>5</v>
      </c>
      <c r="M2396" s="1" t="s">
        <v>93</v>
      </c>
      <c r="N2396" s="10" t="s">
        <v>23</v>
      </c>
      <c r="Q2396"/>
    </row>
    <row r="2397" spans="1:17" x14ac:dyDescent="0.25">
      <c r="A2397" s="9" t="s">
        <v>3440</v>
      </c>
      <c r="B2397" s="2">
        <v>45137</v>
      </c>
      <c r="C2397" s="1" t="s">
        <v>2000</v>
      </c>
      <c r="D2397" s="1" t="s">
        <v>33</v>
      </c>
      <c r="E2397" s="1" t="s">
        <v>41</v>
      </c>
      <c r="F2397" s="1" t="s">
        <v>49</v>
      </c>
      <c r="G2397" s="1" t="s">
        <v>19</v>
      </c>
      <c r="H2397" s="1" t="s">
        <v>29</v>
      </c>
      <c r="I2397" s="1" t="s">
        <v>223</v>
      </c>
      <c r="J2397" s="1">
        <v>7</v>
      </c>
      <c r="K2397" s="3">
        <v>30977.919999999998</v>
      </c>
      <c r="L2397" s="1">
        <v>15</v>
      </c>
      <c r="M2397" s="1" t="s">
        <v>69</v>
      </c>
      <c r="N2397" s="10" t="s">
        <v>45</v>
      </c>
      <c r="Q2397"/>
    </row>
    <row r="2398" spans="1:17" x14ac:dyDescent="0.25">
      <c r="A2398" s="9" t="s">
        <v>3441</v>
      </c>
      <c r="B2398" s="2">
        <v>45559</v>
      </c>
      <c r="C2398" s="1" t="s">
        <v>483</v>
      </c>
      <c r="D2398" s="1" t="s">
        <v>161</v>
      </c>
      <c r="E2398" s="1" t="s">
        <v>59</v>
      </c>
      <c r="F2398" s="1" t="s">
        <v>28</v>
      </c>
      <c r="G2398" s="1" t="s">
        <v>19</v>
      </c>
      <c r="H2398" s="1" t="s">
        <v>29</v>
      </c>
      <c r="I2398" s="1" t="s">
        <v>830</v>
      </c>
      <c r="J2398" s="1">
        <v>10</v>
      </c>
      <c r="K2398" s="3">
        <v>44115.65</v>
      </c>
      <c r="L2398" s="1">
        <v>5</v>
      </c>
      <c r="M2398" s="1" t="s">
        <v>69</v>
      </c>
      <c r="N2398" s="10" t="s">
        <v>45</v>
      </c>
      <c r="Q2398"/>
    </row>
    <row r="2399" spans="1:17" x14ac:dyDescent="0.25">
      <c r="A2399" s="9" t="s">
        <v>3442</v>
      </c>
      <c r="B2399" s="2">
        <v>45397</v>
      </c>
      <c r="C2399" s="1" t="s">
        <v>582</v>
      </c>
      <c r="D2399" s="1" t="s">
        <v>147</v>
      </c>
      <c r="E2399" s="1" t="s">
        <v>72</v>
      </c>
      <c r="F2399" s="1" t="s">
        <v>82</v>
      </c>
      <c r="G2399" s="1" t="s">
        <v>83</v>
      </c>
      <c r="H2399" s="1" t="s">
        <v>43</v>
      </c>
      <c r="I2399" s="1" t="s">
        <v>144</v>
      </c>
      <c r="J2399" s="1">
        <v>5</v>
      </c>
      <c r="K2399" s="3">
        <v>14297.41</v>
      </c>
      <c r="L2399" s="1">
        <v>10</v>
      </c>
      <c r="M2399" s="1" t="s">
        <v>36</v>
      </c>
      <c r="N2399" s="10" t="s">
        <v>64</v>
      </c>
      <c r="Q2399"/>
    </row>
    <row r="2400" spans="1:17" x14ac:dyDescent="0.25">
      <c r="A2400" s="9" t="s">
        <v>3443</v>
      </c>
      <c r="B2400" s="2">
        <v>45266</v>
      </c>
      <c r="C2400" s="1" t="s">
        <v>108</v>
      </c>
      <c r="D2400" s="1" t="s">
        <v>87</v>
      </c>
      <c r="E2400" s="1" t="s">
        <v>59</v>
      </c>
      <c r="F2400" s="1" t="s">
        <v>60</v>
      </c>
      <c r="G2400" s="1" t="s">
        <v>19</v>
      </c>
      <c r="H2400" s="1" t="s">
        <v>20</v>
      </c>
      <c r="I2400" s="1" t="s">
        <v>1234</v>
      </c>
      <c r="J2400" s="1">
        <v>9</v>
      </c>
      <c r="K2400" s="3">
        <v>2388.85</v>
      </c>
      <c r="L2400" s="1">
        <v>15</v>
      </c>
      <c r="M2400" s="1" t="s">
        <v>63</v>
      </c>
      <c r="N2400" s="10" t="s">
        <v>37</v>
      </c>
      <c r="Q2400"/>
    </row>
    <row r="2401" spans="1:17" x14ac:dyDescent="0.25">
      <c r="A2401" s="9" t="s">
        <v>3444</v>
      </c>
      <c r="B2401" s="2">
        <v>45048</v>
      </c>
      <c r="C2401" s="1" t="s">
        <v>1083</v>
      </c>
      <c r="D2401" s="1" t="s">
        <v>40</v>
      </c>
      <c r="E2401" s="1" t="s">
        <v>27</v>
      </c>
      <c r="F2401" s="1" t="s">
        <v>18</v>
      </c>
      <c r="G2401" s="1" t="s">
        <v>42</v>
      </c>
      <c r="H2401" s="1" t="s">
        <v>61</v>
      </c>
      <c r="I2401" s="1" t="s">
        <v>1096</v>
      </c>
      <c r="J2401" s="1">
        <v>6</v>
      </c>
      <c r="K2401" s="3">
        <v>29018.09</v>
      </c>
      <c r="L2401" s="1">
        <v>10</v>
      </c>
      <c r="M2401" s="1" t="s">
        <v>56</v>
      </c>
      <c r="N2401" s="10" t="s">
        <v>31</v>
      </c>
      <c r="Q2401"/>
    </row>
    <row r="2402" spans="1:17" x14ac:dyDescent="0.25">
      <c r="A2402" s="9" t="s">
        <v>3445</v>
      </c>
      <c r="B2402" s="2">
        <v>45476</v>
      </c>
      <c r="C2402" s="1" t="s">
        <v>511</v>
      </c>
      <c r="D2402" s="1" t="s">
        <v>16</v>
      </c>
      <c r="E2402" s="1" t="s">
        <v>59</v>
      </c>
      <c r="F2402" s="1" t="s">
        <v>60</v>
      </c>
      <c r="G2402" s="1" t="s">
        <v>19</v>
      </c>
      <c r="H2402" s="1" t="s">
        <v>29</v>
      </c>
      <c r="I2402" s="1" t="s">
        <v>220</v>
      </c>
      <c r="J2402" s="1">
        <v>3</v>
      </c>
      <c r="K2402" s="3">
        <v>8632.69</v>
      </c>
      <c r="L2402" s="1">
        <v>20</v>
      </c>
      <c r="M2402" s="1" t="s">
        <v>56</v>
      </c>
      <c r="N2402" s="10" t="s">
        <v>45</v>
      </c>
      <c r="Q2402"/>
    </row>
    <row r="2403" spans="1:17" x14ac:dyDescent="0.25">
      <c r="A2403" s="9" t="s">
        <v>3446</v>
      </c>
      <c r="B2403" s="2">
        <v>45415</v>
      </c>
      <c r="C2403" s="1" t="s">
        <v>2643</v>
      </c>
      <c r="D2403" s="1" t="s">
        <v>33</v>
      </c>
      <c r="E2403" s="1" t="s">
        <v>59</v>
      </c>
      <c r="F2403" s="1" t="s">
        <v>18</v>
      </c>
      <c r="G2403" s="1" t="s">
        <v>19</v>
      </c>
      <c r="H2403" s="1" t="s">
        <v>29</v>
      </c>
      <c r="I2403" s="1" t="s">
        <v>162</v>
      </c>
      <c r="J2403" s="1">
        <v>5</v>
      </c>
      <c r="K2403" s="3">
        <v>10245.27</v>
      </c>
      <c r="L2403" s="1">
        <v>20</v>
      </c>
      <c r="M2403" s="1" t="s">
        <v>69</v>
      </c>
      <c r="N2403" s="10" t="s">
        <v>64</v>
      </c>
      <c r="Q2403"/>
    </row>
    <row r="2404" spans="1:17" x14ac:dyDescent="0.25">
      <c r="A2404" s="9" t="s">
        <v>3447</v>
      </c>
      <c r="B2404" s="2">
        <v>45354</v>
      </c>
      <c r="C2404" s="1" t="s">
        <v>2639</v>
      </c>
      <c r="D2404" s="1" t="s">
        <v>67</v>
      </c>
      <c r="E2404" s="1" t="s">
        <v>41</v>
      </c>
      <c r="F2404" s="1" t="s">
        <v>88</v>
      </c>
      <c r="G2404" s="1" t="s">
        <v>19</v>
      </c>
      <c r="H2404" s="1" t="s">
        <v>20</v>
      </c>
      <c r="I2404" s="1" t="s">
        <v>138</v>
      </c>
      <c r="J2404" s="1">
        <v>1</v>
      </c>
      <c r="K2404" s="3">
        <v>3361.89</v>
      </c>
      <c r="L2404" s="1">
        <v>15</v>
      </c>
      <c r="M2404" s="1" t="s">
        <v>22</v>
      </c>
      <c r="N2404" s="10" t="s">
        <v>23</v>
      </c>
      <c r="Q2404"/>
    </row>
    <row r="2405" spans="1:17" x14ac:dyDescent="0.25">
      <c r="A2405" s="9" t="s">
        <v>3448</v>
      </c>
      <c r="B2405" s="2">
        <v>45231</v>
      </c>
      <c r="C2405" s="1" t="s">
        <v>426</v>
      </c>
      <c r="D2405" s="1" t="s">
        <v>26</v>
      </c>
      <c r="E2405" s="1" t="s">
        <v>34</v>
      </c>
      <c r="F2405" s="1" t="s">
        <v>18</v>
      </c>
      <c r="G2405" s="1" t="s">
        <v>83</v>
      </c>
      <c r="H2405" s="1" t="s">
        <v>43</v>
      </c>
      <c r="I2405" s="1" t="s">
        <v>704</v>
      </c>
      <c r="J2405" s="1">
        <v>2</v>
      </c>
      <c r="K2405" s="3">
        <v>9133.75</v>
      </c>
      <c r="L2405" s="1">
        <v>10</v>
      </c>
      <c r="M2405" s="1" t="s">
        <v>93</v>
      </c>
      <c r="N2405" s="10" t="s">
        <v>37</v>
      </c>
      <c r="Q2405"/>
    </row>
    <row r="2406" spans="1:17" x14ac:dyDescent="0.25">
      <c r="A2406" s="9" t="s">
        <v>3449</v>
      </c>
      <c r="B2406" s="2">
        <v>45329</v>
      </c>
      <c r="C2406" s="1" t="s">
        <v>2017</v>
      </c>
      <c r="D2406" s="1" t="s">
        <v>81</v>
      </c>
      <c r="E2406" s="1" t="s">
        <v>59</v>
      </c>
      <c r="F2406" s="1" t="s">
        <v>28</v>
      </c>
      <c r="G2406" s="1" t="s">
        <v>19</v>
      </c>
      <c r="H2406" s="1" t="s">
        <v>29</v>
      </c>
      <c r="I2406" s="1" t="s">
        <v>148</v>
      </c>
      <c r="J2406" s="1">
        <v>2</v>
      </c>
      <c r="K2406" s="3">
        <v>8489.7199999999993</v>
      </c>
      <c r="L2406" s="1" t="s">
        <v>110</v>
      </c>
      <c r="M2406" s="1" t="s">
        <v>93</v>
      </c>
      <c r="N2406" s="10" t="s">
        <v>31</v>
      </c>
      <c r="Q2406"/>
    </row>
    <row r="2407" spans="1:17" x14ac:dyDescent="0.25">
      <c r="A2407" s="9" t="s">
        <v>3450</v>
      </c>
      <c r="B2407" s="2">
        <v>44969</v>
      </c>
      <c r="C2407" s="1" t="s">
        <v>699</v>
      </c>
      <c r="D2407" s="1" t="s">
        <v>87</v>
      </c>
      <c r="E2407" s="1" t="s">
        <v>59</v>
      </c>
      <c r="F2407" s="1" t="s">
        <v>88</v>
      </c>
      <c r="G2407" s="1" t="s">
        <v>83</v>
      </c>
      <c r="H2407" s="1" t="s">
        <v>43</v>
      </c>
      <c r="I2407" s="1" t="s">
        <v>394</v>
      </c>
      <c r="J2407" s="1">
        <v>2</v>
      </c>
      <c r="K2407" s="3">
        <v>6004.59</v>
      </c>
      <c r="L2407" s="1">
        <v>5</v>
      </c>
      <c r="M2407" s="1" t="s">
        <v>63</v>
      </c>
      <c r="N2407" s="10" t="s">
        <v>37</v>
      </c>
      <c r="Q2407"/>
    </row>
    <row r="2408" spans="1:17" x14ac:dyDescent="0.25">
      <c r="A2408" s="9" t="s">
        <v>3451</v>
      </c>
      <c r="B2408" s="2">
        <v>45537</v>
      </c>
      <c r="C2408" s="1" t="s">
        <v>795</v>
      </c>
      <c r="D2408" s="1" t="s">
        <v>48</v>
      </c>
      <c r="E2408" s="1" t="s">
        <v>72</v>
      </c>
      <c r="F2408" s="1" t="s">
        <v>49</v>
      </c>
      <c r="G2408" s="1" t="s">
        <v>19</v>
      </c>
      <c r="H2408" s="1" t="s">
        <v>29</v>
      </c>
      <c r="I2408" s="1" t="s">
        <v>374</v>
      </c>
      <c r="J2408" s="1">
        <v>2</v>
      </c>
      <c r="K2408" s="3">
        <v>2664.24</v>
      </c>
      <c r="L2408" s="1">
        <v>20</v>
      </c>
      <c r="M2408" s="1" t="s">
        <v>69</v>
      </c>
      <c r="N2408" s="10" t="s">
        <v>45</v>
      </c>
      <c r="Q2408"/>
    </row>
    <row r="2409" spans="1:17" x14ac:dyDescent="0.25">
      <c r="A2409" s="9" t="s">
        <v>3452</v>
      </c>
      <c r="B2409" s="2">
        <v>45335</v>
      </c>
      <c r="C2409" s="1" t="s">
        <v>1367</v>
      </c>
      <c r="D2409" s="1" t="s">
        <v>81</v>
      </c>
      <c r="E2409" s="1" t="s">
        <v>34</v>
      </c>
      <c r="F2409" s="1" t="s">
        <v>60</v>
      </c>
      <c r="G2409" s="1" t="s">
        <v>42</v>
      </c>
      <c r="H2409" s="1" t="s">
        <v>43</v>
      </c>
      <c r="I2409" s="1" t="s">
        <v>154</v>
      </c>
      <c r="J2409" s="1">
        <v>5</v>
      </c>
      <c r="K2409" s="3">
        <v>9186.08</v>
      </c>
      <c r="L2409" s="1">
        <v>10</v>
      </c>
      <c r="M2409" s="1" t="s">
        <v>63</v>
      </c>
      <c r="N2409" s="10" t="s">
        <v>45</v>
      </c>
      <c r="Q2409"/>
    </row>
    <row r="2410" spans="1:17" x14ac:dyDescent="0.25">
      <c r="A2410" s="9" t="s">
        <v>3454</v>
      </c>
      <c r="B2410" s="2">
        <v>45269</v>
      </c>
      <c r="C2410" s="1" t="s">
        <v>2486</v>
      </c>
      <c r="D2410" s="1" t="s">
        <v>33</v>
      </c>
      <c r="E2410" s="1" t="s">
        <v>27</v>
      </c>
      <c r="F2410" s="1" t="s">
        <v>82</v>
      </c>
      <c r="G2410" s="1" t="s">
        <v>42</v>
      </c>
      <c r="H2410" s="1" t="s">
        <v>61</v>
      </c>
      <c r="I2410" s="1" t="s">
        <v>217</v>
      </c>
      <c r="J2410" s="1">
        <v>6</v>
      </c>
      <c r="K2410" s="3">
        <v>6698.6</v>
      </c>
      <c r="L2410" s="1" t="s">
        <v>110</v>
      </c>
      <c r="M2410" s="1" t="s">
        <v>36</v>
      </c>
      <c r="N2410" s="10" t="s">
        <v>74</v>
      </c>
      <c r="Q2410"/>
    </row>
    <row r="2411" spans="1:17" x14ac:dyDescent="0.25">
      <c r="A2411" s="9" t="s">
        <v>3455</v>
      </c>
      <c r="B2411" s="2">
        <v>45515</v>
      </c>
      <c r="C2411" s="1" t="s">
        <v>2218</v>
      </c>
      <c r="D2411" s="1" t="s">
        <v>52</v>
      </c>
      <c r="E2411" s="1" t="s">
        <v>41</v>
      </c>
      <c r="F2411" s="1" t="s">
        <v>49</v>
      </c>
      <c r="G2411" s="1" t="s">
        <v>19</v>
      </c>
      <c r="H2411" s="1" t="s">
        <v>29</v>
      </c>
      <c r="I2411" s="1" t="s">
        <v>646</v>
      </c>
      <c r="J2411" s="1">
        <v>2</v>
      </c>
      <c r="K2411" s="3">
        <v>8012.78</v>
      </c>
      <c r="L2411" s="1">
        <v>0</v>
      </c>
      <c r="M2411" s="1" t="s">
        <v>22</v>
      </c>
      <c r="N2411" s="10" t="s">
        <v>37</v>
      </c>
      <c r="Q2411"/>
    </row>
    <row r="2412" spans="1:17" x14ac:dyDescent="0.25">
      <c r="A2412" s="9" t="s">
        <v>3456</v>
      </c>
      <c r="B2412" s="2">
        <v>45338</v>
      </c>
      <c r="C2412" s="1" t="s">
        <v>1425</v>
      </c>
      <c r="D2412" s="1" t="s">
        <v>40</v>
      </c>
      <c r="E2412" s="1" t="s">
        <v>34</v>
      </c>
      <c r="F2412" s="1" t="s">
        <v>82</v>
      </c>
      <c r="G2412" s="1" t="s">
        <v>83</v>
      </c>
      <c r="H2412" s="1" t="s">
        <v>43</v>
      </c>
      <c r="I2412" s="1" t="s">
        <v>274</v>
      </c>
      <c r="J2412" s="1">
        <v>10</v>
      </c>
      <c r="K2412" s="3">
        <v>30093.599999999999</v>
      </c>
      <c r="L2412" s="1">
        <v>0</v>
      </c>
      <c r="M2412" s="1" t="s">
        <v>56</v>
      </c>
      <c r="N2412" s="10" t="s">
        <v>64</v>
      </c>
      <c r="Q2412"/>
    </row>
    <row r="2413" spans="1:17" x14ac:dyDescent="0.25">
      <c r="A2413" s="9" t="s">
        <v>3457</v>
      </c>
      <c r="B2413" s="2">
        <v>45095</v>
      </c>
      <c r="C2413" s="1" t="s">
        <v>947</v>
      </c>
      <c r="D2413" s="1" t="s">
        <v>71</v>
      </c>
      <c r="E2413" s="1" t="s">
        <v>72</v>
      </c>
      <c r="F2413" s="1" t="s">
        <v>28</v>
      </c>
      <c r="G2413" s="1" t="s">
        <v>42</v>
      </c>
      <c r="H2413" s="1" t="s">
        <v>43</v>
      </c>
      <c r="I2413" s="1" t="s">
        <v>467</v>
      </c>
      <c r="J2413" s="1">
        <v>2</v>
      </c>
      <c r="K2413" s="3">
        <v>6422.47</v>
      </c>
      <c r="L2413" s="1">
        <v>20</v>
      </c>
      <c r="M2413" s="1" t="s">
        <v>56</v>
      </c>
      <c r="N2413" s="10" t="s">
        <v>64</v>
      </c>
      <c r="Q2413"/>
    </row>
    <row r="2414" spans="1:17" x14ac:dyDescent="0.25">
      <c r="A2414" s="9" t="s">
        <v>3458</v>
      </c>
      <c r="B2414" s="2">
        <v>45179</v>
      </c>
      <c r="C2414" s="1" t="s">
        <v>3459</v>
      </c>
      <c r="D2414" s="1" t="s">
        <v>40</v>
      </c>
      <c r="E2414" s="1" t="s">
        <v>72</v>
      </c>
      <c r="F2414" s="1" t="s">
        <v>28</v>
      </c>
      <c r="G2414" s="1" t="s">
        <v>83</v>
      </c>
      <c r="H2414" s="1" t="s">
        <v>43</v>
      </c>
      <c r="I2414" s="1" t="s">
        <v>154</v>
      </c>
      <c r="J2414" s="1">
        <v>1</v>
      </c>
      <c r="K2414" s="3">
        <v>4043.13</v>
      </c>
      <c r="L2414" s="1">
        <v>5</v>
      </c>
      <c r="M2414" s="1" t="s">
        <v>56</v>
      </c>
      <c r="N2414" s="10" t="s">
        <v>31</v>
      </c>
      <c r="Q2414"/>
    </row>
    <row r="2415" spans="1:17" x14ac:dyDescent="0.25">
      <c r="A2415" s="9" t="s">
        <v>3460</v>
      </c>
      <c r="B2415" s="2">
        <v>45361</v>
      </c>
      <c r="C2415" s="1" t="s">
        <v>2042</v>
      </c>
      <c r="D2415" s="1" t="s">
        <v>71</v>
      </c>
      <c r="E2415" s="1" t="s">
        <v>27</v>
      </c>
      <c r="F2415" s="1" t="s">
        <v>99</v>
      </c>
      <c r="G2415" s="1" t="s">
        <v>19</v>
      </c>
      <c r="H2415" s="1" t="s">
        <v>29</v>
      </c>
      <c r="I2415" s="1" t="s">
        <v>1215</v>
      </c>
      <c r="J2415" s="1">
        <v>10</v>
      </c>
      <c r="K2415" s="3">
        <v>15221.36</v>
      </c>
      <c r="L2415" s="1" t="s">
        <v>110</v>
      </c>
      <c r="M2415" s="1" t="s">
        <v>69</v>
      </c>
      <c r="N2415" s="10" t="s">
        <v>45</v>
      </c>
      <c r="Q2415"/>
    </row>
    <row r="2416" spans="1:17" x14ac:dyDescent="0.25">
      <c r="A2416" s="9" t="s">
        <v>3461</v>
      </c>
      <c r="B2416" s="2">
        <v>45588</v>
      </c>
      <c r="C2416" s="1" t="s">
        <v>2114</v>
      </c>
      <c r="D2416" s="1" t="s">
        <v>147</v>
      </c>
      <c r="E2416" s="1" t="s">
        <v>17</v>
      </c>
      <c r="F2416" s="1" t="s">
        <v>18</v>
      </c>
      <c r="G2416" s="1" t="s">
        <v>53</v>
      </c>
      <c r="H2416" s="1" t="s">
        <v>54</v>
      </c>
      <c r="I2416" s="1" t="s">
        <v>1334</v>
      </c>
      <c r="J2416" s="1">
        <v>3</v>
      </c>
      <c r="K2416" s="3">
        <v>690.75</v>
      </c>
      <c r="L2416" s="1">
        <v>10</v>
      </c>
      <c r="M2416" s="1" t="s">
        <v>36</v>
      </c>
      <c r="N2416" s="10" t="s">
        <v>31</v>
      </c>
      <c r="Q2416"/>
    </row>
    <row r="2417" spans="1:17" x14ac:dyDescent="0.25">
      <c r="A2417" s="9" t="s">
        <v>3462</v>
      </c>
      <c r="B2417" s="2">
        <v>45129</v>
      </c>
      <c r="C2417" s="1" t="s">
        <v>724</v>
      </c>
      <c r="D2417" s="1" t="s">
        <v>40</v>
      </c>
      <c r="E2417" s="1" t="s">
        <v>17</v>
      </c>
      <c r="F2417" s="1" t="s">
        <v>49</v>
      </c>
      <c r="G2417" s="1" t="s">
        <v>42</v>
      </c>
      <c r="H2417" s="1" t="s">
        <v>43</v>
      </c>
      <c r="I2417" s="1" t="s">
        <v>44</v>
      </c>
      <c r="J2417" s="1">
        <v>8</v>
      </c>
      <c r="K2417" s="3">
        <v>22343.5</v>
      </c>
      <c r="L2417" s="1">
        <v>20</v>
      </c>
      <c r="M2417" s="1" t="s">
        <v>63</v>
      </c>
      <c r="N2417" s="10" t="s">
        <v>31</v>
      </c>
      <c r="Q2417"/>
    </row>
    <row r="2418" spans="1:17" x14ac:dyDescent="0.25">
      <c r="A2418" s="9" t="s">
        <v>3463</v>
      </c>
      <c r="B2418" s="2">
        <v>45404</v>
      </c>
      <c r="C2418" s="1" t="s">
        <v>1353</v>
      </c>
      <c r="D2418" s="1" t="s">
        <v>26</v>
      </c>
      <c r="E2418" s="1" t="s">
        <v>59</v>
      </c>
      <c r="F2418" s="1" t="s">
        <v>28</v>
      </c>
      <c r="G2418" s="1" t="s">
        <v>83</v>
      </c>
      <c r="H2418" s="1" t="s">
        <v>43</v>
      </c>
      <c r="I2418" s="1" t="s">
        <v>566</v>
      </c>
      <c r="J2418" s="1">
        <v>2</v>
      </c>
      <c r="K2418" s="3">
        <v>2393.5500000000002</v>
      </c>
      <c r="L2418" s="1">
        <v>20</v>
      </c>
      <c r="M2418" s="1" t="s">
        <v>36</v>
      </c>
      <c r="N2418" s="10" t="s">
        <v>74</v>
      </c>
      <c r="Q2418"/>
    </row>
    <row r="2419" spans="1:17" x14ac:dyDescent="0.25">
      <c r="A2419" s="9" t="s">
        <v>3464</v>
      </c>
      <c r="B2419" s="2">
        <v>45413</v>
      </c>
      <c r="C2419" s="1" t="s">
        <v>681</v>
      </c>
      <c r="D2419" s="1" t="s">
        <v>52</v>
      </c>
      <c r="E2419" s="1" t="s">
        <v>59</v>
      </c>
      <c r="F2419" s="1" t="s">
        <v>18</v>
      </c>
      <c r="G2419" s="1" t="s">
        <v>83</v>
      </c>
      <c r="H2419" s="1" t="s">
        <v>43</v>
      </c>
      <c r="I2419" s="1" t="s">
        <v>494</v>
      </c>
      <c r="J2419" s="1">
        <v>7</v>
      </c>
      <c r="K2419" s="3">
        <v>2198.23</v>
      </c>
      <c r="L2419" s="1">
        <v>15</v>
      </c>
      <c r="M2419" s="1" t="s">
        <v>36</v>
      </c>
      <c r="N2419" s="10" t="s">
        <v>37</v>
      </c>
      <c r="Q2419"/>
    </row>
    <row r="2420" spans="1:17" x14ac:dyDescent="0.25">
      <c r="A2420" s="9" t="s">
        <v>3465</v>
      </c>
      <c r="B2420" s="2">
        <v>44951</v>
      </c>
      <c r="C2420" s="1" t="s">
        <v>580</v>
      </c>
      <c r="D2420" s="1" t="s">
        <v>33</v>
      </c>
      <c r="E2420" s="1" t="s">
        <v>34</v>
      </c>
      <c r="F2420" s="1" t="s">
        <v>28</v>
      </c>
      <c r="G2420" s="1" t="s">
        <v>19</v>
      </c>
      <c r="H2420" s="1" t="s">
        <v>29</v>
      </c>
      <c r="I2420" s="1" t="s">
        <v>223</v>
      </c>
      <c r="J2420" s="1">
        <v>2</v>
      </c>
      <c r="K2420" s="3">
        <v>315.93</v>
      </c>
      <c r="L2420" s="1">
        <v>10</v>
      </c>
      <c r="M2420" s="1" t="s">
        <v>63</v>
      </c>
      <c r="N2420" s="10" t="s">
        <v>64</v>
      </c>
      <c r="Q2420"/>
    </row>
    <row r="2421" spans="1:17" x14ac:dyDescent="0.25">
      <c r="A2421" s="9" t="s">
        <v>3466</v>
      </c>
      <c r="B2421" s="2">
        <v>45326</v>
      </c>
      <c r="C2421" s="1" t="s">
        <v>945</v>
      </c>
      <c r="D2421" s="1" t="s">
        <v>52</v>
      </c>
      <c r="E2421" s="1" t="s">
        <v>27</v>
      </c>
      <c r="F2421" s="1" t="s">
        <v>49</v>
      </c>
      <c r="G2421" s="1" t="s">
        <v>19</v>
      </c>
      <c r="H2421" s="1" t="s">
        <v>29</v>
      </c>
      <c r="I2421" s="1" t="s">
        <v>556</v>
      </c>
      <c r="J2421" s="1">
        <v>9</v>
      </c>
      <c r="K2421" s="3">
        <v>39306.949999999997</v>
      </c>
      <c r="L2421" s="1">
        <v>5</v>
      </c>
      <c r="M2421" s="1" t="s">
        <v>63</v>
      </c>
      <c r="N2421" s="10" t="s">
        <v>74</v>
      </c>
      <c r="Q2421"/>
    </row>
    <row r="2422" spans="1:17" x14ac:dyDescent="0.25">
      <c r="A2422" s="9" t="s">
        <v>3467</v>
      </c>
      <c r="B2422" s="2">
        <v>45599</v>
      </c>
      <c r="C2422" s="1" t="s">
        <v>1288</v>
      </c>
      <c r="D2422" s="1" t="s">
        <v>87</v>
      </c>
      <c r="E2422" s="1" t="s">
        <v>27</v>
      </c>
      <c r="F2422" s="1" t="s">
        <v>18</v>
      </c>
      <c r="G2422" s="1" t="s">
        <v>83</v>
      </c>
      <c r="H2422" s="1" t="s">
        <v>43</v>
      </c>
      <c r="I2422" s="1" t="s">
        <v>348</v>
      </c>
      <c r="J2422" s="1">
        <v>10</v>
      </c>
      <c r="K2422" s="3">
        <v>11373.56</v>
      </c>
      <c r="L2422" s="1">
        <v>20</v>
      </c>
      <c r="M2422" s="1" t="s">
        <v>56</v>
      </c>
      <c r="N2422" s="10" t="s">
        <v>64</v>
      </c>
      <c r="Q2422"/>
    </row>
    <row r="2423" spans="1:17" x14ac:dyDescent="0.25">
      <c r="A2423" s="9" t="s">
        <v>3468</v>
      </c>
      <c r="B2423" s="2">
        <v>45507</v>
      </c>
      <c r="C2423" s="1" t="s">
        <v>1414</v>
      </c>
      <c r="D2423" s="1" t="s">
        <v>67</v>
      </c>
      <c r="E2423" s="1" t="s">
        <v>17</v>
      </c>
      <c r="F2423" s="1" t="s">
        <v>18</v>
      </c>
      <c r="G2423" s="1" t="s">
        <v>53</v>
      </c>
      <c r="H2423" s="1" t="s">
        <v>54</v>
      </c>
      <c r="I2423" s="1" t="s">
        <v>1066</v>
      </c>
      <c r="J2423" s="1">
        <v>6</v>
      </c>
      <c r="K2423" s="3">
        <v>6959.55</v>
      </c>
      <c r="L2423" s="1">
        <v>15</v>
      </c>
      <c r="M2423" s="1" t="s">
        <v>93</v>
      </c>
      <c r="N2423" s="10" t="s">
        <v>31</v>
      </c>
      <c r="Q2423"/>
    </row>
    <row r="2424" spans="1:17" x14ac:dyDescent="0.25">
      <c r="A2424" s="9" t="s">
        <v>3469</v>
      </c>
      <c r="B2424" s="2">
        <v>45471</v>
      </c>
      <c r="C2424" s="1" t="s">
        <v>454</v>
      </c>
      <c r="D2424" s="1" t="s">
        <v>169</v>
      </c>
      <c r="E2424" s="1" t="s">
        <v>59</v>
      </c>
      <c r="F2424" s="1" t="s">
        <v>99</v>
      </c>
      <c r="G2424" s="1" t="s">
        <v>42</v>
      </c>
      <c r="H2424" s="1" t="s">
        <v>61</v>
      </c>
      <c r="I2424" s="1" t="s">
        <v>247</v>
      </c>
      <c r="J2424" s="1">
        <v>1</v>
      </c>
      <c r="K2424" s="3">
        <v>161.22</v>
      </c>
      <c r="L2424" s="1" t="s">
        <v>110</v>
      </c>
      <c r="M2424" s="1" t="s">
        <v>69</v>
      </c>
      <c r="N2424" s="10" t="s">
        <v>23</v>
      </c>
      <c r="Q2424"/>
    </row>
    <row r="2425" spans="1:17" x14ac:dyDescent="0.25">
      <c r="A2425" s="9" t="s">
        <v>3470</v>
      </c>
      <c r="B2425" s="2">
        <v>45266</v>
      </c>
      <c r="C2425" s="1" t="s">
        <v>1425</v>
      </c>
      <c r="D2425" s="1" t="s">
        <v>67</v>
      </c>
      <c r="E2425" s="1" t="s">
        <v>72</v>
      </c>
      <c r="F2425" s="1" t="s">
        <v>28</v>
      </c>
      <c r="G2425" s="1" t="s">
        <v>19</v>
      </c>
      <c r="H2425" s="1" t="s">
        <v>29</v>
      </c>
      <c r="I2425" s="1" t="s">
        <v>96</v>
      </c>
      <c r="J2425" s="1">
        <v>10</v>
      </c>
      <c r="K2425" s="3">
        <v>31466.81</v>
      </c>
      <c r="L2425" s="1" t="s">
        <v>110</v>
      </c>
      <c r="M2425" s="1" t="s">
        <v>93</v>
      </c>
      <c r="N2425" s="10" t="s">
        <v>37</v>
      </c>
      <c r="Q2425"/>
    </row>
    <row r="2426" spans="1:17" x14ac:dyDescent="0.25">
      <c r="A2426" s="9" t="s">
        <v>3471</v>
      </c>
      <c r="B2426" s="2">
        <v>44962</v>
      </c>
      <c r="C2426" s="1" t="s">
        <v>2122</v>
      </c>
      <c r="D2426" s="1" t="s">
        <v>169</v>
      </c>
      <c r="E2426" s="1" t="s">
        <v>27</v>
      </c>
      <c r="F2426" s="1" t="s">
        <v>82</v>
      </c>
      <c r="G2426" s="1" t="s">
        <v>42</v>
      </c>
      <c r="H2426" s="1" t="s">
        <v>43</v>
      </c>
      <c r="I2426" s="1" t="s">
        <v>394</v>
      </c>
      <c r="J2426" s="1">
        <v>7</v>
      </c>
      <c r="K2426" s="3">
        <v>12491.32</v>
      </c>
      <c r="L2426" s="1">
        <v>0</v>
      </c>
      <c r="M2426" s="1" t="s">
        <v>36</v>
      </c>
      <c r="N2426" s="10" t="s">
        <v>23</v>
      </c>
      <c r="Q2426"/>
    </row>
    <row r="2427" spans="1:17" x14ac:dyDescent="0.25">
      <c r="A2427" s="9" t="s">
        <v>3472</v>
      </c>
      <c r="B2427" s="2">
        <v>44929</v>
      </c>
      <c r="C2427" s="1" t="s">
        <v>156</v>
      </c>
      <c r="D2427" s="1" t="s">
        <v>147</v>
      </c>
      <c r="E2427" s="1" t="s">
        <v>34</v>
      </c>
      <c r="F2427" s="1" t="s">
        <v>49</v>
      </c>
      <c r="G2427" s="1" t="s">
        <v>19</v>
      </c>
      <c r="H2427" s="1" t="s">
        <v>29</v>
      </c>
      <c r="I2427" s="1" t="s">
        <v>830</v>
      </c>
      <c r="J2427" s="1">
        <v>10</v>
      </c>
      <c r="K2427" s="3">
        <v>49111.47</v>
      </c>
      <c r="L2427" s="1">
        <v>0</v>
      </c>
      <c r="M2427" s="1" t="s">
        <v>93</v>
      </c>
      <c r="N2427" s="10" t="s">
        <v>74</v>
      </c>
      <c r="Q2427"/>
    </row>
    <row r="2428" spans="1:17" x14ac:dyDescent="0.25">
      <c r="A2428" s="9" t="s">
        <v>3473</v>
      </c>
      <c r="B2428" s="2">
        <v>45473</v>
      </c>
      <c r="C2428" s="1" t="s">
        <v>682</v>
      </c>
      <c r="D2428" s="1" t="s">
        <v>16</v>
      </c>
      <c r="E2428" s="1" t="s">
        <v>72</v>
      </c>
      <c r="F2428" s="1" t="s">
        <v>88</v>
      </c>
      <c r="G2428" s="1" t="s">
        <v>19</v>
      </c>
      <c r="H2428" s="1" t="s">
        <v>29</v>
      </c>
      <c r="I2428" s="1" t="s">
        <v>424</v>
      </c>
      <c r="J2428" s="1">
        <v>10</v>
      </c>
      <c r="K2428" s="3">
        <v>19264.07</v>
      </c>
      <c r="L2428" s="1">
        <v>15</v>
      </c>
      <c r="M2428" s="1" t="s">
        <v>36</v>
      </c>
      <c r="N2428" s="10" t="s">
        <v>74</v>
      </c>
      <c r="Q2428"/>
    </row>
    <row r="2429" spans="1:17" x14ac:dyDescent="0.25">
      <c r="A2429" s="9" t="s">
        <v>3474</v>
      </c>
      <c r="B2429" s="2">
        <v>45071</v>
      </c>
      <c r="C2429" s="1" t="s">
        <v>369</v>
      </c>
      <c r="D2429" s="1" t="s">
        <v>40</v>
      </c>
      <c r="E2429" s="1" t="s">
        <v>17</v>
      </c>
      <c r="F2429" s="1" t="s">
        <v>82</v>
      </c>
      <c r="G2429" s="1" t="s">
        <v>42</v>
      </c>
      <c r="H2429" s="1" t="s">
        <v>43</v>
      </c>
      <c r="I2429" s="1" t="s">
        <v>157</v>
      </c>
      <c r="J2429" s="1">
        <v>6</v>
      </c>
      <c r="K2429" s="3">
        <v>19845.02</v>
      </c>
      <c r="L2429" s="1">
        <v>0</v>
      </c>
      <c r="M2429" s="1" t="s">
        <v>56</v>
      </c>
      <c r="N2429" s="10" t="s">
        <v>64</v>
      </c>
      <c r="Q2429"/>
    </row>
    <row r="2430" spans="1:17" x14ac:dyDescent="0.25">
      <c r="A2430" s="9" t="s">
        <v>3475</v>
      </c>
      <c r="B2430" s="2">
        <v>45144</v>
      </c>
      <c r="C2430" s="1" t="s">
        <v>1358</v>
      </c>
      <c r="D2430" s="1" t="s">
        <v>52</v>
      </c>
      <c r="E2430" s="1" t="s">
        <v>27</v>
      </c>
      <c r="F2430" s="1" t="s">
        <v>82</v>
      </c>
      <c r="G2430" s="1" t="s">
        <v>83</v>
      </c>
      <c r="H2430" s="1" t="s">
        <v>43</v>
      </c>
      <c r="I2430" s="1" t="s">
        <v>84</v>
      </c>
      <c r="J2430" s="1">
        <v>3</v>
      </c>
      <c r="K2430" s="3">
        <v>385.17</v>
      </c>
      <c r="L2430" s="1">
        <v>5</v>
      </c>
      <c r="M2430" s="1" t="s">
        <v>93</v>
      </c>
      <c r="N2430" s="10" t="s">
        <v>74</v>
      </c>
      <c r="Q2430"/>
    </row>
    <row r="2431" spans="1:17" x14ac:dyDescent="0.25">
      <c r="A2431" s="9" t="s">
        <v>3476</v>
      </c>
      <c r="B2431" s="2">
        <v>45447</v>
      </c>
      <c r="C2431" s="1" t="s">
        <v>347</v>
      </c>
      <c r="D2431" s="1" t="s">
        <v>26</v>
      </c>
      <c r="E2431" s="1" t="s">
        <v>17</v>
      </c>
      <c r="F2431" s="1" t="s">
        <v>18</v>
      </c>
      <c r="G2431" s="1" t="s">
        <v>83</v>
      </c>
      <c r="H2431" s="1" t="s">
        <v>43</v>
      </c>
      <c r="I2431" s="1" t="s">
        <v>336</v>
      </c>
      <c r="J2431" s="1">
        <v>7</v>
      </c>
      <c r="K2431" s="3">
        <v>25017.71</v>
      </c>
      <c r="L2431" s="1" t="s">
        <v>110</v>
      </c>
      <c r="M2431" s="1" t="s">
        <v>93</v>
      </c>
      <c r="N2431" s="10" t="s">
        <v>37</v>
      </c>
      <c r="Q2431"/>
    </row>
    <row r="2432" spans="1:17" x14ac:dyDescent="0.25">
      <c r="A2432" s="9" t="s">
        <v>3477</v>
      </c>
      <c r="B2432" s="2">
        <v>45544</v>
      </c>
      <c r="C2432" s="1" t="s">
        <v>1130</v>
      </c>
      <c r="D2432" s="1" t="s">
        <v>81</v>
      </c>
      <c r="E2432" s="1" t="s">
        <v>17</v>
      </c>
      <c r="F2432" s="1" t="s">
        <v>88</v>
      </c>
      <c r="G2432" s="1" t="s">
        <v>42</v>
      </c>
      <c r="H2432" s="1" t="s">
        <v>43</v>
      </c>
      <c r="I2432" s="1" t="s">
        <v>100</v>
      </c>
      <c r="J2432" s="1">
        <v>3</v>
      </c>
      <c r="K2432" s="3">
        <v>2383.91</v>
      </c>
      <c r="L2432" s="1">
        <v>5</v>
      </c>
      <c r="M2432" s="1" t="s">
        <v>36</v>
      </c>
      <c r="N2432" s="10" t="s">
        <v>23</v>
      </c>
      <c r="Q2432"/>
    </row>
    <row r="2433" spans="1:17" x14ac:dyDescent="0.25">
      <c r="A2433" s="9" t="s">
        <v>3478</v>
      </c>
      <c r="B2433" s="2">
        <v>45353</v>
      </c>
      <c r="C2433" s="1" t="s">
        <v>3025</v>
      </c>
      <c r="D2433" s="1" t="s">
        <v>16</v>
      </c>
      <c r="E2433" s="1" t="s">
        <v>72</v>
      </c>
      <c r="F2433" s="1" t="s">
        <v>60</v>
      </c>
      <c r="G2433" s="1" t="s">
        <v>42</v>
      </c>
      <c r="H2433" s="1" t="s">
        <v>61</v>
      </c>
      <c r="I2433" s="1" t="s">
        <v>106</v>
      </c>
      <c r="J2433" s="1">
        <v>10</v>
      </c>
      <c r="K2433" s="3">
        <v>13994.99</v>
      </c>
      <c r="L2433" s="1">
        <v>20</v>
      </c>
      <c r="M2433" s="1" t="s">
        <v>22</v>
      </c>
      <c r="N2433" s="10" t="s">
        <v>37</v>
      </c>
      <c r="Q2433"/>
    </row>
    <row r="2434" spans="1:17" x14ac:dyDescent="0.25">
      <c r="A2434" s="9" t="s">
        <v>3479</v>
      </c>
      <c r="B2434" s="2">
        <v>45017</v>
      </c>
      <c r="C2434" s="1" t="s">
        <v>1601</v>
      </c>
      <c r="D2434" s="1" t="s">
        <v>33</v>
      </c>
      <c r="E2434" s="1" t="s">
        <v>59</v>
      </c>
      <c r="F2434" s="1" t="s">
        <v>99</v>
      </c>
      <c r="G2434" s="1" t="s">
        <v>42</v>
      </c>
      <c r="H2434" s="1" t="s">
        <v>61</v>
      </c>
      <c r="I2434" s="1" t="s">
        <v>725</v>
      </c>
      <c r="J2434" s="1">
        <v>2</v>
      </c>
      <c r="K2434" s="3">
        <v>2842.89</v>
      </c>
      <c r="L2434" s="1">
        <v>20</v>
      </c>
      <c r="M2434" s="1" t="s">
        <v>69</v>
      </c>
      <c r="N2434" s="10" t="s">
        <v>45</v>
      </c>
      <c r="Q2434"/>
    </row>
    <row r="2435" spans="1:17" x14ac:dyDescent="0.25">
      <c r="A2435" s="9" t="s">
        <v>3480</v>
      </c>
      <c r="B2435" s="2">
        <v>45164</v>
      </c>
      <c r="C2435" s="1" t="s">
        <v>200</v>
      </c>
      <c r="D2435" s="1" t="s">
        <v>52</v>
      </c>
      <c r="E2435" s="1" t="s">
        <v>72</v>
      </c>
      <c r="F2435" s="1" t="s">
        <v>88</v>
      </c>
      <c r="G2435" s="1" t="s">
        <v>42</v>
      </c>
      <c r="H2435" s="1" t="s">
        <v>43</v>
      </c>
      <c r="I2435" s="1" t="s">
        <v>380</v>
      </c>
      <c r="J2435" s="1">
        <v>5</v>
      </c>
      <c r="K2435" s="3">
        <v>13009.67</v>
      </c>
      <c r="L2435" s="1" t="s">
        <v>110</v>
      </c>
      <c r="M2435" s="1" t="s">
        <v>56</v>
      </c>
      <c r="N2435" s="10" t="s">
        <v>74</v>
      </c>
      <c r="Q2435"/>
    </row>
    <row r="2436" spans="1:17" x14ac:dyDescent="0.25">
      <c r="A2436" s="9" t="s">
        <v>3481</v>
      </c>
      <c r="B2436" s="2">
        <v>45085</v>
      </c>
      <c r="C2436" s="1" t="s">
        <v>651</v>
      </c>
      <c r="D2436" s="1" t="s">
        <v>147</v>
      </c>
      <c r="E2436" s="1" t="s">
        <v>59</v>
      </c>
      <c r="F2436" s="1" t="s">
        <v>49</v>
      </c>
      <c r="G2436" s="1" t="s">
        <v>83</v>
      </c>
      <c r="H2436" s="1" t="s">
        <v>43</v>
      </c>
      <c r="I2436" s="1" t="s">
        <v>339</v>
      </c>
      <c r="J2436" s="1">
        <v>3</v>
      </c>
      <c r="K2436" s="3">
        <v>10997.75</v>
      </c>
      <c r="L2436" s="1">
        <v>15</v>
      </c>
      <c r="M2436" s="1" t="s">
        <v>56</v>
      </c>
      <c r="N2436" s="10" t="s">
        <v>64</v>
      </c>
      <c r="Q2436"/>
    </row>
    <row r="2437" spans="1:17" x14ac:dyDescent="0.25">
      <c r="A2437" s="9" t="s">
        <v>3482</v>
      </c>
      <c r="B2437" s="2">
        <v>45386</v>
      </c>
      <c r="C2437" s="1" t="s">
        <v>2133</v>
      </c>
      <c r="D2437" s="1" t="s">
        <v>67</v>
      </c>
      <c r="E2437" s="1" t="s">
        <v>17</v>
      </c>
      <c r="F2437" s="1" t="s">
        <v>99</v>
      </c>
      <c r="G2437" s="1" t="s">
        <v>83</v>
      </c>
      <c r="H2437" s="1" t="s">
        <v>43</v>
      </c>
      <c r="I2437" s="1" t="s">
        <v>154</v>
      </c>
      <c r="J2437" s="1">
        <v>6</v>
      </c>
      <c r="K2437" s="3">
        <v>26591.919999999998</v>
      </c>
      <c r="L2437" s="1">
        <v>5</v>
      </c>
      <c r="M2437" s="1" t="s">
        <v>22</v>
      </c>
      <c r="N2437" s="10" t="s">
        <v>74</v>
      </c>
      <c r="Q2437"/>
    </row>
    <row r="2438" spans="1:17" x14ac:dyDescent="0.25">
      <c r="A2438" s="9" t="s">
        <v>3483</v>
      </c>
      <c r="B2438" s="2">
        <v>45085</v>
      </c>
      <c r="C2438" s="1" t="s">
        <v>706</v>
      </c>
      <c r="D2438" s="1" t="s">
        <v>52</v>
      </c>
      <c r="E2438" s="1" t="s">
        <v>17</v>
      </c>
      <c r="F2438" s="1" t="s">
        <v>88</v>
      </c>
      <c r="G2438" s="1" t="s">
        <v>83</v>
      </c>
      <c r="H2438" s="1" t="s">
        <v>43</v>
      </c>
      <c r="I2438" s="1" t="s">
        <v>144</v>
      </c>
      <c r="J2438" s="1">
        <v>5</v>
      </c>
      <c r="K2438" s="3">
        <v>566.58000000000004</v>
      </c>
      <c r="L2438" s="1" t="s">
        <v>110</v>
      </c>
      <c r="M2438" s="1" t="s">
        <v>22</v>
      </c>
      <c r="N2438" s="10" t="s">
        <v>37</v>
      </c>
      <c r="Q2438"/>
    </row>
    <row r="2439" spans="1:17" x14ac:dyDescent="0.25">
      <c r="A2439" s="9" t="s">
        <v>3484</v>
      </c>
      <c r="B2439" s="2">
        <v>45648</v>
      </c>
      <c r="C2439" s="1" t="s">
        <v>1479</v>
      </c>
      <c r="D2439" s="1" t="s">
        <v>81</v>
      </c>
      <c r="E2439" s="1" t="s">
        <v>59</v>
      </c>
      <c r="F2439" s="1" t="s">
        <v>49</v>
      </c>
      <c r="G2439" s="1" t="s">
        <v>19</v>
      </c>
      <c r="H2439" s="1" t="s">
        <v>29</v>
      </c>
      <c r="I2439" s="1" t="s">
        <v>148</v>
      </c>
      <c r="J2439" s="1">
        <v>3</v>
      </c>
      <c r="K2439" s="3">
        <v>6153.59</v>
      </c>
      <c r="L2439" s="1" t="s">
        <v>110</v>
      </c>
      <c r="M2439" s="1" t="s">
        <v>93</v>
      </c>
      <c r="N2439" s="10" t="s">
        <v>74</v>
      </c>
      <c r="Q2439"/>
    </row>
    <row r="2440" spans="1:17" x14ac:dyDescent="0.25">
      <c r="A2440" s="9" t="s">
        <v>3485</v>
      </c>
      <c r="B2440" s="2">
        <v>45563</v>
      </c>
      <c r="C2440" s="1" t="s">
        <v>3486</v>
      </c>
      <c r="D2440" s="1" t="s">
        <v>147</v>
      </c>
      <c r="E2440" s="1" t="s">
        <v>34</v>
      </c>
      <c r="F2440" s="1" t="s">
        <v>99</v>
      </c>
      <c r="G2440" s="1" t="s">
        <v>42</v>
      </c>
      <c r="H2440" s="1" t="s">
        <v>43</v>
      </c>
      <c r="I2440" s="1" t="s">
        <v>182</v>
      </c>
      <c r="J2440" s="1">
        <v>3</v>
      </c>
      <c r="K2440" s="3">
        <v>3177.63</v>
      </c>
      <c r="L2440" s="1">
        <v>15</v>
      </c>
      <c r="M2440" s="1" t="s">
        <v>93</v>
      </c>
      <c r="N2440" s="10" t="s">
        <v>23</v>
      </c>
      <c r="Q2440"/>
    </row>
    <row r="2441" spans="1:17" x14ac:dyDescent="0.25">
      <c r="A2441" s="9" t="s">
        <v>3487</v>
      </c>
      <c r="B2441" s="2">
        <v>45347</v>
      </c>
      <c r="C2441" s="1" t="s">
        <v>1182</v>
      </c>
      <c r="D2441" s="1" t="s">
        <v>67</v>
      </c>
      <c r="E2441" s="1" t="s">
        <v>72</v>
      </c>
      <c r="F2441" s="1" t="s">
        <v>60</v>
      </c>
      <c r="G2441" s="1" t="s">
        <v>19</v>
      </c>
      <c r="H2441" s="1" t="s">
        <v>20</v>
      </c>
      <c r="I2441" s="1" t="s">
        <v>138</v>
      </c>
      <c r="J2441" s="1">
        <v>3</v>
      </c>
      <c r="K2441" s="3">
        <v>9136.82</v>
      </c>
      <c r="L2441" s="1">
        <v>20</v>
      </c>
      <c r="M2441" s="1" t="s">
        <v>56</v>
      </c>
      <c r="N2441" s="10" t="s">
        <v>64</v>
      </c>
      <c r="Q2441"/>
    </row>
    <row r="2442" spans="1:17" x14ac:dyDescent="0.25">
      <c r="A2442" s="9" t="s">
        <v>3488</v>
      </c>
      <c r="B2442" s="2">
        <v>45560</v>
      </c>
      <c r="C2442" s="1" t="s">
        <v>1165</v>
      </c>
      <c r="D2442" s="1" t="s">
        <v>147</v>
      </c>
      <c r="E2442" s="1" t="s">
        <v>27</v>
      </c>
      <c r="F2442" s="1" t="s">
        <v>18</v>
      </c>
      <c r="G2442" s="1" t="s">
        <v>19</v>
      </c>
      <c r="H2442" s="1" t="s">
        <v>29</v>
      </c>
      <c r="I2442" s="1" t="s">
        <v>1449</v>
      </c>
      <c r="J2442" s="1">
        <v>2</v>
      </c>
      <c r="K2442" s="3">
        <v>5130.47</v>
      </c>
      <c r="L2442" s="1">
        <v>10</v>
      </c>
      <c r="M2442" s="1" t="s">
        <v>93</v>
      </c>
      <c r="N2442" s="10" t="s">
        <v>23</v>
      </c>
      <c r="Q2442"/>
    </row>
    <row r="2443" spans="1:17" x14ac:dyDescent="0.25">
      <c r="A2443" s="9" t="s">
        <v>3489</v>
      </c>
      <c r="B2443" s="2">
        <v>45171</v>
      </c>
      <c r="C2443" s="1" t="s">
        <v>1749</v>
      </c>
      <c r="D2443" s="1" t="s">
        <v>52</v>
      </c>
      <c r="E2443" s="1" t="s">
        <v>34</v>
      </c>
      <c r="F2443" s="1" t="s">
        <v>18</v>
      </c>
      <c r="G2443" s="1" t="s">
        <v>83</v>
      </c>
      <c r="H2443" s="1" t="s">
        <v>43</v>
      </c>
      <c r="I2443" s="1" t="s">
        <v>274</v>
      </c>
      <c r="J2443" s="1">
        <v>9</v>
      </c>
      <c r="K2443" s="3">
        <v>5341.46</v>
      </c>
      <c r="L2443" s="1">
        <v>5</v>
      </c>
      <c r="M2443" s="1" t="s">
        <v>36</v>
      </c>
      <c r="N2443" s="10" t="s">
        <v>37</v>
      </c>
      <c r="Q2443"/>
    </row>
    <row r="2444" spans="1:17" x14ac:dyDescent="0.25">
      <c r="A2444" s="9" t="s">
        <v>3490</v>
      </c>
      <c r="B2444" s="2">
        <v>45010</v>
      </c>
      <c r="C2444" s="1" t="s">
        <v>3009</v>
      </c>
      <c r="D2444" s="1" t="s">
        <v>67</v>
      </c>
      <c r="E2444" s="1" t="s">
        <v>17</v>
      </c>
      <c r="F2444" s="1" t="s">
        <v>49</v>
      </c>
      <c r="G2444" s="1" t="s">
        <v>83</v>
      </c>
      <c r="H2444" s="1" t="s">
        <v>43</v>
      </c>
      <c r="I2444" s="1" t="s">
        <v>274</v>
      </c>
      <c r="J2444" s="1">
        <v>6</v>
      </c>
      <c r="K2444" s="3">
        <v>26994.74</v>
      </c>
      <c r="L2444" s="1">
        <v>5</v>
      </c>
      <c r="M2444" s="1" t="s">
        <v>93</v>
      </c>
      <c r="N2444" s="10" t="s">
        <v>74</v>
      </c>
      <c r="Q2444"/>
    </row>
    <row r="2445" spans="1:17" x14ac:dyDescent="0.25">
      <c r="A2445" s="9" t="s">
        <v>3491</v>
      </c>
      <c r="B2445" s="2">
        <v>45209</v>
      </c>
      <c r="C2445" s="1" t="s">
        <v>852</v>
      </c>
      <c r="D2445" s="1" t="s">
        <v>52</v>
      </c>
      <c r="E2445" s="1" t="s">
        <v>17</v>
      </c>
      <c r="F2445" s="1" t="s">
        <v>18</v>
      </c>
      <c r="G2445" s="1" t="s">
        <v>83</v>
      </c>
      <c r="H2445" s="1" t="s">
        <v>43</v>
      </c>
      <c r="I2445" s="1" t="s">
        <v>467</v>
      </c>
      <c r="J2445" s="1">
        <v>10</v>
      </c>
      <c r="K2445" s="3">
        <v>3661.31</v>
      </c>
      <c r="L2445" s="1">
        <v>20</v>
      </c>
      <c r="M2445" s="1" t="s">
        <v>63</v>
      </c>
      <c r="N2445" s="10" t="s">
        <v>45</v>
      </c>
      <c r="Q2445"/>
    </row>
    <row r="2446" spans="1:17" x14ac:dyDescent="0.25">
      <c r="A2446" s="9" t="s">
        <v>3492</v>
      </c>
      <c r="B2446" s="2">
        <v>45422</v>
      </c>
      <c r="C2446" s="1" t="s">
        <v>683</v>
      </c>
      <c r="D2446" s="1" t="s">
        <v>77</v>
      </c>
      <c r="E2446" s="1" t="s">
        <v>59</v>
      </c>
      <c r="F2446" s="1" t="s">
        <v>88</v>
      </c>
      <c r="G2446" s="1" t="s">
        <v>19</v>
      </c>
      <c r="H2446" s="1" t="s">
        <v>20</v>
      </c>
      <c r="I2446" s="1" t="s">
        <v>1234</v>
      </c>
      <c r="J2446" s="1">
        <v>10</v>
      </c>
      <c r="K2446" s="3">
        <v>17958.25</v>
      </c>
      <c r="L2446" s="1">
        <v>0</v>
      </c>
      <c r="M2446" s="1" t="s">
        <v>69</v>
      </c>
      <c r="N2446" s="10" t="s">
        <v>74</v>
      </c>
      <c r="Q2446"/>
    </row>
    <row r="2447" spans="1:17" x14ac:dyDescent="0.25">
      <c r="A2447" s="9" t="s">
        <v>3493</v>
      </c>
      <c r="B2447" s="2">
        <v>45507</v>
      </c>
      <c r="C2447" s="1" t="s">
        <v>1440</v>
      </c>
      <c r="D2447" s="1" t="s">
        <v>360</v>
      </c>
      <c r="E2447" s="1" t="s">
        <v>72</v>
      </c>
      <c r="F2447" s="1" t="s">
        <v>49</v>
      </c>
      <c r="G2447" s="1" t="s">
        <v>83</v>
      </c>
      <c r="H2447" s="1" t="s">
        <v>43</v>
      </c>
      <c r="I2447" s="1" t="s">
        <v>285</v>
      </c>
      <c r="J2447" s="1">
        <v>3</v>
      </c>
      <c r="K2447" s="3">
        <v>7493.96</v>
      </c>
      <c r="L2447" s="1">
        <v>10</v>
      </c>
      <c r="M2447" s="1" t="s">
        <v>56</v>
      </c>
      <c r="N2447" s="10" t="s">
        <v>37</v>
      </c>
      <c r="Q2447"/>
    </row>
    <row r="2448" spans="1:17" x14ac:dyDescent="0.25">
      <c r="A2448" s="9" t="s">
        <v>3494</v>
      </c>
      <c r="B2448" s="2">
        <v>45625</v>
      </c>
      <c r="C2448" s="1" t="s">
        <v>3495</v>
      </c>
      <c r="D2448" s="1" t="s">
        <v>40</v>
      </c>
      <c r="E2448" s="1" t="s">
        <v>34</v>
      </c>
      <c r="F2448" s="1" t="s">
        <v>99</v>
      </c>
      <c r="G2448" s="1" t="s">
        <v>19</v>
      </c>
      <c r="H2448" s="1" t="s">
        <v>20</v>
      </c>
      <c r="I2448" s="1" t="s">
        <v>78</v>
      </c>
      <c r="J2448" s="1">
        <v>7</v>
      </c>
      <c r="K2448" s="3">
        <v>12600.11</v>
      </c>
      <c r="L2448" s="1">
        <v>0</v>
      </c>
      <c r="M2448" s="1" t="s">
        <v>93</v>
      </c>
      <c r="N2448" s="10" t="s">
        <v>45</v>
      </c>
      <c r="Q2448"/>
    </row>
    <row r="2449" spans="1:17" x14ac:dyDescent="0.25">
      <c r="A2449" s="9" t="s">
        <v>3496</v>
      </c>
      <c r="B2449" s="2">
        <v>45484</v>
      </c>
      <c r="C2449" s="1" t="s">
        <v>849</v>
      </c>
      <c r="D2449" s="1" t="s">
        <v>71</v>
      </c>
      <c r="E2449" s="1" t="s">
        <v>17</v>
      </c>
      <c r="F2449" s="1" t="s">
        <v>99</v>
      </c>
      <c r="G2449" s="1" t="s">
        <v>53</v>
      </c>
      <c r="H2449" s="1" t="s">
        <v>54</v>
      </c>
      <c r="I2449" s="1" t="s">
        <v>207</v>
      </c>
      <c r="J2449" s="1">
        <v>3</v>
      </c>
      <c r="K2449" s="3">
        <v>5294.15</v>
      </c>
      <c r="L2449" s="1">
        <v>10</v>
      </c>
      <c r="M2449" s="1" t="s">
        <v>56</v>
      </c>
      <c r="N2449" s="10" t="s">
        <v>45</v>
      </c>
      <c r="Q2449"/>
    </row>
    <row r="2450" spans="1:17" x14ac:dyDescent="0.25">
      <c r="A2450" s="9" t="s">
        <v>3497</v>
      </c>
      <c r="B2450" s="2">
        <v>45262</v>
      </c>
      <c r="C2450" s="1" t="s">
        <v>3498</v>
      </c>
      <c r="D2450" s="1" t="s">
        <v>87</v>
      </c>
      <c r="E2450" s="1" t="s">
        <v>34</v>
      </c>
      <c r="F2450" s="1" t="s">
        <v>82</v>
      </c>
      <c r="G2450" s="1" t="s">
        <v>19</v>
      </c>
      <c r="H2450" s="1" t="s">
        <v>20</v>
      </c>
      <c r="I2450" s="1" t="s">
        <v>1234</v>
      </c>
      <c r="J2450" s="1">
        <v>1</v>
      </c>
      <c r="K2450" s="3">
        <v>145.29</v>
      </c>
      <c r="L2450" s="1">
        <v>15</v>
      </c>
      <c r="M2450" s="1" t="s">
        <v>63</v>
      </c>
      <c r="N2450" s="10" t="s">
        <v>45</v>
      </c>
      <c r="Q2450"/>
    </row>
    <row r="2451" spans="1:17" x14ac:dyDescent="0.25">
      <c r="A2451" s="9" t="s">
        <v>3499</v>
      </c>
      <c r="B2451" s="2">
        <v>45377</v>
      </c>
      <c r="C2451" s="1" t="s">
        <v>117</v>
      </c>
      <c r="D2451" s="1" t="s">
        <v>52</v>
      </c>
      <c r="E2451" s="1" t="s">
        <v>34</v>
      </c>
      <c r="F2451" s="1" t="s">
        <v>88</v>
      </c>
      <c r="G2451" s="1" t="s">
        <v>53</v>
      </c>
      <c r="H2451" s="1" t="s">
        <v>54</v>
      </c>
      <c r="I2451" s="1" t="s">
        <v>272</v>
      </c>
      <c r="J2451" s="1">
        <v>7</v>
      </c>
      <c r="K2451" s="3">
        <v>18621.509999999998</v>
      </c>
      <c r="L2451" s="1">
        <v>5</v>
      </c>
      <c r="M2451" s="1" t="s">
        <v>56</v>
      </c>
      <c r="N2451" s="10" t="s">
        <v>45</v>
      </c>
      <c r="Q2451"/>
    </row>
    <row r="2452" spans="1:17" x14ac:dyDescent="0.25">
      <c r="A2452" s="9" t="s">
        <v>937</v>
      </c>
      <c r="B2452" s="2">
        <v>45096</v>
      </c>
      <c r="C2452" s="1" t="s">
        <v>2013</v>
      </c>
      <c r="D2452" s="1" t="s">
        <v>87</v>
      </c>
      <c r="E2452" s="1" t="s">
        <v>17</v>
      </c>
      <c r="F2452" s="1" t="s">
        <v>60</v>
      </c>
      <c r="G2452" s="1" t="s">
        <v>19</v>
      </c>
      <c r="H2452" s="1" t="s">
        <v>20</v>
      </c>
      <c r="I2452" s="1" t="s">
        <v>421</v>
      </c>
      <c r="J2452" s="1">
        <v>5</v>
      </c>
      <c r="K2452" s="3">
        <v>8663.5400000000009</v>
      </c>
      <c r="L2452" s="1">
        <v>10</v>
      </c>
      <c r="M2452" s="1" t="s">
        <v>93</v>
      </c>
      <c r="N2452" s="10" t="s">
        <v>45</v>
      </c>
      <c r="Q2452"/>
    </row>
    <row r="2453" spans="1:17" x14ac:dyDescent="0.25">
      <c r="A2453" s="9" t="s">
        <v>3500</v>
      </c>
      <c r="B2453" s="2">
        <v>45194</v>
      </c>
      <c r="C2453" s="1" t="s">
        <v>1713</v>
      </c>
      <c r="D2453" s="1" t="s">
        <v>33</v>
      </c>
      <c r="E2453" s="1" t="s">
        <v>72</v>
      </c>
      <c r="F2453" s="1" t="s">
        <v>88</v>
      </c>
      <c r="G2453" s="1" t="s">
        <v>42</v>
      </c>
      <c r="H2453" s="1" t="s">
        <v>61</v>
      </c>
      <c r="I2453" s="1" t="s">
        <v>833</v>
      </c>
      <c r="J2453" s="1">
        <v>4</v>
      </c>
      <c r="K2453" s="3">
        <v>12142.02</v>
      </c>
      <c r="L2453" s="1">
        <v>10</v>
      </c>
      <c r="M2453" s="1" t="s">
        <v>69</v>
      </c>
      <c r="N2453" s="10" t="s">
        <v>23</v>
      </c>
      <c r="Q2453"/>
    </row>
    <row r="2454" spans="1:17" x14ac:dyDescent="0.25">
      <c r="A2454" s="9" t="s">
        <v>3501</v>
      </c>
      <c r="B2454" s="2">
        <v>45559</v>
      </c>
      <c r="C2454" s="1" t="s">
        <v>1469</v>
      </c>
      <c r="D2454" s="1" t="s">
        <v>52</v>
      </c>
      <c r="E2454" s="1" t="s">
        <v>59</v>
      </c>
      <c r="F2454" s="1" t="s">
        <v>18</v>
      </c>
      <c r="G2454" s="1" t="s">
        <v>19</v>
      </c>
      <c r="H2454" s="1" t="s">
        <v>20</v>
      </c>
      <c r="I2454" s="1" t="s">
        <v>928</v>
      </c>
      <c r="J2454" s="1">
        <v>8</v>
      </c>
      <c r="K2454" s="3">
        <v>33271.980000000003</v>
      </c>
      <c r="L2454" s="1" t="s">
        <v>110</v>
      </c>
      <c r="M2454" s="1" t="s">
        <v>36</v>
      </c>
      <c r="N2454" s="10" t="s">
        <v>37</v>
      </c>
      <c r="Q2454"/>
    </row>
    <row r="2455" spans="1:17" x14ac:dyDescent="0.25">
      <c r="A2455" s="9" t="s">
        <v>3502</v>
      </c>
      <c r="B2455" s="2">
        <v>45201</v>
      </c>
      <c r="C2455" s="1" t="s">
        <v>384</v>
      </c>
      <c r="D2455" s="1" t="s">
        <v>436</v>
      </c>
      <c r="E2455" s="1" t="s">
        <v>41</v>
      </c>
      <c r="F2455" s="1" t="s">
        <v>18</v>
      </c>
      <c r="G2455" s="1" t="s">
        <v>42</v>
      </c>
      <c r="H2455" s="1" t="s">
        <v>61</v>
      </c>
      <c r="I2455" s="1" t="s">
        <v>587</v>
      </c>
      <c r="J2455" s="1">
        <v>8</v>
      </c>
      <c r="K2455" s="3">
        <v>30926.7</v>
      </c>
      <c r="L2455" s="1">
        <v>0</v>
      </c>
      <c r="M2455" s="1" t="s">
        <v>22</v>
      </c>
      <c r="N2455" s="10" t="s">
        <v>74</v>
      </c>
      <c r="Q2455"/>
    </row>
    <row r="2456" spans="1:17" x14ac:dyDescent="0.25">
      <c r="A2456" s="9" t="s">
        <v>3503</v>
      </c>
      <c r="B2456" s="2">
        <v>45089</v>
      </c>
      <c r="C2456" s="1" t="s">
        <v>2925</v>
      </c>
      <c r="D2456" s="1" t="s">
        <v>26</v>
      </c>
      <c r="E2456" s="1" t="s">
        <v>72</v>
      </c>
      <c r="F2456" s="1" t="s">
        <v>49</v>
      </c>
      <c r="G2456" s="1" t="s">
        <v>83</v>
      </c>
      <c r="H2456" s="1" t="s">
        <v>43</v>
      </c>
      <c r="I2456" s="1" t="s">
        <v>704</v>
      </c>
      <c r="J2456" s="1">
        <v>6</v>
      </c>
      <c r="K2456" s="3">
        <v>27247.25</v>
      </c>
      <c r="L2456" s="1">
        <v>0</v>
      </c>
      <c r="M2456" s="1" t="s">
        <v>69</v>
      </c>
      <c r="N2456" s="10" t="s">
        <v>45</v>
      </c>
      <c r="Q2456"/>
    </row>
    <row r="2457" spans="1:17" x14ac:dyDescent="0.25">
      <c r="A2457" s="9" t="s">
        <v>3504</v>
      </c>
      <c r="B2457" s="2">
        <v>45399</v>
      </c>
      <c r="C2457" s="1" t="s">
        <v>1083</v>
      </c>
      <c r="D2457" s="1" t="s">
        <v>26</v>
      </c>
      <c r="E2457" s="1" t="s">
        <v>72</v>
      </c>
      <c r="F2457" s="1" t="s">
        <v>18</v>
      </c>
      <c r="G2457" s="1" t="s">
        <v>19</v>
      </c>
      <c r="H2457" s="1" t="s">
        <v>29</v>
      </c>
      <c r="I2457" s="1" t="s">
        <v>148</v>
      </c>
      <c r="J2457" s="1">
        <v>1</v>
      </c>
      <c r="K2457" s="3">
        <v>2628.37</v>
      </c>
      <c r="L2457" s="1">
        <v>15</v>
      </c>
      <c r="M2457" s="1" t="s">
        <v>36</v>
      </c>
      <c r="N2457" s="10" t="s">
        <v>37</v>
      </c>
      <c r="Q2457"/>
    </row>
    <row r="2458" spans="1:17" x14ac:dyDescent="0.25">
      <c r="A2458" s="9" t="s">
        <v>3505</v>
      </c>
      <c r="B2458" s="2">
        <v>45218</v>
      </c>
      <c r="C2458" s="1" t="s">
        <v>1657</v>
      </c>
      <c r="D2458" s="1" t="s">
        <v>436</v>
      </c>
      <c r="E2458" s="1" t="s">
        <v>17</v>
      </c>
      <c r="F2458" s="1" t="s">
        <v>28</v>
      </c>
      <c r="G2458" s="1" t="s">
        <v>42</v>
      </c>
      <c r="H2458" s="1" t="s">
        <v>61</v>
      </c>
      <c r="I2458" s="1" t="s">
        <v>667</v>
      </c>
      <c r="J2458" s="1">
        <v>10</v>
      </c>
      <c r="K2458" s="3">
        <v>49831.62</v>
      </c>
      <c r="L2458" s="1" t="s">
        <v>110</v>
      </c>
      <c r="M2458" s="1" t="s">
        <v>69</v>
      </c>
      <c r="N2458" s="10" t="s">
        <v>37</v>
      </c>
      <c r="Q2458"/>
    </row>
    <row r="2459" spans="1:17" x14ac:dyDescent="0.25">
      <c r="A2459" s="9" t="s">
        <v>3506</v>
      </c>
      <c r="B2459" s="2">
        <v>44940</v>
      </c>
      <c r="C2459" s="1" t="s">
        <v>2390</v>
      </c>
      <c r="D2459" s="1" t="s">
        <v>71</v>
      </c>
      <c r="E2459" s="1" t="s">
        <v>59</v>
      </c>
      <c r="F2459" s="1" t="s">
        <v>82</v>
      </c>
      <c r="G2459" s="1" t="s">
        <v>19</v>
      </c>
      <c r="H2459" s="1" t="s">
        <v>20</v>
      </c>
      <c r="I2459" s="1" t="s">
        <v>391</v>
      </c>
      <c r="J2459" s="1">
        <v>1</v>
      </c>
      <c r="K2459" s="3">
        <v>3754.94</v>
      </c>
      <c r="L2459" s="1">
        <v>0</v>
      </c>
      <c r="M2459" s="1" t="s">
        <v>36</v>
      </c>
      <c r="N2459" s="10" t="s">
        <v>45</v>
      </c>
      <c r="Q2459"/>
    </row>
    <row r="2460" spans="1:17" x14ac:dyDescent="0.25">
      <c r="A2460" s="9" t="s">
        <v>521</v>
      </c>
      <c r="B2460" s="2">
        <v>45220</v>
      </c>
      <c r="C2460" s="1" t="s">
        <v>1414</v>
      </c>
      <c r="D2460" s="1" t="s">
        <v>147</v>
      </c>
      <c r="E2460" s="1" t="s">
        <v>72</v>
      </c>
      <c r="F2460" s="1" t="s">
        <v>49</v>
      </c>
      <c r="G2460" s="1" t="s">
        <v>19</v>
      </c>
      <c r="H2460" s="1" t="s">
        <v>29</v>
      </c>
      <c r="I2460" s="1" t="s">
        <v>1215</v>
      </c>
      <c r="J2460" s="1">
        <v>5</v>
      </c>
      <c r="K2460" s="3">
        <v>5731.39</v>
      </c>
      <c r="L2460" s="1">
        <v>20</v>
      </c>
      <c r="M2460" s="1" t="s">
        <v>69</v>
      </c>
      <c r="N2460" s="10" t="s">
        <v>74</v>
      </c>
      <c r="Q2460"/>
    </row>
    <row r="2461" spans="1:17" x14ac:dyDescent="0.25">
      <c r="A2461" s="9" t="s">
        <v>3507</v>
      </c>
      <c r="B2461" s="2">
        <v>45609</v>
      </c>
      <c r="C2461" s="1" t="s">
        <v>2723</v>
      </c>
      <c r="D2461" s="1" t="s">
        <v>147</v>
      </c>
      <c r="E2461" s="1" t="s">
        <v>17</v>
      </c>
      <c r="F2461" s="1" t="s">
        <v>99</v>
      </c>
      <c r="G2461" s="1" t="s">
        <v>83</v>
      </c>
      <c r="H2461" s="1" t="s">
        <v>43</v>
      </c>
      <c r="I2461" s="1" t="s">
        <v>84</v>
      </c>
      <c r="J2461" s="1">
        <v>1</v>
      </c>
      <c r="K2461" s="3">
        <v>504.11</v>
      </c>
      <c r="L2461" s="1">
        <v>15</v>
      </c>
      <c r="M2461" s="1" t="s">
        <v>36</v>
      </c>
      <c r="N2461" s="10" t="s">
        <v>64</v>
      </c>
      <c r="Q2461"/>
    </row>
    <row r="2462" spans="1:17" x14ac:dyDescent="0.25">
      <c r="A2462" s="9" t="s">
        <v>3508</v>
      </c>
      <c r="B2462" s="2">
        <v>45220</v>
      </c>
      <c r="C2462" s="1" t="s">
        <v>331</v>
      </c>
      <c r="D2462" s="1" t="s">
        <v>26</v>
      </c>
      <c r="E2462" s="1" t="s">
        <v>27</v>
      </c>
      <c r="F2462" s="1" t="s">
        <v>88</v>
      </c>
      <c r="G2462" s="1" t="s">
        <v>83</v>
      </c>
      <c r="H2462" s="1" t="s">
        <v>43</v>
      </c>
      <c r="I2462" s="1" t="s">
        <v>572</v>
      </c>
      <c r="J2462" s="1">
        <v>10</v>
      </c>
      <c r="K2462" s="3">
        <v>4850.6000000000004</v>
      </c>
      <c r="L2462" s="1">
        <v>5</v>
      </c>
      <c r="M2462" s="1" t="s">
        <v>36</v>
      </c>
      <c r="N2462" s="10" t="s">
        <v>64</v>
      </c>
      <c r="Q2462"/>
    </row>
    <row r="2463" spans="1:17" x14ac:dyDescent="0.25">
      <c r="A2463" s="9" t="s">
        <v>3509</v>
      </c>
      <c r="B2463" s="2">
        <v>45316</v>
      </c>
      <c r="C2463" s="1" t="s">
        <v>150</v>
      </c>
      <c r="D2463" s="1" t="s">
        <v>67</v>
      </c>
      <c r="E2463" s="1" t="s">
        <v>59</v>
      </c>
      <c r="F2463" s="1" t="s">
        <v>99</v>
      </c>
      <c r="G2463" s="1" t="s">
        <v>42</v>
      </c>
      <c r="H2463" s="1" t="s">
        <v>61</v>
      </c>
      <c r="I2463" s="1" t="s">
        <v>151</v>
      </c>
      <c r="J2463" s="1">
        <v>6</v>
      </c>
      <c r="K2463" s="3">
        <v>9992.01</v>
      </c>
      <c r="L2463" s="1">
        <v>5</v>
      </c>
      <c r="M2463" s="1" t="s">
        <v>63</v>
      </c>
      <c r="N2463" s="10" t="s">
        <v>64</v>
      </c>
      <c r="Q2463"/>
    </row>
    <row r="2464" spans="1:17" x14ac:dyDescent="0.25">
      <c r="A2464" s="9" t="s">
        <v>3510</v>
      </c>
      <c r="B2464" s="2">
        <v>45591</v>
      </c>
      <c r="C2464" s="1" t="s">
        <v>3097</v>
      </c>
      <c r="D2464" s="1" t="s">
        <v>81</v>
      </c>
      <c r="E2464" s="1" t="s">
        <v>17</v>
      </c>
      <c r="F2464" s="1" t="s">
        <v>88</v>
      </c>
      <c r="G2464" s="1" t="s">
        <v>42</v>
      </c>
      <c r="H2464" s="1" t="s">
        <v>61</v>
      </c>
      <c r="I2464" s="1" t="s">
        <v>529</v>
      </c>
      <c r="J2464" s="1">
        <v>1</v>
      </c>
      <c r="K2464" s="3">
        <v>984.9</v>
      </c>
      <c r="L2464" s="1">
        <v>15</v>
      </c>
      <c r="M2464" s="1" t="s">
        <v>93</v>
      </c>
      <c r="N2464" s="10" t="s">
        <v>45</v>
      </c>
      <c r="Q2464"/>
    </row>
    <row r="2465" spans="1:17" x14ac:dyDescent="0.25">
      <c r="A2465" s="9" t="s">
        <v>3511</v>
      </c>
      <c r="B2465" s="2">
        <v>45190</v>
      </c>
      <c r="C2465" s="1" t="s">
        <v>1452</v>
      </c>
      <c r="D2465" s="1" t="s">
        <v>33</v>
      </c>
      <c r="E2465" s="1" t="s">
        <v>17</v>
      </c>
      <c r="F2465" s="1" t="s">
        <v>82</v>
      </c>
      <c r="G2465" s="1" t="s">
        <v>42</v>
      </c>
      <c r="H2465" s="1" t="s">
        <v>61</v>
      </c>
      <c r="I2465" s="1" t="s">
        <v>305</v>
      </c>
      <c r="J2465" s="1">
        <v>7</v>
      </c>
      <c r="K2465" s="3">
        <v>20294.27</v>
      </c>
      <c r="L2465" s="1">
        <v>5</v>
      </c>
      <c r="M2465" s="1" t="s">
        <v>36</v>
      </c>
      <c r="N2465" s="10" t="s">
        <v>37</v>
      </c>
      <c r="Q2465"/>
    </row>
    <row r="2466" spans="1:17" x14ac:dyDescent="0.25">
      <c r="A2466" s="9" t="s">
        <v>3512</v>
      </c>
      <c r="B2466" s="2">
        <v>45042</v>
      </c>
      <c r="C2466" s="1" t="s">
        <v>3513</v>
      </c>
      <c r="D2466" s="1" t="s">
        <v>87</v>
      </c>
      <c r="E2466" s="1" t="s">
        <v>17</v>
      </c>
      <c r="F2466" s="1" t="s">
        <v>99</v>
      </c>
      <c r="G2466" s="1" t="s">
        <v>53</v>
      </c>
      <c r="H2466" s="1" t="s">
        <v>54</v>
      </c>
      <c r="I2466" s="1" t="s">
        <v>1066</v>
      </c>
      <c r="J2466" s="1">
        <v>1</v>
      </c>
      <c r="K2466" s="3">
        <v>3494.48</v>
      </c>
      <c r="L2466" s="1">
        <v>0</v>
      </c>
      <c r="M2466" s="1" t="s">
        <v>93</v>
      </c>
      <c r="N2466" s="10" t="s">
        <v>37</v>
      </c>
      <c r="Q2466"/>
    </row>
    <row r="2467" spans="1:17" x14ac:dyDescent="0.25">
      <c r="A2467" s="9" t="s">
        <v>3514</v>
      </c>
      <c r="B2467" s="2">
        <v>45410</v>
      </c>
      <c r="C2467" s="1" t="s">
        <v>356</v>
      </c>
      <c r="D2467" s="1" t="s">
        <v>71</v>
      </c>
      <c r="E2467" s="1" t="s">
        <v>27</v>
      </c>
      <c r="F2467" s="1" t="s">
        <v>99</v>
      </c>
      <c r="G2467" s="1" t="s">
        <v>53</v>
      </c>
      <c r="H2467" s="1" t="s">
        <v>54</v>
      </c>
      <c r="I2467" s="1" t="s">
        <v>1334</v>
      </c>
      <c r="J2467" s="1">
        <v>5</v>
      </c>
      <c r="K2467" s="3">
        <v>20302.09</v>
      </c>
      <c r="L2467" s="1" t="s">
        <v>110</v>
      </c>
      <c r="M2467" s="1" t="s">
        <v>56</v>
      </c>
      <c r="N2467" s="10" t="s">
        <v>37</v>
      </c>
      <c r="Q2467"/>
    </row>
    <row r="2468" spans="1:17" x14ac:dyDescent="0.25">
      <c r="A2468" s="9" t="s">
        <v>3515</v>
      </c>
      <c r="B2468" s="2">
        <v>45101</v>
      </c>
      <c r="C2468" s="1" t="s">
        <v>364</v>
      </c>
      <c r="D2468" s="1" t="s">
        <v>26</v>
      </c>
      <c r="E2468" s="1" t="s">
        <v>34</v>
      </c>
      <c r="F2468" s="1" t="s">
        <v>99</v>
      </c>
      <c r="G2468" s="1" t="s">
        <v>19</v>
      </c>
      <c r="H2468" s="1" t="s">
        <v>29</v>
      </c>
      <c r="I2468" s="1" t="s">
        <v>135</v>
      </c>
      <c r="J2468" s="1">
        <v>2</v>
      </c>
      <c r="K2468" s="3">
        <v>8451.14</v>
      </c>
      <c r="L2468" s="1">
        <v>0</v>
      </c>
      <c r="M2468" s="1" t="s">
        <v>56</v>
      </c>
      <c r="N2468" s="10" t="s">
        <v>64</v>
      </c>
      <c r="Q2468"/>
    </row>
    <row r="2469" spans="1:17" x14ac:dyDescent="0.25">
      <c r="A2469" s="9" t="s">
        <v>3516</v>
      </c>
      <c r="B2469" s="2">
        <v>45500</v>
      </c>
      <c r="C2469" s="1" t="s">
        <v>156</v>
      </c>
      <c r="D2469" s="1" t="s">
        <v>71</v>
      </c>
      <c r="E2469" s="1" t="s">
        <v>72</v>
      </c>
      <c r="F2469" s="1" t="s">
        <v>28</v>
      </c>
      <c r="G2469" s="1" t="s">
        <v>83</v>
      </c>
      <c r="H2469" s="1" t="s">
        <v>43</v>
      </c>
      <c r="I2469" s="1" t="s">
        <v>652</v>
      </c>
      <c r="J2469" s="1">
        <v>8</v>
      </c>
      <c r="K2469" s="3">
        <v>29818.76</v>
      </c>
      <c r="L2469" s="1">
        <v>15</v>
      </c>
      <c r="M2469" s="1" t="s">
        <v>93</v>
      </c>
      <c r="N2469" s="10" t="s">
        <v>37</v>
      </c>
      <c r="Q2469"/>
    </row>
    <row r="2470" spans="1:17" x14ac:dyDescent="0.25">
      <c r="A2470" s="9" t="s">
        <v>3517</v>
      </c>
      <c r="B2470" s="2">
        <v>45053</v>
      </c>
      <c r="C2470" s="1" t="s">
        <v>666</v>
      </c>
      <c r="D2470" s="1" t="s">
        <v>71</v>
      </c>
      <c r="E2470" s="1" t="s">
        <v>17</v>
      </c>
      <c r="F2470" s="1" t="s">
        <v>82</v>
      </c>
      <c r="G2470" s="1" t="s">
        <v>42</v>
      </c>
      <c r="H2470" s="1" t="s">
        <v>43</v>
      </c>
      <c r="I2470" s="1" t="s">
        <v>488</v>
      </c>
      <c r="J2470" s="1">
        <v>1</v>
      </c>
      <c r="K2470" s="3">
        <v>4885.95</v>
      </c>
      <c r="L2470" s="1">
        <v>5</v>
      </c>
      <c r="M2470" s="1" t="s">
        <v>56</v>
      </c>
      <c r="N2470" s="10" t="s">
        <v>45</v>
      </c>
      <c r="Q2470"/>
    </row>
    <row r="2471" spans="1:17" x14ac:dyDescent="0.25">
      <c r="A2471" s="9" t="s">
        <v>3518</v>
      </c>
      <c r="B2471" s="2">
        <v>44977</v>
      </c>
      <c r="C2471" s="1" t="s">
        <v>3070</v>
      </c>
      <c r="D2471" s="1" t="s">
        <v>40</v>
      </c>
      <c r="E2471" s="1" t="s">
        <v>17</v>
      </c>
      <c r="F2471" s="1" t="s">
        <v>60</v>
      </c>
      <c r="G2471" s="1" t="s">
        <v>53</v>
      </c>
      <c r="H2471" s="1" t="s">
        <v>54</v>
      </c>
      <c r="I2471" s="1" t="s">
        <v>170</v>
      </c>
      <c r="J2471" s="1">
        <v>9</v>
      </c>
      <c r="K2471" s="3">
        <v>13023.09</v>
      </c>
      <c r="L2471" s="1">
        <v>5</v>
      </c>
      <c r="M2471" s="1" t="s">
        <v>93</v>
      </c>
      <c r="N2471" s="10" t="s">
        <v>64</v>
      </c>
      <c r="Q2471"/>
    </row>
    <row r="2472" spans="1:17" x14ac:dyDescent="0.25">
      <c r="A2472" s="9" t="s">
        <v>3519</v>
      </c>
      <c r="B2472" s="2">
        <v>45402</v>
      </c>
      <c r="C2472" s="1" t="s">
        <v>586</v>
      </c>
      <c r="D2472" s="1" t="s">
        <v>147</v>
      </c>
      <c r="E2472" s="1" t="s">
        <v>41</v>
      </c>
      <c r="F2472" s="1" t="s">
        <v>18</v>
      </c>
      <c r="G2472" s="1" t="s">
        <v>83</v>
      </c>
      <c r="H2472" s="1" t="s">
        <v>43</v>
      </c>
      <c r="I2472" s="1" t="s">
        <v>323</v>
      </c>
      <c r="J2472" s="1">
        <v>9</v>
      </c>
      <c r="K2472" s="3">
        <v>1699.22</v>
      </c>
      <c r="L2472" s="1">
        <v>20</v>
      </c>
      <c r="M2472" s="1" t="s">
        <v>22</v>
      </c>
      <c r="N2472" s="10" t="s">
        <v>74</v>
      </c>
      <c r="Q2472"/>
    </row>
    <row r="2473" spans="1:17" x14ac:dyDescent="0.25">
      <c r="A2473" s="9" t="s">
        <v>3520</v>
      </c>
      <c r="B2473" s="2">
        <v>45366</v>
      </c>
      <c r="C2473" s="1" t="s">
        <v>2249</v>
      </c>
      <c r="D2473" s="1" t="s">
        <v>52</v>
      </c>
      <c r="E2473" s="1" t="s">
        <v>17</v>
      </c>
      <c r="F2473" s="1" t="s">
        <v>82</v>
      </c>
      <c r="G2473" s="1" t="s">
        <v>19</v>
      </c>
      <c r="H2473" s="1" t="s">
        <v>20</v>
      </c>
      <c r="I2473" s="1" t="s">
        <v>130</v>
      </c>
      <c r="J2473" s="1">
        <v>9</v>
      </c>
      <c r="K2473" s="3">
        <v>44383.82</v>
      </c>
      <c r="L2473" s="1">
        <v>20</v>
      </c>
      <c r="M2473" s="1" t="s">
        <v>69</v>
      </c>
      <c r="N2473" s="10" t="s">
        <v>64</v>
      </c>
      <c r="Q2473"/>
    </row>
    <row r="2474" spans="1:17" x14ac:dyDescent="0.25">
      <c r="A2474" s="9" t="s">
        <v>3521</v>
      </c>
      <c r="B2474" s="2">
        <v>45149</v>
      </c>
      <c r="C2474" s="1" t="s">
        <v>1914</v>
      </c>
      <c r="D2474" s="1" t="s">
        <v>48</v>
      </c>
      <c r="E2474" s="1" t="s">
        <v>72</v>
      </c>
      <c r="F2474" s="1" t="s">
        <v>28</v>
      </c>
      <c r="G2474" s="1" t="s">
        <v>83</v>
      </c>
      <c r="H2474" s="1" t="s">
        <v>43</v>
      </c>
      <c r="I2474" s="1" t="s">
        <v>566</v>
      </c>
      <c r="J2474" s="1">
        <v>9</v>
      </c>
      <c r="K2474" s="3">
        <v>15935.85</v>
      </c>
      <c r="L2474" s="1">
        <v>10</v>
      </c>
      <c r="M2474" s="1" t="s">
        <v>63</v>
      </c>
      <c r="N2474" s="10" t="s">
        <v>64</v>
      </c>
      <c r="Q2474"/>
    </row>
    <row r="2475" spans="1:17" x14ac:dyDescent="0.25">
      <c r="A2475" s="9" t="s">
        <v>3522</v>
      </c>
      <c r="B2475" s="2">
        <v>45289</v>
      </c>
      <c r="C2475" s="1" t="s">
        <v>257</v>
      </c>
      <c r="D2475" s="1" t="s">
        <v>33</v>
      </c>
      <c r="E2475" s="1" t="s">
        <v>34</v>
      </c>
      <c r="F2475" s="1" t="s">
        <v>49</v>
      </c>
      <c r="G2475" s="1" t="s">
        <v>53</v>
      </c>
      <c r="H2475" s="1" t="s">
        <v>54</v>
      </c>
      <c r="I2475" s="1" t="s">
        <v>427</v>
      </c>
      <c r="J2475" s="1">
        <v>8</v>
      </c>
      <c r="K2475" s="3">
        <v>35119.019999999997</v>
      </c>
      <c r="L2475" s="1">
        <v>0</v>
      </c>
      <c r="M2475" s="1" t="s">
        <v>56</v>
      </c>
      <c r="N2475" s="10" t="s">
        <v>64</v>
      </c>
      <c r="Q2475"/>
    </row>
    <row r="2476" spans="1:17" x14ac:dyDescent="0.25">
      <c r="A2476" s="9" t="s">
        <v>3523</v>
      </c>
      <c r="B2476" s="2">
        <v>45530</v>
      </c>
      <c r="C2476" s="1" t="s">
        <v>741</v>
      </c>
      <c r="D2476" s="1" t="s">
        <v>16</v>
      </c>
      <c r="E2476" s="1" t="s">
        <v>72</v>
      </c>
      <c r="F2476" s="1" t="s">
        <v>88</v>
      </c>
      <c r="G2476" s="1" t="s">
        <v>19</v>
      </c>
      <c r="H2476" s="1" t="s">
        <v>29</v>
      </c>
      <c r="I2476" s="1" t="s">
        <v>452</v>
      </c>
      <c r="J2476" s="1">
        <v>6</v>
      </c>
      <c r="K2476" s="3">
        <v>1055.1300000000001</v>
      </c>
      <c r="L2476" s="1">
        <v>15</v>
      </c>
      <c r="M2476" s="1" t="s">
        <v>56</v>
      </c>
      <c r="N2476" s="10" t="s">
        <v>74</v>
      </c>
      <c r="Q2476"/>
    </row>
    <row r="2477" spans="1:17" x14ac:dyDescent="0.25">
      <c r="A2477" s="9" t="s">
        <v>3524</v>
      </c>
      <c r="B2477" s="2">
        <v>45352</v>
      </c>
      <c r="C2477" s="1" t="s">
        <v>379</v>
      </c>
      <c r="D2477" s="1" t="s">
        <v>16</v>
      </c>
      <c r="E2477" s="1" t="s">
        <v>27</v>
      </c>
      <c r="F2477" s="1" t="s">
        <v>60</v>
      </c>
      <c r="G2477" s="1" t="s">
        <v>42</v>
      </c>
      <c r="H2477" s="1" t="s">
        <v>43</v>
      </c>
      <c r="I2477" s="1" t="s">
        <v>274</v>
      </c>
      <c r="J2477" s="1">
        <v>1</v>
      </c>
      <c r="K2477" s="3">
        <v>3683.51</v>
      </c>
      <c r="L2477" s="1">
        <v>20</v>
      </c>
      <c r="M2477" s="1" t="s">
        <v>56</v>
      </c>
      <c r="N2477" s="10" t="s">
        <v>37</v>
      </c>
      <c r="Q2477"/>
    </row>
    <row r="2478" spans="1:17" x14ac:dyDescent="0.25">
      <c r="A2478" s="9" t="s">
        <v>3525</v>
      </c>
      <c r="B2478" s="2">
        <v>45388</v>
      </c>
      <c r="C2478" s="1" t="s">
        <v>184</v>
      </c>
      <c r="D2478" s="1" t="s">
        <v>81</v>
      </c>
      <c r="E2478" s="1" t="s">
        <v>27</v>
      </c>
      <c r="F2478" s="1" t="s">
        <v>82</v>
      </c>
      <c r="G2478" s="1" t="s">
        <v>19</v>
      </c>
      <c r="H2478" s="1" t="s">
        <v>20</v>
      </c>
      <c r="I2478" s="1" t="s">
        <v>280</v>
      </c>
      <c r="J2478" s="1">
        <v>4</v>
      </c>
      <c r="K2478" s="3">
        <v>13491.92</v>
      </c>
      <c r="L2478" s="1">
        <v>20</v>
      </c>
      <c r="M2478" s="1" t="s">
        <v>56</v>
      </c>
      <c r="N2478" s="10" t="s">
        <v>23</v>
      </c>
      <c r="Q2478"/>
    </row>
    <row r="2479" spans="1:17" x14ac:dyDescent="0.25">
      <c r="A2479" s="9" t="s">
        <v>3526</v>
      </c>
      <c r="B2479" s="2">
        <v>45051</v>
      </c>
      <c r="C2479" s="1" t="s">
        <v>891</v>
      </c>
      <c r="D2479" s="1" t="s">
        <v>40</v>
      </c>
      <c r="E2479" s="1" t="s">
        <v>59</v>
      </c>
      <c r="F2479" s="1" t="s">
        <v>18</v>
      </c>
      <c r="G2479" s="1" t="s">
        <v>42</v>
      </c>
      <c r="H2479" s="1" t="s">
        <v>43</v>
      </c>
      <c r="I2479" s="1" t="s">
        <v>182</v>
      </c>
      <c r="J2479" s="1">
        <v>3</v>
      </c>
      <c r="K2479" s="3">
        <v>6721.1</v>
      </c>
      <c r="L2479" s="1">
        <v>5</v>
      </c>
      <c r="M2479" s="1" t="s">
        <v>22</v>
      </c>
      <c r="N2479" s="10" t="s">
        <v>74</v>
      </c>
      <c r="Q2479"/>
    </row>
    <row r="2480" spans="1:17" x14ac:dyDescent="0.25">
      <c r="A2480" s="9" t="s">
        <v>3527</v>
      </c>
      <c r="B2480" s="2">
        <v>45382</v>
      </c>
      <c r="C2480" s="1" t="s">
        <v>2581</v>
      </c>
      <c r="D2480" s="1" t="s">
        <v>81</v>
      </c>
      <c r="E2480" s="1" t="s">
        <v>17</v>
      </c>
      <c r="F2480" s="1" t="s">
        <v>28</v>
      </c>
      <c r="G2480" s="1" t="s">
        <v>83</v>
      </c>
      <c r="H2480" s="1" t="s">
        <v>43</v>
      </c>
      <c r="I2480" s="1" t="s">
        <v>154</v>
      </c>
      <c r="J2480" s="1">
        <v>5</v>
      </c>
      <c r="K2480" s="3">
        <v>23867.37</v>
      </c>
      <c r="L2480" s="1">
        <v>5</v>
      </c>
      <c r="M2480" s="1" t="s">
        <v>63</v>
      </c>
      <c r="N2480" s="10" t="s">
        <v>45</v>
      </c>
      <c r="Q2480"/>
    </row>
    <row r="2481" spans="1:17" x14ac:dyDescent="0.25">
      <c r="A2481" s="9" t="s">
        <v>3528</v>
      </c>
      <c r="B2481" s="2">
        <v>44994</v>
      </c>
      <c r="C2481" s="1" t="s">
        <v>210</v>
      </c>
      <c r="D2481" s="1" t="s">
        <v>52</v>
      </c>
      <c r="E2481" s="1" t="s">
        <v>59</v>
      </c>
      <c r="F2481" s="1" t="s">
        <v>28</v>
      </c>
      <c r="G2481" s="1" t="s">
        <v>19</v>
      </c>
      <c r="H2481" s="1" t="s">
        <v>29</v>
      </c>
      <c r="I2481" s="1" t="s">
        <v>385</v>
      </c>
      <c r="J2481" s="1">
        <v>3</v>
      </c>
      <c r="K2481" s="3">
        <v>6504.45</v>
      </c>
      <c r="L2481" s="1" t="s">
        <v>110</v>
      </c>
      <c r="M2481" s="1" t="s">
        <v>36</v>
      </c>
      <c r="N2481" s="10" t="s">
        <v>45</v>
      </c>
      <c r="Q2481"/>
    </row>
    <row r="2482" spans="1:17" x14ac:dyDescent="0.25">
      <c r="A2482" s="9" t="s">
        <v>3529</v>
      </c>
      <c r="B2482" s="2">
        <v>45452</v>
      </c>
      <c r="C2482" s="1" t="s">
        <v>2749</v>
      </c>
      <c r="D2482" s="1" t="s">
        <v>52</v>
      </c>
      <c r="E2482" s="1" t="s">
        <v>72</v>
      </c>
      <c r="F2482" s="1" t="s">
        <v>99</v>
      </c>
      <c r="G2482" s="1" t="s">
        <v>19</v>
      </c>
      <c r="H2482" s="1" t="s">
        <v>20</v>
      </c>
      <c r="I2482" s="1" t="s">
        <v>176</v>
      </c>
      <c r="J2482" s="1">
        <v>3</v>
      </c>
      <c r="K2482" s="3">
        <v>961.04</v>
      </c>
      <c r="L2482" s="1">
        <v>10</v>
      </c>
      <c r="M2482" s="1" t="s">
        <v>69</v>
      </c>
      <c r="N2482" s="10" t="s">
        <v>64</v>
      </c>
      <c r="Q2482"/>
    </row>
    <row r="2483" spans="1:17" x14ac:dyDescent="0.25">
      <c r="A2483" s="9" t="s">
        <v>3530</v>
      </c>
      <c r="B2483" s="2">
        <v>45395</v>
      </c>
      <c r="C2483" s="1" t="s">
        <v>311</v>
      </c>
      <c r="D2483" s="1" t="s">
        <v>52</v>
      </c>
      <c r="E2483" s="1" t="s">
        <v>17</v>
      </c>
      <c r="F2483" s="1" t="s">
        <v>88</v>
      </c>
      <c r="G2483" s="1" t="s">
        <v>53</v>
      </c>
      <c r="H2483" s="1" t="s">
        <v>54</v>
      </c>
      <c r="I2483" s="1" t="s">
        <v>103</v>
      </c>
      <c r="J2483" s="1">
        <v>2</v>
      </c>
      <c r="K2483" s="3">
        <v>9152.0499999999993</v>
      </c>
      <c r="L2483" s="1">
        <v>15</v>
      </c>
      <c r="M2483" s="1" t="s">
        <v>36</v>
      </c>
      <c r="N2483" s="10" t="s">
        <v>37</v>
      </c>
      <c r="Q2483"/>
    </row>
    <row r="2484" spans="1:17" x14ac:dyDescent="0.25">
      <c r="A2484" s="9" t="s">
        <v>3531</v>
      </c>
      <c r="B2484" s="2">
        <v>45084</v>
      </c>
      <c r="C2484" s="1" t="s">
        <v>410</v>
      </c>
      <c r="D2484" s="1" t="s">
        <v>26</v>
      </c>
      <c r="E2484" s="1" t="s">
        <v>41</v>
      </c>
      <c r="F2484" s="1" t="s">
        <v>49</v>
      </c>
      <c r="G2484" s="1" t="s">
        <v>53</v>
      </c>
      <c r="H2484" s="1" t="s">
        <v>54</v>
      </c>
      <c r="I2484" s="1" t="s">
        <v>558</v>
      </c>
      <c r="J2484" s="1">
        <v>8</v>
      </c>
      <c r="K2484" s="3">
        <v>15081.88</v>
      </c>
      <c r="L2484" s="1">
        <v>5</v>
      </c>
      <c r="M2484" s="1" t="s">
        <v>93</v>
      </c>
      <c r="N2484" s="10" t="s">
        <v>37</v>
      </c>
      <c r="Q2484"/>
    </row>
    <row r="2485" spans="1:17" x14ac:dyDescent="0.25">
      <c r="A2485" s="9" t="s">
        <v>3532</v>
      </c>
      <c r="B2485" s="2">
        <v>45349</v>
      </c>
      <c r="C2485" s="1" t="s">
        <v>2401</v>
      </c>
      <c r="D2485" s="1" t="s">
        <v>67</v>
      </c>
      <c r="E2485" s="1" t="s">
        <v>41</v>
      </c>
      <c r="F2485" s="1" t="s">
        <v>60</v>
      </c>
      <c r="G2485" s="1" t="s">
        <v>19</v>
      </c>
      <c r="H2485" s="1" t="s">
        <v>20</v>
      </c>
      <c r="I2485" s="1" t="s">
        <v>130</v>
      </c>
      <c r="J2485" s="1">
        <v>9</v>
      </c>
      <c r="K2485" s="3">
        <v>1264.9100000000001</v>
      </c>
      <c r="L2485" s="1" t="s">
        <v>110</v>
      </c>
      <c r="M2485" s="1" t="s">
        <v>22</v>
      </c>
      <c r="N2485" s="10" t="s">
        <v>74</v>
      </c>
      <c r="Q2485"/>
    </row>
    <row r="2486" spans="1:17" x14ac:dyDescent="0.25">
      <c r="A2486" s="9" t="s">
        <v>3533</v>
      </c>
      <c r="B2486" s="2">
        <v>45396</v>
      </c>
      <c r="C2486" s="1" t="s">
        <v>2013</v>
      </c>
      <c r="D2486" s="1" t="s">
        <v>67</v>
      </c>
      <c r="E2486" s="1" t="s">
        <v>59</v>
      </c>
      <c r="F2486" s="1" t="s">
        <v>99</v>
      </c>
      <c r="G2486" s="1" t="s">
        <v>42</v>
      </c>
      <c r="H2486" s="1" t="s">
        <v>43</v>
      </c>
      <c r="I2486" s="1" t="s">
        <v>84</v>
      </c>
      <c r="J2486" s="1">
        <v>4</v>
      </c>
      <c r="K2486" s="3">
        <v>10600.44</v>
      </c>
      <c r="L2486" s="1">
        <v>10</v>
      </c>
      <c r="M2486" s="1" t="s">
        <v>36</v>
      </c>
      <c r="N2486" s="10" t="s">
        <v>64</v>
      </c>
      <c r="Q2486"/>
    </row>
    <row r="2487" spans="1:17" x14ac:dyDescent="0.25">
      <c r="A2487" s="9" t="s">
        <v>3534</v>
      </c>
      <c r="B2487" s="2">
        <v>45021</v>
      </c>
      <c r="C2487" s="1" t="s">
        <v>222</v>
      </c>
      <c r="D2487" s="1" t="s">
        <v>26</v>
      </c>
      <c r="E2487" s="1" t="s">
        <v>34</v>
      </c>
      <c r="F2487" s="1" t="s">
        <v>28</v>
      </c>
      <c r="G2487" s="1" t="s">
        <v>19</v>
      </c>
      <c r="H2487" s="1" t="s">
        <v>20</v>
      </c>
      <c r="I2487" s="1" t="s">
        <v>261</v>
      </c>
      <c r="J2487" s="1">
        <v>6</v>
      </c>
      <c r="K2487" s="3">
        <v>7727.8</v>
      </c>
      <c r="L2487" s="1">
        <v>5</v>
      </c>
      <c r="M2487" s="1" t="s">
        <v>36</v>
      </c>
      <c r="N2487" s="10" t="s">
        <v>45</v>
      </c>
      <c r="Q2487"/>
    </row>
    <row r="2488" spans="1:17" x14ac:dyDescent="0.25">
      <c r="A2488" s="9" t="s">
        <v>3535</v>
      </c>
      <c r="B2488" s="2">
        <v>45376</v>
      </c>
      <c r="C2488" s="1" t="s">
        <v>316</v>
      </c>
      <c r="D2488" s="1" t="s">
        <v>67</v>
      </c>
      <c r="E2488" s="1" t="s">
        <v>17</v>
      </c>
      <c r="F2488" s="1" t="s">
        <v>60</v>
      </c>
      <c r="G2488" s="1" t="s">
        <v>42</v>
      </c>
      <c r="H2488" s="1" t="s">
        <v>61</v>
      </c>
      <c r="I2488" s="1" t="s">
        <v>204</v>
      </c>
      <c r="J2488" s="1">
        <v>1</v>
      </c>
      <c r="K2488" s="3">
        <v>3858.95</v>
      </c>
      <c r="L2488" s="1">
        <v>10</v>
      </c>
      <c r="M2488" s="1" t="s">
        <v>56</v>
      </c>
      <c r="N2488" s="10" t="s">
        <v>37</v>
      </c>
      <c r="Q2488"/>
    </row>
    <row r="2489" spans="1:17" x14ac:dyDescent="0.25">
      <c r="A2489" s="9" t="s">
        <v>3536</v>
      </c>
      <c r="B2489" s="2">
        <v>45636</v>
      </c>
      <c r="C2489" s="1" t="s">
        <v>1799</v>
      </c>
      <c r="D2489" s="1" t="s">
        <v>147</v>
      </c>
      <c r="E2489" s="1" t="s">
        <v>59</v>
      </c>
      <c r="F2489" s="1" t="s">
        <v>49</v>
      </c>
      <c r="G2489" s="1" t="s">
        <v>42</v>
      </c>
      <c r="H2489" s="1" t="s">
        <v>43</v>
      </c>
      <c r="I2489" s="1" t="s">
        <v>380</v>
      </c>
      <c r="J2489" s="1">
        <v>7</v>
      </c>
      <c r="K2489" s="3">
        <v>5733.09</v>
      </c>
      <c r="L2489" s="1">
        <v>10</v>
      </c>
      <c r="M2489" s="1" t="s">
        <v>56</v>
      </c>
      <c r="N2489" s="10" t="s">
        <v>37</v>
      </c>
      <c r="Q2489"/>
    </row>
    <row r="2490" spans="1:17" x14ac:dyDescent="0.25">
      <c r="A2490" s="9" t="s">
        <v>3537</v>
      </c>
      <c r="B2490" s="2">
        <v>45416</v>
      </c>
      <c r="C2490" s="1" t="s">
        <v>3538</v>
      </c>
      <c r="D2490" s="1" t="s">
        <v>26</v>
      </c>
      <c r="E2490" s="1" t="s">
        <v>27</v>
      </c>
      <c r="F2490" s="1" t="s">
        <v>88</v>
      </c>
      <c r="G2490" s="1" t="s">
        <v>53</v>
      </c>
      <c r="H2490" s="1" t="s">
        <v>54</v>
      </c>
      <c r="I2490" s="1" t="s">
        <v>333</v>
      </c>
      <c r="J2490" s="1">
        <v>10</v>
      </c>
      <c r="K2490" s="3">
        <v>12043.89</v>
      </c>
      <c r="L2490" s="1">
        <v>0</v>
      </c>
      <c r="M2490" s="1" t="s">
        <v>22</v>
      </c>
      <c r="N2490" s="10" t="s">
        <v>31</v>
      </c>
      <c r="Q2490"/>
    </row>
    <row r="2491" spans="1:17" x14ac:dyDescent="0.25">
      <c r="A2491" s="9" t="s">
        <v>3539</v>
      </c>
      <c r="B2491" s="2">
        <v>44971</v>
      </c>
      <c r="C2491" s="1" t="s">
        <v>3540</v>
      </c>
      <c r="D2491" s="1" t="s">
        <v>48</v>
      </c>
      <c r="E2491" s="1" t="s">
        <v>59</v>
      </c>
      <c r="F2491" s="1" t="s">
        <v>49</v>
      </c>
      <c r="G2491" s="1" t="s">
        <v>19</v>
      </c>
      <c r="H2491" s="1" t="s">
        <v>29</v>
      </c>
      <c r="I2491" s="1" t="s">
        <v>148</v>
      </c>
      <c r="J2491" s="1">
        <v>8</v>
      </c>
      <c r="K2491" s="3">
        <v>7597.6</v>
      </c>
      <c r="L2491" s="1">
        <v>10</v>
      </c>
      <c r="M2491" s="1" t="s">
        <v>56</v>
      </c>
      <c r="N2491" s="10" t="s">
        <v>74</v>
      </c>
      <c r="Q2491"/>
    </row>
    <row r="2492" spans="1:17" x14ac:dyDescent="0.25">
      <c r="A2492" s="9" t="s">
        <v>3541</v>
      </c>
      <c r="B2492" s="2">
        <v>45243</v>
      </c>
      <c r="C2492" s="1" t="s">
        <v>2278</v>
      </c>
      <c r="D2492" s="1" t="s">
        <v>147</v>
      </c>
      <c r="E2492" s="1" t="s">
        <v>17</v>
      </c>
      <c r="F2492" s="1" t="s">
        <v>18</v>
      </c>
      <c r="G2492" s="1" t="s">
        <v>19</v>
      </c>
      <c r="H2492" s="1" t="s">
        <v>20</v>
      </c>
      <c r="I2492" s="1" t="s">
        <v>230</v>
      </c>
      <c r="J2492" s="1">
        <v>9</v>
      </c>
      <c r="K2492" s="3">
        <v>42456.23</v>
      </c>
      <c r="L2492" s="1">
        <v>20</v>
      </c>
      <c r="M2492" s="1" t="s">
        <v>22</v>
      </c>
      <c r="N2492" s="10" t="s">
        <v>37</v>
      </c>
      <c r="Q2492"/>
    </row>
    <row r="2493" spans="1:17" x14ac:dyDescent="0.25">
      <c r="A2493" s="9" t="s">
        <v>3542</v>
      </c>
      <c r="B2493" s="2">
        <v>45607</v>
      </c>
      <c r="C2493" s="1" t="s">
        <v>1900</v>
      </c>
      <c r="D2493" s="1" t="s">
        <v>436</v>
      </c>
      <c r="E2493" s="1" t="s">
        <v>34</v>
      </c>
      <c r="F2493" s="1" t="s">
        <v>88</v>
      </c>
      <c r="G2493" s="1" t="s">
        <v>83</v>
      </c>
      <c r="H2493" s="1" t="s">
        <v>43</v>
      </c>
      <c r="I2493" s="1" t="s">
        <v>494</v>
      </c>
      <c r="J2493" s="1">
        <v>9</v>
      </c>
      <c r="K2493" s="3">
        <v>35398.080000000002</v>
      </c>
      <c r="L2493" s="1">
        <v>15</v>
      </c>
      <c r="M2493" s="1" t="s">
        <v>36</v>
      </c>
      <c r="N2493" s="10" t="s">
        <v>74</v>
      </c>
      <c r="Q2493"/>
    </row>
    <row r="2494" spans="1:17" x14ac:dyDescent="0.25">
      <c r="A2494" s="9" t="s">
        <v>3543</v>
      </c>
      <c r="B2494" s="2">
        <v>44938</v>
      </c>
      <c r="C2494" s="1" t="s">
        <v>1788</v>
      </c>
      <c r="D2494" s="1" t="s">
        <v>16</v>
      </c>
      <c r="E2494" s="1" t="s">
        <v>27</v>
      </c>
      <c r="F2494" s="1" t="s">
        <v>88</v>
      </c>
      <c r="G2494" s="1" t="s">
        <v>42</v>
      </c>
      <c r="H2494" s="1" t="s">
        <v>43</v>
      </c>
      <c r="I2494" s="1" t="s">
        <v>494</v>
      </c>
      <c r="J2494" s="1">
        <v>-10</v>
      </c>
      <c r="K2494" s="3">
        <v>4382.34</v>
      </c>
      <c r="L2494" s="1">
        <v>15</v>
      </c>
      <c r="M2494" s="1" t="s">
        <v>63</v>
      </c>
      <c r="N2494" s="10" t="s">
        <v>31</v>
      </c>
      <c r="Q2494"/>
    </row>
    <row r="2495" spans="1:17" x14ac:dyDescent="0.25">
      <c r="A2495" s="9" t="s">
        <v>3544</v>
      </c>
      <c r="B2495" s="2">
        <v>45465</v>
      </c>
      <c r="C2495" s="1" t="s">
        <v>338</v>
      </c>
      <c r="D2495" s="1" t="s">
        <v>16</v>
      </c>
      <c r="E2495" s="1" t="s">
        <v>34</v>
      </c>
      <c r="F2495" s="1" t="s">
        <v>49</v>
      </c>
      <c r="G2495" s="1" t="s">
        <v>42</v>
      </c>
      <c r="H2495" s="1" t="s">
        <v>61</v>
      </c>
      <c r="I2495" s="1" t="s">
        <v>305</v>
      </c>
      <c r="J2495" s="1">
        <v>2</v>
      </c>
      <c r="K2495" s="3">
        <v>7087.29</v>
      </c>
      <c r="L2495" s="1">
        <v>0</v>
      </c>
      <c r="M2495" s="1" t="s">
        <v>69</v>
      </c>
      <c r="N2495" s="10" t="s">
        <v>64</v>
      </c>
      <c r="Q2495"/>
    </row>
    <row r="2496" spans="1:17" x14ac:dyDescent="0.25">
      <c r="A2496" s="9" t="s">
        <v>3545</v>
      </c>
      <c r="B2496" s="2">
        <v>45576</v>
      </c>
      <c r="C2496" s="1" t="s">
        <v>168</v>
      </c>
      <c r="D2496" s="1" t="s">
        <v>81</v>
      </c>
      <c r="E2496" s="1" t="s">
        <v>41</v>
      </c>
      <c r="F2496" s="1" t="s">
        <v>28</v>
      </c>
      <c r="G2496" s="1" t="s">
        <v>53</v>
      </c>
      <c r="H2496" s="1" t="s">
        <v>54</v>
      </c>
      <c r="I2496" s="1" t="s">
        <v>109</v>
      </c>
      <c r="J2496" s="1">
        <v>4</v>
      </c>
      <c r="K2496" s="3">
        <v>1339.5</v>
      </c>
      <c r="L2496" s="1">
        <v>10</v>
      </c>
      <c r="M2496" s="1" t="s">
        <v>69</v>
      </c>
      <c r="N2496" s="10" t="s">
        <v>74</v>
      </c>
      <c r="Q2496"/>
    </row>
    <row r="2497" spans="1:17" x14ac:dyDescent="0.25">
      <c r="A2497" s="9" t="s">
        <v>3546</v>
      </c>
      <c r="B2497" s="2">
        <v>45132</v>
      </c>
      <c r="C2497" s="1" t="s">
        <v>390</v>
      </c>
      <c r="D2497" s="1" t="s">
        <v>81</v>
      </c>
      <c r="E2497" s="1" t="s">
        <v>34</v>
      </c>
      <c r="F2497" s="1" t="s">
        <v>18</v>
      </c>
      <c r="G2497" s="1" t="s">
        <v>19</v>
      </c>
      <c r="H2497" s="1" t="s">
        <v>20</v>
      </c>
      <c r="I2497" s="1" t="s">
        <v>928</v>
      </c>
      <c r="J2497" s="1">
        <v>9</v>
      </c>
      <c r="K2497" s="3">
        <v>27135.45</v>
      </c>
      <c r="L2497" s="1">
        <v>15</v>
      </c>
      <c r="M2497" s="1" t="s">
        <v>69</v>
      </c>
      <c r="N2497" s="10" t="s">
        <v>37</v>
      </c>
      <c r="Q2497"/>
    </row>
    <row r="2498" spans="1:17" x14ac:dyDescent="0.25">
      <c r="A2498" s="9" t="s">
        <v>3547</v>
      </c>
      <c r="B2498" s="2">
        <v>45171</v>
      </c>
      <c r="C2498" s="1" t="s">
        <v>1458</v>
      </c>
      <c r="D2498" s="1" t="s">
        <v>33</v>
      </c>
      <c r="E2498" s="1" t="s">
        <v>27</v>
      </c>
      <c r="F2498" s="1" t="s">
        <v>60</v>
      </c>
      <c r="G2498" s="1" t="s">
        <v>42</v>
      </c>
      <c r="H2498" s="1" t="s">
        <v>61</v>
      </c>
      <c r="I2498" s="1" t="s">
        <v>632</v>
      </c>
      <c r="J2498" s="1">
        <v>9</v>
      </c>
      <c r="K2498" s="3">
        <v>43057.05</v>
      </c>
      <c r="L2498" s="1" t="s">
        <v>110</v>
      </c>
      <c r="M2498" s="1" t="s">
        <v>63</v>
      </c>
      <c r="N2498" s="10" t="s">
        <v>64</v>
      </c>
      <c r="Q2498"/>
    </row>
    <row r="2499" spans="1:17" x14ac:dyDescent="0.25">
      <c r="A2499" s="9" t="s">
        <v>3548</v>
      </c>
      <c r="B2499" s="2">
        <v>45067</v>
      </c>
      <c r="C2499" s="1" t="s">
        <v>2080</v>
      </c>
      <c r="D2499" s="1" t="s">
        <v>52</v>
      </c>
      <c r="E2499" s="1" t="s">
        <v>34</v>
      </c>
      <c r="F2499" s="1" t="s">
        <v>60</v>
      </c>
      <c r="G2499" s="1" t="s">
        <v>83</v>
      </c>
      <c r="H2499" s="1" t="s">
        <v>43</v>
      </c>
      <c r="I2499" s="1" t="s">
        <v>704</v>
      </c>
      <c r="J2499" s="1">
        <v>8</v>
      </c>
      <c r="K2499" s="3">
        <v>37685.1</v>
      </c>
      <c r="L2499" s="1">
        <v>10</v>
      </c>
      <c r="M2499" s="1" t="s">
        <v>36</v>
      </c>
      <c r="N2499" s="10" t="s">
        <v>74</v>
      </c>
      <c r="Q2499"/>
    </row>
    <row r="2500" spans="1:17" x14ac:dyDescent="0.25">
      <c r="A2500" s="9" t="s">
        <v>3549</v>
      </c>
      <c r="B2500" s="2">
        <v>45152</v>
      </c>
      <c r="C2500" s="1" t="s">
        <v>3550</v>
      </c>
      <c r="D2500" s="1" t="s">
        <v>52</v>
      </c>
      <c r="E2500" s="1" t="s">
        <v>34</v>
      </c>
      <c r="F2500" s="1" t="s">
        <v>18</v>
      </c>
      <c r="G2500" s="1" t="s">
        <v>53</v>
      </c>
      <c r="H2500" s="1" t="s">
        <v>54</v>
      </c>
      <c r="I2500" s="1" t="s">
        <v>1272</v>
      </c>
      <c r="J2500" s="1">
        <v>7</v>
      </c>
      <c r="K2500" s="3">
        <v>31563.040000000001</v>
      </c>
      <c r="L2500" s="1">
        <v>5</v>
      </c>
      <c r="M2500" s="1" t="s">
        <v>56</v>
      </c>
      <c r="N2500" s="10" t="s">
        <v>45</v>
      </c>
      <c r="Q2500"/>
    </row>
    <row r="2501" spans="1:17" x14ac:dyDescent="0.25">
      <c r="A2501" s="9" t="s">
        <v>3551</v>
      </c>
      <c r="B2501" s="2">
        <v>45274</v>
      </c>
      <c r="C2501" s="1" t="s">
        <v>278</v>
      </c>
      <c r="D2501" s="1" t="s">
        <v>147</v>
      </c>
      <c r="E2501" s="1" t="s">
        <v>27</v>
      </c>
      <c r="F2501" s="1" t="s">
        <v>82</v>
      </c>
      <c r="G2501" s="1" t="s">
        <v>83</v>
      </c>
      <c r="H2501" s="1" t="s">
        <v>43</v>
      </c>
      <c r="I2501" s="1" t="s">
        <v>494</v>
      </c>
      <c r="J2501" s="1">
        <v>4</v>
      </c>
      <c r="K2501" s="3">
        <v>16686.87</v>
      </c>
      <c r="L2501" s="1">
        <v>15</v>
      </c>
      <c r="M2501" s="1" t="s">
        <v>63</v>
      </c>
      <c r="N2501" s="10" t="s">
        <v>23</v>
      </c>
      <c r="Q2501"/>
    </row>
    <row r="2502" spans="1:17" x14ac:dyDescent="0.25">
      <c r="A2502" s="9" t="s">
        <v>3552</v>
      </c>
      <c r="B2502" s="2">
        <v>45008</v>
      </c>
      <c r="C2502" s="1" t="s">
        <v>625</v>
      </c>
      <c r="D2502" s="1" t="s">
        <v>81</v>
      </c>
      <c r="E2502" s="1" t="s">
        <v>17</v>
      </c>
      <c r="F2502" s="1" t="s">
        <v>99</v>
      </c>
      <c r="G2502" s="1" t="s">
        <v>53</v>
      </c>
      <c r="H2502" s="1" t="s">
        <v>54</v>
      </c>
      <c r="I2502" s="1" t="s">
        <v>121</v>
      </c>
      <c r="J2502" s="1">
        <v>3</v>
      </c>
      <c r="K2502" s="3">
        <v>2440.71</v>
      </c>
      <c r="L2502" s="1" t="s">
        <v>110</v>
      </c>
      <c r="M2502" s="1" t="s">
        <v>63</v>
      </c>
      <c r="N2502" s="10" t="s">
        <v>64</v>
      </c>
      <c r="Q2502"/>
    </row>
    <row r="2503" spans="1:17" x14ac:dyDescent="0.25">
      <c r="A2503" s="9" t="s">
        <v>3553</v>
      </c>
      <c r="B2503" s="2">
        <v>45091</v>
      </c>
      <c r="C2503" s="1" t="s">
        <v>3554</v>
      </c>
      <c r="D2503" s="1" t="s">
        <v>399</v>
      </c>
      <c r="E2503" s="1" t="s">
        <v>27</v>
      </c>
      <c r="F2503" s="1" t="s">
        <v>28</v>
      </c>
      <c r="G2503" s="1" t="s">
        <v>83</v>
      </c>
      <c r="H2503" s="1" t="s">
        <v>43</v>
      </c>
      <c r="I2503" s="1" t="s">
        <v>572</v>
      </c>
      <c r="J2503" s="1">
        <v>7</v>
      </c>
      <c r="K2503" s="3">
        <v>19582.57</v>
      </c>
      <c r="L2503" s="1">
        <v>10</v>
      </c>
      <c r="M2503" s="1" t="s">
        <v>56</v>
      </c>
      <c r="N2503" s="10" t="s">
        <v>74</v>
      </c>
      <c r="Q2503"/>
    </row>
    <row r="2504" spans="1:17" x14ac:dyDescent="0.25">
      <c r="A2504" s="9" t="s">
        <v>3555</v>
      </c>
      <c r="B2504" s="2">
        <v>45602</v>
      </c>
      <c r="C2504" s="1" t="s">
        <v>1411</v>
      </c>
      <c r="D2504" s="1" t="s">
        <v>67</v>
      </c>
      <c r="E2504" s="1" t="s">
        <v>59</v>
      </c>
      <c r="F2504" s="1" t="s">
        <v>28</v>
      </c>
      <c r="G2504" s="1" t="s">
        <v>83</v>
      </c>
      <c r="H2504" s="1" t="s">
        <v>43</v>
      </c>
      <c r="I2504" s="1" t="s">
        <v>154</v>
      </c>
      <c r="J2504" s="1">
        <v>6</v>
      </c>
      <c r="K2504" s="3">
        <v>1428.2</v>
      </c>
      <c r="L2504" s="1">
        <v>10</v>
      </c>
      <c r="M2504" s="1" t="s">
        <v>22</v>
      </c>
      <c r="N2504" s="10" t="s">
        <v>45</v>
      </c>
      <c r="Q2504"/>
    </row>
    <row r="2505" spans="1:17" x14ac:dyDescent="0.25">
      <c r="A2505" s="9" t="s">
        <v>3556</v>
      </c>
      <c r="B2505" s="2">
        <v>45507</v>
      </c>
      <c r="C2505" s="1" t="s">
        <v>241</v>
      </c>
      <c r="D2505" s="1" t="s">
        <v>147</v>
      </c>
      <c r="E2505" s="1" t="s">
        <v>27</v>
      </c>
      <c r="F2505" s="1" t="s">
        <v>60</v>
      </c>
      <c r="G2505" s="1" t="s">
        <v>42</v>
      </c>
      <c r="H2505" s="1" t="s">
        <v>61</v>
      </c>
      <c r="I2505" s="1" t="s">
        <v>250</v>
      </c>
      <c r="J2505" s="1">
        <v>8</v>
      </c>
      <c r="K2505" s="3">
        <v>21813.47</v>
      </c>
      <c r="L2505" s="1" t="s">
        <v>110</v>
      </c>
      <c r="M2505" s="1" t="s">
        <v>36</v>
      </c>
      <c r="N2505" s="10" t="s">
        <v>31</v>
      </c>
      <c r="Q2505"/>
    </row>
    <row r="2506" spans="1:17" x14ac:dyDescent="0.25">
      <c r="A2506" s="9" t="s">
        <v>3557</v>
      </c>
      <c r="B2506" s="2">
        <v>45162</v>
      </c>
      <c r="C2506" s="1" t="s">
        <v>3558</v>
      </c>
      <c r="D2506" s="1" t="s">
        <v>52</v>
      </c>
      <c r="E2506" s="1" t="s">
        <v>59</v>
      </c>
      <c r="F2506" s="1" t="s">
        <v>88</v>
      </c>
      <c r="G2506" s="1" t="s">
        <v>19</v>
      </c>
      <c r="H2506" s="1" t="s">
        <v>29</v>
      </c>
      <c r="I2506" s="1" t="s">
        <v>124</v>
      </c>
      <c r="J2506" s="1">
        <v>1</v>
      </c>
      <c r="K2506" s="3">
        <v>3041.8</v>
      </c>
      <c r="L2506" s="1" t="s">
        <v>110</v>
      </c>
      <c r="M2506" s="1" t="s">
        <v>63</v>
      </c>
      <c r="N2506" s="10" t="s">
        <v>74</v>
      </c>
      <c r="Q2506"/>
    </row>
    <row r="2507" spans="1:17" x14ac:dyDescent="0.25">
      <c r="A2507" s="9" t="s">
        <v>3559</v>
      </c>
      <c r="B2507" s="2">
        <v>45406</v>
      </c>
      <c r="C2507" s="1" t="s">
        <v>1101</v>
      </c>
      <c r="D2507" s="1" t="s">
        <v>16</v>
      </c>
      <c r="E2507" s="1" t="s">
        <v>59</v>
      </c>
      <c r="F2507" s="1" t="s">
        <v>49</v>
      </c>
      <c r="G2507" s="1" t="s">
        <v>53</v>
      </c>
      <c r="H2507" s="1" t="s">
        <v>54</v>
      </c>
      <c r="I2507" s="1" t="s">
        <v>639</v>
      </c>
      <c r="J2507" s="1">
        <v>1</v>
      </c>
      <c r="K2507" s="3">
        <v>200.52</v>
      </c>
      <c r="L2507" s="1">
        <v>5</v>
      </c>
      <c r="M2507" s="1" t="s">
        <v>22</v>
      </c>
      <c r="N2507" s="10" t="s">
        <v>23</v>
      </c>
      <c r="Q2507"/>
    </row>
    <row r="2508" spans="1:17" x14ac:dyDescent="0.25">
      <c r="A2508" s="9" t="s">
        <v>3560</v>
      </c>
      <c r="B2508" s="2">
        <v>45095</v>
      </c>
      <c r="C2508" s="1" t="s">
        <v>729</v>
      </c>
      <c r="D2508" s="1" t="s">
        <v>147</v>
      </c>
      <c r="E2508" s="1" t="s">
        <v>41</v>
      </c>
      <c r="F2508" s="1" t="s">
        <v>18</v>
      </c>
      <c r="G2508" s="1" t="s">
        <v>53</v>
      </c>
      <c r="H2508" s="1" t="s">
        <v>54</v>
      </c>
      <c r="I2508" s="1" t="s">
        <v>479</v>
      </c>
      <c r="J2508" s="1">
        <v>8</v>
      </c>
      <c r="K2508" s="3">
        <v>34031.22</v>
      </c>
      <c r="L2508" s="1">
        <v>15</v>
      </c>
      <c r="M2508" s="1" t="s">
        <v>56</v>
      </c>
      <c r="N2508" s="10" t="s">
        <v>37</v>
      </c>
      <c r="Q2508"/>
    </row>
    <row r="2509" spans="1:17" x14ac:dyDescent="0.25">
      <c r="A2509" s="9" t="s">
        <v>3561</v>
      </c>
      <c r="B2509" s="2">
        <v>44968</v>
      </c>
      <c r="C2509" s="1" t="s">
        <v>2013</v>
      </c>
      <c r="D2509" s="1" t="s">
        <v>87</v>
      </c>
      <c r="E2509" s="1" t="s">
        <v>72</v>
      </c>
      <c r="F2509" s="1" t="s">
        <v>18</v>
      </c>
      <c r="G2509" s="1" t="s">
        <v>42</v>
      </c>
      <c r="H2509" s="1" t="s">
        <v>61</v>
      </c>
      <c r="I2509" s="1" t="s">
        <v>357</v>
      </c>
      <c r="J2509" s="1">
        <v>8</v>
      </c>
      <c r="K2509" s="3">
        <v>24649.81</v>
      </c>
      <c r="L2509" s="1">
        <v>15</v>
      </c>
      <c r="M2509" s="1" t="s">
        <v>69</v>
      </c>
      <c r="N2509" s="10" t="s">
        <v>37</v>
      </c>
      <c r="Q2509"/>
    </row>
    <row r="2510" spans="1:17" x14ac:dyDescent="0.25">
      <c r="A2510" s="9" t="s">
        <v>3562</v>
      </c>
      <c r="B2510" s="2">
        <v>45026</v>
      </c>
      <c r="C2510" s="1" t="s">
        <v>233</v>
      </c>
      <c r="D2510" s="1" t="s">
        <v>81</v>
      </c>
      <c r="E2510" s="1" t="s">
        <v>72</v>
      </c>
      <c r="F2510" s="1" t="s">
        <v>82</v>
      </c>
      <c r="G2510" s="1" t="s">
        <v>19</v>
      </c>
      <c r="H2510" s="1" t="s">
        <v>29</v>
      </c>
      <c r="I2510" s="1" t="s">
        <v>472</v>
      </c>
      <c r="J2510" s="1">
        <v>9</v>
      </c>
      <c r="K2510" s="3">
        <v>25142.12</v>
      </c>
      <c r="L2510" s="1">
        <v>10</v>
      </c>
      <c r="M2510" s="1" t="s">
        <v>69</v>
      </c>
      <c r="N2510" s="10" t="s">
        <v>64</v>
      </c>
      <c r="Q2510"/>
    </row>
    <row r="2511" spans="1:17" x14ac:dyDescent="0.25">
      <c r="A2511" s="9" t="s">
        <v>3563</v>
      </c>
      <c r="B2511" s="2">
        <v>45155</v>
      </c>
      <c r="C2511" s="1" t="s">
        <v>1428</v>
      </c>
      <c r="D2511" s="1" t="s">
        <v>40</v>
      </c>
      <c r="E2511" s="1" t="s">
        <v>34</v>
      </c>
      <c r="F2511" s="1" t="s">
        <v>82</v>
      </c>
      <c r="G2511" s="1" t="s">
        <v>19</v>
      </c>
      <c r="H2511" s="1" t="s">
        <v>20</v>
      </c>
      <c r="I2511" s="1" t="s">
        <v>801</v>
      </c>
      <c r="J2511" s="1">
        <v>2</v>
      </c>
      <c r="K2511" s="3">
        <v>4623.5600000000004</v>
      </c>
      <c r="L2511" s="1">
        <v>10</v>
      </c>
      <c r="M2511" s="1" t="s">
        <v>56</v>
      </c>
      <c r="N2511" s="10" t="s">
        <v>64</v>
      </c>
      <c r="Q2511"/>
    </row>
    <row r="2512" spans="1:17" x14ac:dyDescent="0.25">
      <c r="A2512" s="9" t="s">
        <v>3564</v>
      </c>
      <c r="B2512" s="2">
        <v>45075</v>
      </c>
      <c r="C2512" s="1" t="s">
        <v>129</v>
      </c>
      <c r="D2512" s="1" t="s">
        <v>87</v>
      </c>
      <c r="E2512" s="1" t="s">
        <v>59</v>
      </c>
      <c r="F2512" s="1" t="s">
        <v>28</v>
      </c>
      <c r="G2512" s="1" t="s">
        <v>19</v>
      </c>
      <c r="H2512" s="1" t="s">
        <v>29</v>
      </c>
      <c r="I2512" s="1" t="s">
        <v>141</v>
      </c>
      <c r="J2512" s="1">
        <v>1</v>
      </c>
      <c r="K2512" s="3">
        <v>1737.02</v>
      </c>
      <c r="L2512" s="1">
        <v>15</v>
      </c>
      <c r="M2512" s="1" t="s">
        <v>69</v>
      </c>
      <c r="N2512" s="10" t="s">
        <v>64</v>
      </c>
      <c r="Q2512"/>
    </row>
    <row r="2513" spans="1:17" x14ac:dyDescent="0.25">
      <c r="A2513" s="9" t="s">
        <v>3565</v>
      </c>
      <c r="B2513" s="2">
        <v>45284</v>
      </c>
      <c r="C2513" s="1" t="s">
        <v>278</v>
      </c>
      <c r="D2513" s="1" t="s">
        <v>378</v>
      </c>
      <c r="E2513" s="1" t="s">
        <v>72</v>
      </c>
      <c r="F2513" s="1" t="s">
        <v>82</v>
      </c>
      <c r="G2513" s="1" t="s">
        <v>53</v>
      </c>
      <c r="H2513" s="1" t="s">
        <v>54</v>
      </c>
      <c r="I2513" s="1" t="s">
        <v>333</v>
      </c>
      <c r="J2513" s="1">
        <v>3</v>
      </c>
      <c r="K2513" s="3">
        <v>4107.51</v>
      </c>
      <c r="L2513" s="1">
        <v>10</v>
      </c>
      <c r="M2513" s="1" t="s">
        <v>22</v>
      </c>
      <c r="N2513" s="10" t="s">
        <v>64</v>
      </c>
      <c r="Q2513"/>
    </row>
    <row r="2514" spans="1:17" x14ac:dyDescent="0.25">
      <c r="A2514" s="9" t="s">
        <v>3566</v>
      </c>
      <c r="B2514" s="2">
        <v>45011</v>
      </c>
      <c r="C2514" s="1" t="s">
        <v>1485</v>
      </c>
      <c r="D2514" s="1" t="s">
        <v>67</v>
      </c>
      <c r="E2514" s="1" t="s">
        <v>59</v>
      </c>
      <c r="F2514" s="1" t="s">
        <v>99</v>
      </c>
      <c r="G2514" s="1" t="s">
        <v>42</v>
      </c>
      <c r="H2514" s="1" t="s">
        <v>43</v>
      </c>
      <c r="I2514" s="1" t="s">
        <v>100</v>
      </c>
      <c r="J2514" s="1">
        <v>4</v>
      </c>
      <c r="K2514" s="3">
        <v>14994.89</v>
      </c>
      <c r="L2514" s="1">
        <v>20</v>
      </c>
      <c r="M2514" s="1" t="s">
        <v>69</v>
      </c>
      <c r="N2514" s="10" t="s">
        <v>64</v>
      </c>
      <c r="Q2514"/>
    </row>
    <row r="2515" spans="1:17" x14ac:dyDescent="0.25">
      <c r="A2515" s="9" t="s">
        <v>3567</v>
      </c>
      <c r="B2515" s="2">
        <v>45069</v>
      </c>
      <c r="C2515" s="1" t="s">
        <v>1806</v>
      </c>
      <c r="D2515" s="1" t="s">
        <v>40</v>
      </c>
      <c r="E2515" s="1" t="s">
        <v>27</v>
      </c>
      <c r="F2515" s="1" t="s">
        <v>49</v>
      </c>
      <c r="G2515" s="1" t="s">
        <v>42</v>
      </c>
      <c r="H2515" s="1" t="s">
        <v>61</v>
      </c>
      <c r="I2515" s="1" t="s">
        <v>317</v>
      </c>
      <c r="J2515" s="1">
        <v>3</v>
      </c>
      <c r="K2515" s="3">
        <v>14164.13</v>
      </c>
      <c r="L2515" s="1" t="s">
        <v>110</v>
      </c>
      <c r="M2515" s="1" t="s">
        <v>22</v>
      </c>
      <c r="N2515" s="10" t="s">
        <v>37</v>
      </c>
      <c r="Q2515"/>
    </row>
    <row r="2516" spans="1:17" x14ac:dyDescent="0.25">
      <c r="A2516" s="9" t="s">
        <v>3568</v>
      </c>
      <c r="B2516" s="2">
        <v>45424</v>
      </c>
      <c r="C2516" s="1" t="s">
        <v>2205</v>
      </c>
      <c r="D2516" s="1" t="s">
        <v>40</v>
      </c>
      <c r="E2516" s="1" t="s">
        <v>27</v>
      </c>
      <c r="F2516" s="1" t="s">
        <v>18</v>
      </c>
      <c r="G2516" s="1" t="s">
        <v>83</v>
      </c>
      <c r="H2516" s="1" t="s">
        <v>43</v>
      </c>
      <c r="I2516" s="1" t="s">
        <v>488</v>
      </c>
      <c r="J2516" s="1">
        <v>8</v>
      </c>
      <c r="K2516" s="3">
        <v>31805.279999999999</v>
      </c>
      <c r="L2516" s="1">
        <v>15</v>
      </c>
      <c r="M2516" s="1" t="s">
        <v>93</v>
      </c>
      <c r="N2516" s="10" t="s">
        <v>31</v>
      </c>
      <c r="Q2516"/>
    </row>
    <row r="2517" spans="1:17" x14ac:dyDescent="0.25">
      <c r="A2517" s="9" t="s">
        <v>3569</v>
      </c>
      <c r="B2517" s="2">
        <v>45642</v>
      </c>
      <c r="C2517" s="1" t="s">
        <v>229</v>
      </c>
      <c r="D2517" s="1" t="s">
        <v>26</v>
      </c>
      <c r="E2517" s="1" t="s">
        <v>27</v>
      </c>
      <c r="F2517" s="1" t="s">
        <v>18</v>
      </c>
      <c r="G2517" s="1" t="s">
        <v>83</v>
      </c>
      <c r="H2517" s="1" t="s">
        <v>43</v>
      </c>
      <c r="I2517" s="1" t="s">
        <v>566</v>
      </c>
      <c r="J2517" s="1">
        <v>5</v>
      </c>
      <c r="K2517" s="3">
        <v>3194.97</v>
      </c>
      <c r="L2517" s="1">
        <v>15</v>
      </c>
      <c r="M2517" s="1" t="s">
        <v>56</v>
      </c>
      <c r="N2517" s="10" t="s">
        <v>31</v>
      </c>
      <c r="Q2517"/>
    </row>
    <row r="2518" spans="1:17" x14ac:dyDescent="0.25">
      <c r="A2518" s="9" t="s">
        <v>3570</v>
      </c>
      <c r="B2518" s="2">
        <v>44954</v>
      </c>
      <c r="C2518" s="1" t="s">
        <v>1306</v>
      </c>
      <c r="D2518" s="1" t="s">
        <v>81</v>
      </c>
      <c r="E2518" s="1" t="s">
        <v>17</v>
      </c>
      <c r="F2518" s="1" t="s">
        <v>18</v>
      </c>
      <c r="G2518" s="1" t="s">
        <v>83</v>
      </c>
      <c r="H2518" s="1" t="s">
        <v>43</v>
      </c>
      <c r="I2518" s="1" t="s">
        <v>704</v>
      </c>
      <c r="J2518" s="1">
        <v>1</v>
      </c>
      <c r="K2518" s="3">
        <v>380.02</v>
      </c>
      <c r="L2518" s="1">
        <v>20</v>
      </c>
      <c r="M2518" s="1" t="s">
        <v>56</v>
      </c>
      <c r="N2518" s="10" t="s">
        <v>23</v>
      </c>
      <c r="Q2518"/>
    </row>
    <row r="2519" spans="1:17" x14ac:dyDescent="0.25">
      <c r="A2519" s="9" t="s">
        <v>3571</v>
      </c>
      <c r="B2519" s="2">
        <v>45069</v>
      </c>
      <c r="C2519" s="1" t="s">
        <v>1214</v>
      </c>
      <c r="D2519" s="1" t="s">
        <v>52</v>
      </c>
      <c r="E2519" s="1" t="s">
        <v>34</v>
      </c>
      <c r="F2519" s="1" t="s">
        <v>60</v>
      </c>
      <c r="G2519" s="1" t="s">
        <v>83</v>
      </c>
      <c r="H2519" s="1" t="s">
        <v>43</v>
      </c>
      <c r="I2519" s="1" t="s">
        <v>652</v>
      </c>
      <c r="J2519" s="1">
        <v>9</v>
      </c>
      <c r="K2519" s="3">
        <v>23580.52</v>
      </c>
      <c r="L2519" s="1">
        <v>10</v>
      </c>
      <c r="M2519" s="1" t="s">
        <v>93</v>
      </c>
      <c r="N2519" s="10" t="s">
        <v>74</v>
      </c>
      <c r="Q2519"/>
    </row>
    <row r="2520" spans="1:17" x14ac:dyDescent="0.25">
      <c r="A2520" s="9" t="s">
        <v>3572</v>
      </c>
      <c r="B2520" s="2">
        <v>45595</v>
      </c>
      <c r="C2520" s="1" t="s">
        <v>1135</v>
      </c>
      <c r="D2520" s="1" t="s">
        <v>87</v>
      </c>
      <c r="E2520" s="1" t="s">
        <v>34</v>
      </c>
      <c r="F2520" s="1" t="s">
        <v>99</v>
      </c>
      <c r="G2520" s="1" t="s">
        <v>19</v>
      </c>
      <c r="H2520" s="1" t="s">
        <v>20</v>
      </c>
      <c r="I2520" s="1" t="s">
        <v>801</v>
      </c>
      <c r="J2520" s="1">
        <v>6</v>
      </c>
      <c r="K2520" s="3">
        <v>13662.24</v>
      </c>
      <c r="L2520" s="1" t="s">
        <v>110</v>
      </c>
      <c r="M2520" s="1" t="s">
        <v>93</v>
      </c>
      <c r="N2520" s="10" t="s">
        <v>23</v>
      </c>
      <c r="Q2520"/>
    </row>
    <row r="2521" spans="1:17" x14ac:dyDescent="0.25">
      <c r="A2521" s="9" t="s">
        <v>3573</v>
      </c>
      <c r="B2521" s="2">
        <v>45350</v>
      </c>
      <c r="C2521" s="1" t="s">
        <v>887</v>
      </c>
      <c r="D2521" s="1" t="s">
        <v>16</v>
      </c>
      <c r="E2521" s="1" t="s">
        <v>34</v>
      </c>
      <c r="F2521" s="1" t="s">
        <v>49</v>
      </c>
      <c r="G2521" s="1" t="s">
        <v>19</v>
      </c>
      <c r="H2521" s="1" t="s">
        <v>20</v>
      </c>
      <c r="I2521" s="1" t="s">
        <v>187</v>
      </c>
      <c r="J2521" s="1">
        <v>1</v>
      </c>
      <c r="K2521" s="3">
        <v>3354.28</v>
      </c>
      <c r="L2521" s="1">
        <v>0</v>
      </c>
      <c r="M2521" s="1" t="s">
        <v>63</v>
      </c>
      <c r="N2521" s="10" t="s">
        <v>23</v>
      </c>
      <c r="Q2521"/>
    </row>
    <row r="2522" spans="1:17" x14ac:dyDescent="0.25">
      <c r="A2522" s="9" t="s">
        <v>3574</v>
      </c>
      <c r="B2522" s="2">
        <v>45563</v>
      </c>
      <c r="C2522" s="1" t="s">
        <v>3453</v>
      </c>
      <c r="D2522" s="1" t="s">
        <v>71</v>
      </c>
      <c r="E2522" s="1" t="s">
        <v>17</v>
      </c>
      <c r="F2522" s="1" t="s">
        <v>82</v>
      </c>
      <c r="G2522" s="1" t="s">
        <v>42</v>
      </c>
      <c r="H2522" s="1" t="s">
        <v>61</v>
      </c>
      <c r="I2522" s="1" t="s">
        <v>185</v>
      </c>
      <c r="J2522" s="1">
        <v>8</v>
      </c>
      <c r="K2522" s="3">
        <v>38104.29</v>
      </c>
      <c r="L2522" s="1">
        <v>10</v>
      </c>
      <c r="M2522" s="1" t="s">
        <v>22</v>
      </c>
      <c r="N2522" s="10" t="s">
        <v>64</v>
      </c>
      <c r="Q2522"/>
    </row>
    <row r="2523" spans="1:17" x14ac:dyDescent="0.25">
      <c r="A2523" s="9" t="s">
        <v>3575</v>
      </c>
      <c r="B2523" s="2">
        <v>45070</v>
      </c>
      <c r="C2523" s="1" t="s">
        <v>102</v>
      </c>
      <c r="D2523" s="1" t="s">
        <v>71</v>
      </c>
      <c r="E2523" s="1" t="s">
        <v>27</v>
      </c>
      <c r="F2523" s="1" t="s">
        <v>49</v>
      </c>
      <c r="G2523" s="1" t="s">
        <v>42</v>
      </c>
      <c r="H2523" s="1" t="s">
        <v>43</v>
      </c>
      <c r="I2523" s="1" t="s">
        <v>467</v>
      </c>
      <c r="J2523" s="1">
        <v>9</v>
      </c>
      <c r="K2523" s="3">
        <v>15200.95</v>
      </c>
      <c r="L2523" s="1" t="s">
        <v>110</v>
      </c>
      <c r="M2523" s="1" t="s">
        <v>22</v>
      </c>
      <c r="N2523" s="10" t="s">
        <v>37</v>
      </c>
      <c r="Q2523"/>
    </row>
    <row r="2524" spans="1:17" x14ac:dyDescent="0.25">
      <c r="A2524" s="9" t="s">
        <v>3576</v>
      </c>
      <c r="B2524" s="2">
        <v>45581</v>
      </c>
      <c r="C2524" s="1" t="s">
        <v>3097</v>
      </c>
      <c r="D2524" s="1" t="s">
        <v>67</v>
      </c>
      <c r="E2524" s="1" t="s">
        <v>41</v>
      </c>
      <c r="F2524" s="1" t="s">
        <v>18</v>
      </c>
      <c r="G2524" s="1" t="s">
        <v>53</v>
      </c>
      <c r="H2524" s="1" t="s">
        <v>54</v>
      </c>
      <c r="I2524" s="1" t="s">
        <v>554</v>
      </c>
      <c r="J2524" s="1">
        <v>1</v>
      </c>
      <c r="K2524" s="3">
        <v>889.69</v>
      </c>
      <c r="L2524" s="1">
        <v>10</v>
      </c>
      <c r="M2524" s="1" t="s">
        <v>56</v>
      </c>
      <c r="N2524" s="10" t="s">
        <v>37</v>
      </c>
      <c r="Q2524"/>
    </row>
    <row r="2525" spans="1:17" x14ac:dyDescent="0.25">
      <c r="A2525" s="9" t="s">
        <v>3577</v>
      </c>
      <c r="B2525" s="2">
        <v>45063</v>
      </c>
      <c r="C2525" s="1" t="s">
        <v>2866</v>
      </c>
      <c r="D2525" s="1" t="s">
        <v>52</v>
      </c>
      <c r="E2525" s="1" t="s">
        <v>72</v>
      </c>
      <c r="F2525" s="1" t="s">
        <v>49</v>
      </c>
      <c r="G2525" s="1" t="s">
        <v>19</v>
      </c>
      <c r="H2525" s="1" t="s">
        <v>29</v>
      </c>
      <c r="I2525" s="1" t="s">
        <v>1449</v>
      </c>
      <c r="J2525" s="1">
        <v>5</v>
      </c>
      <c r="K2525" s="3">
        <v>5651.65</v>
      </c>
      <c r="L2525" s="1">
        <v>10</v>
      </c>
      <c r="M2525" s="1" t="s">
        <v>56</v>
      </c>
      <c r="N2525" s="10" t="s">
        <v>64</v>
      </c>
      <c r="Q2525"/>
    </row>
    <row r="2526" spans="1:17" x14ac:dyDescent="0.25">
      <c r="A2526" s="9" t="s">
        <v>3578</v>
      </c>
      <c r="B2526" s="2">
        <v>45131</v>
      </c>
      <c r="C2526" s="1" t="s">
        <v>711</v>
      </c>
      <c r="D2526" s="1" t="s">
        <v>26</v>
      </c>
      <c r="E2526" s="1" t="s">
        <v>41</v>
      </c>
      <c r="F2526" s="1" t="s">
        <v>49</v>
      </c>
      <c r="G2526" s="1" t="s">
        <v>83</v>
      </c>
      <c r="H2526" s="1" t="s">
        <v>43</v>
      </c>
      <c r="I2526" s="1" t="s">
        <v>182</v>
      </c>
      <c r="J2526" s="1">
        <v>8</v>
      </c>
      <c r="K2526" s="3">
        <v>15885.25</v>
      </c>
      <c r="L2526" s="1">
        <v>20</v>
      </c>
      <c r="M2526" s="1" t="s">
        <v>63</v>
      </c>
      <c r="N2526" s="10" t="s">
        <v>37</v>
      </c>
      <c r="Q2526"/>
    </row>
    <row r="2527" spans="1:17" x14ac:dyDescent="0.25">
      <c r="A2527" s="9" t="s">
        <v>3579</v>
      </c>
      <c r="B2527" s="2">
        <v>45166</v>
      </c>
      <c r="C2527" s="1" t="s">
        <v>2717</v>
      </c>
      <c r="D2527" s="1" t="s">
        <v>40</v>
      </c>
      <c r="E2527" s="1" t="s">
        <v>17</v>
      </c>
      <c r="F2527" s="1" t="s">
        <v>60</v>
      </c>
      <c r="G2527" s="1" t="s">
        <v>42</v>
      </c>
      <c r="H2527" s="1" t="s">
        <v>43</v>
      </c>
      <c r="I2527" s="1" t="s">
        <v>89</v>
      </c>
      <c r="J2527" s="1">
        <v>3</v>
      </c>
      <c r="K2527" s="3">
        <v>321.87</v>
      </c>
      <c r="L2527" s="1" t="s">
        <v>110</v>
      </c>
      <c r="M2527" s="1" t="s">
        <v>63</v>
      </c>
      <c r="N2527" s="10" t="s">
        <v>31</v>
      </c>
      <c r="Q2527"/>
    </row>
    <row r="2528" spans="1:17" x14ac:dyDescent="0.25">
      <c r="A2528" s="9" t="s">
        <v>3580</v>
      </c>
      <c r="B2528" s="2">
        <v>45021</v>
      </c>
      <c r="C2528" s="1" t="s">
        <v>729</v>
      </c>
      <c r="D2528" s="1" t="s">
        <v>52</v>
      </c>
      <c r="E2528" s="1" t="s">
        <v>41</v>
      </c>
      <c r="F2528" s="1" t="s">
        <v>49</v>
      </c>
      <c r="G2528" s="1" t="s">
        <v>19</v>
      </c>
      <c r="H2528" s="1" t="s">
        <v>20</v>
      </c>
      <c r="I2528" s="1" t="s">
        <v>312</v>
      </c>
      <c r="J2528" s="1">
        <v>1</v>
      </c>
      <c r="K2528" s="3">
        <v>4709.71</v>
      </c>
      <c r="L2528" s="1">
        <v>10</v>
      </c>
      <c r="M2528" s="1" t="s">
        <v>93</v>
      </c>
      <c r="N2528" s="10" t="s">
        <v>23</v>
      </c>
      <c r="Q2528"/>
    </row>
    <row r="2529" spans="1:17" x14ac:dyDescent="0.25">
      <c r="A2529" s="9" t="s">
        <v>809</v>
      </c>
      <c r="B2529" s="2">
        <v>45601</v>
      </c>
      <c r="C2529" s="1" t="s">
        <v>474</v>
      </c>
      <c r="D2529" s="1" t="s">
        <v>33</v>
      </c>
      <c r="E2529" s="1" t="s">
        <v>72</v>
      </c>
      <c r="F2529" s="1" t="s">
        <v>88</v>
      </c>
      <c r="G2529" s="1" t="s">
        <v>42</v>
      </c>
      <c r="H2529" s="1" t="s">
        <v>43</v>
      </c>
      <c r="I2529" s="1" t="s">
        <v>704</v>
      </c>
      <c r="J2529" s="1">
        <v>3</v>
      </c>
      <c r="K2529" s="3">
        <v>7770.51</v>
      </c>
      <c r="L2529" s="1">
        <v>20</v>
      </c>
      <c r="M2529" s="1" t="s">
        <v>93</v>
      </c>
      <c r="N2529" s="10" t="s">
        <v>74</v>
      </c>
      <c r="Q2529"/>
    </row>
    <row r="2530" spans="1:17" x14ac:dyDescent="0.25">
      <c r="A2530" s="9" t="s">
        <v>3581</v>
      </c>
      <c r="B2530" s="2">
        <v>45026</v>
      </c>
      <c r="C2530" s="1" t="s">
        <v>1869</v>
      </c>
      <c r="D2530" s="1" t="s">
        <v>81</v>
      </c>
      <c r="E2530" s="1" t="s">
        <v>41</v>
      </c>
      <c r="F2530" s="1" t="s">
        <v>49</v>
      </c>
      <c r="G2530" s="1" t="s">
        <v>53</v>
      </c>
      <c r="H2530" s="1" t="s">
        <v>54</v>
      </c>
      <c r="I2530" s="1" t="s">
        <v>558</v>
      </c>
      <c r="J2530" s="1">
        <v>9</v>
      </c>
      <c r="K2530" s="3">
        <v>17214.310000000001</v>
      </c>
      <c r="L2530" s="1" t="s">
        <v>110</v>
      </c>
      <c r="M2530" s="1" t="s">
        <v>69</v>
      </c>
      <c r="N2530" s="10" t="s">
        <v>64</v>
      </c>
      <c r="Q2530"/>
    </row>
    <row r="2531" spans="1:17" x14ac:dyDescent="0.25">
      <c r="A2531" s="9" t="s">
        <v>3582</v>
      </c>
      <c r="B2531" s="2">
        <v>45325</v>
      </c>
      <c r="C2531" s="1" t="s">
        <v>729</v>
      </c>
      <c r="D2531" s="1" t="s">
        <v>26</v>
      </c>
      <c r="E2531" s="1" t="s">
        <v>72</v>
      </c>
      <c r="F2531" s="1" t="s">
        <v>99</v>
      </c>
      <c r="G2531" s="1" t="s">
        <v>42</v>
      </c>
      <c r="H2531" s="1" t="s">
        <v>61</v>
      </c>
      <c r="I2531" s="1" t="s">
        <v>151</v>
      </c>
      <c r="J2531" s="1">
        <v>6</v>
      </c>
      <c r="K2531" s="3">
        <v>10140.719999999999</v>
      </c>
      <c r="L2531" s="1">
        <v>20</v>
      </c>
      <c r="M2531" s="1" t="s">
        <v>36</v>
      </c>
      <c r="N2531" s="10" t="s">
        <v>23</v>
      </c>
      <c r="Q2531"/>
    </row>
    <row r="2532" spans="1:17" x14ac:dyDescent="0.25">
      <c r="A2532" s="9" t="s">
        <v>3583</v>
      </c>
      <c r="B2532" s="2">
        <v>45227</v>
      </c>
      <c r="C2532" s="1" t="s">
        <v>2119</v>
      </c>
      <c r="D2532" s="1" t="s">
        <v>147</v>
      </c>
      <c r="E2532" s="1" t="s">
        <v>17</v>
      </c>
      <c r="F2532" s="1" t="s">
        <v>99</v>
      </c>
      <c r="G2532" s="1" t="s">
        <v>42</v>
      </c>
      <c r="H2532" s="1" t="s">
        <v>61</v>
      </c>
      <c r="I2532" s="1" t="s">
        <v>440</v>
      </c>
      <c r="J2532" s="1">
        <v>3</v>
      </c>
      <c r="K2532" s="3">
        <v>1744.2</v>
      </c>
      <c r="L2532" s="1">
        <v>20</v>
      </c>
      <c r="M2532" s="1" t="s">
        <v>69</v>
      </c>
      <c r="N2532" s="10" t="s">
        <v>74</v>
      </c>
      <c r="Q2532"/>
    </row>
    <row r="2533" spans="1:17" x14ac:dyDescent="0.25">
      <c r="A2533" s="9" t="s">
        <v>3584</v>
      </c>
      <c r="B2533" s="2">
        <v>45578</v>
      </c>
      <c r="C2533" s="1" t="s">
        <v>1284</v>
      </c>
      <c r="D2533" s="1" t="s">
        <v>16</v>
      </c>
      <c r="E2533" s="1" t="s">
        <v>34</v>
      </c>
      <c r="F2533" s="1" t="s">
        <v>82</v>
      </c>
      <c r="G2533" s="1" t="s">
        <v>42</v>
      </c>
      <c r="H2533" s="1" t="s">
        <v>61</v>
      </c>
      <c r="I2533" s="1" t="s">
        <v>196</v>
      </c>
      <c r="J2533" s="1">
        <v>8</v>
      </c>
      <c r="K2533" s="3">
        <v>8896.66</v>
      </c>
      <c r="L2533" s="1">
        <v>5</v>
      </c>
      <c r="M2533" s="1" t="s">
        <v>63</v>
      </c>
      <c r="N2533" s="10" t="s">
        <v>64</v>
      </c>
      <c r="Q2533"/>
    </row>
    <row r="2534" spans="1:17" x14ac:dyDescent="0.25">
      <c r="A2534" s="9" t="s">
        <v>3585</v>
      </c>
      <c r="B2534" s="2">
        <v>45139</v>
      </c>
      <c r="C2534" s="1" t="s">
        <v>382</v>
      </c>
      <c r="D2534" s="1" t="s">
        <v>26</v>
      </c>
      <c r="E2534" s="1" t="s">
        <v>72</v>
      </c>
      <c r="F2534" s="1" t="s">
        <v>49</v>
      </c>
      <c r="G2534" s="1" t="s">
        <v>42</v>
      </c>
      <c r="H2534" s="1" t="s">
        <v>61</v>
      </c>
      <c r="I2534" s="1" t="s">
        <v>529</v>
      </c>
      <c r="J2534" s="1">
        <v>10</v>
      </c>
      <c r="K2534" s="3">
        <v>20929.89</v>
      </c>
      <c r="L2534" s="1">
        <v>5</v>
      </c>
      <c r="M2534" s="1" t="s">
        <v>63</v>
      </c>
      <c r="N2534" s="10" t="s">
        <v>64</v>
      </c>
      <c r="Q2534"/>
    </row>
    <row r="2535" spans="1:17" x14ac:dyDescent="0.25">
      <c r="A2535" s="9" t="s">
        <v>3586</v>
      </c>
      <c r="B2535" s="2">
        <v>45219</v>
      </c>
      <c r="C2535" s="1" t="s">
        <v>2905</v>
      </c>
      <c r="D2535" s="1" t="s">
        <v>52</v>
      </c>
      <c r="E2535" s="1" t="s">
        <v>41</v>
      </c>
      <c r="F2535" s="1" t="s">
        <v>18</v>
      </c>
      <c r="G2535" s="1" t="s">
        <v>19</v>
      </c>
      <c r="H2535" s="1" t="s">
        <v>20</v>
      </c>
      <c r="I2535" s="1" t="s">
        <v>312</v>
      </c>
      <c r="J2535" s="1">
        <v>2</v>
      </c>
      <c r="K2535" s="3">
        <v>8809.15</v>
      </c>
      <c r="L2535" s="1">
        <v>0</v>
      </c>
      <c r="M2535" s="1" t="s">
        <v>93</v>
      </c>
      <c r="N2535" s="10" t="s">
        <v>45</v>
      </c>
      <c r="Q2535"/>
    </row>
    <row r="2536" spans="1:17" x14ac:dyDescent="0.25">
      <c r="A2536" s="9" t="s">
        <v>3587</v>
      </c>
      <c r="B2536" s="2">
        <v>45657</v>
      </c>
      <c r="C2536" s="1" t="s">
        <v>962</v>
      </c>
      <c r="D2536" s="1" t="s">
        <v>81</v>
      </c>
      <c r="E2536" s="1" t="s">
        <v>34</v>
      </c>
      <c r="F2536" s="1" t="s">
        <v>88</v>
      </c>
      <c r="G2536" s="1" t="s">
        <v>19</v>
      </c>
      <c r="H2536" s="1" t="s">
        <v>29</v>
      </c>
      <c r="I2536" s="1" t="s">
        <v>35</v>
      </c>
      <c r="J2536" s="1">
        <v>3</v>
      </c>
      <c r="K2536" s="3">
        <v>7354.58</v>
      </c>
      <c r="L2536" s="1" t="s">
        <v>110</v>
      </c>
      <c r="M2536" s="1" t="s">
        <v>36</v>
      </c>
      <c r="N2536" s="10" t="s">
        <v>64</v>
      </c>
      <c r="Q2536"/>
    </row>
    <row r="2537" spans="1:17" x14ac:dyDescent="0.25">
      <c r="A2537" s="9" t="s">
        <v>3588</v>
      </c>
      <c r="B2537" s="2">
        <v>45121</v>
      </c>
      <c r="C2537" s="1" t="s">
        <v>1142</v>
      </c>
      <c r="D2537" s="1" t="s">
        <v>147</v>
      </c>
      <c r="E2537" s="1" t="s">
        <v>72</v>
      </c>
      <c r="F2537" s="1" t="s">
        <v>99</v>
      </c>
      <c r="G2537" s="1" t="s">
        <v>19</v>
      </c>
      <c r="H2537" s="1" t="s">
        <v>29</v>
      </c>
      <c r="I2537" s="1" t="s">
        <v>556</v>
      </c>
      <c r="J2537" s="1">
        <v>9</v>
      </c>
      <c r="K2537" s="3">
        <v>22811.39</v>
      </c>
      <c r="L2537" s="1">
        <v>0</v>
      </c>
      <c r="M2537" s="1" t="s">
        <v>36</v>
      </c>
      <c r="N2537" s="10" t="s">
        <v>31</v>
      </c>
      <c r="Q2537"/>
    </row>
    <row r="2538" spans="1:17" x14ac:dyDescent="0.25">
      <c r="A2538" s="9" t="s">
        <v>3589</v>
      </c>
      <c r="B2538" s="2">
        <v>45490</v>
      </c>
      <c r="C2538" s="1" t="s">
        <v>887</v>
      </c>
      <c r="D2538" s="1" t="s">
        <v>67</v>
      </c>
      <c r="E2538" s="1" t="s">
        <v>41</v>
      </c>
      <c r="F2538" s="1" t="s">
        <v>49</v>
      </c>
      <c r="G2538" s="1" t="s">
        <v>53</v>
      </c>
      <c r="H2538" s="1" t="s">
        <v>54</v>
      </c>
      <c r="I2538" s="1" t="s">
        <v>946</v>
      </c>
      <c r="J2538" s="1">
        <v>4</v>
      </c>
      <c r="K2538" s="3">
        <v>1766.44</v>
      </c>
      <c r="L2538" s="1">
        <v>5</v>
      </c>
      <c r="M2538" s="1" t="s">
        <v>36</v>
      </c>
      <c r="N2538" s="10" t="s">
        <v>37</v>
      </c>
      <c r="Q2538"/>
    </row>
    <row r="2539" spans="1:17" x14ac:dyDescent="0.25">
      <c r="A2539" s="9" t="s">
        <v>3590</v>
      </c>
      <c r="B2539" s="2">
        <v>45325</v>
      </c>
      <c r="C2539" s="1" t="s">
        <v>910</v>
      </c>
      <c r="D2539" s="1" t="s">
        <v>81</v>
      </c>
      <c r="E2539" s="1" t="s">
        <v>34</v>
      </c>
      <c r="F2539" s="1" t="s">
        <v>99</v>
      </c>
      <c r="G2539" s="1" t="s">
        <v>83</v>
      </c>
      <c r="H2539" s="1" t="s">
        <v>43</v>
      </c>
      <c r="I2539" s="1" t="s">
        <v>144</v>
      </c>
      <c r="J2539" s="1">
        <v>2</v>
      </c>
      <c r="K2539" s="3">
        <v>3492.76</v>
      </c>
      <c r="L2539" s="1">
        <v>20</v>
      </c>
      <c r="M2539" s="1" t="s">
        <v>63</v>
      </c>
      <c r="N2539" s="10" t="s">
        <v>64</v>
      </c>
      <c r="Q2539"/>
    </row>
    <row r="2540" spans="1:17" x14ac:dyDescent="0.25">
      <c r="A2540" s="9" t="s">
        <v>3591</v>
      </c>
      <c r="B2540" s="2">
        <v>45020</v>
      </c>
      <c r="C2540" s="1" t="s">
        <v>1934</v>
      </c>
      <c r="D2540" s="1" t="s">
        <v>26</v>
      </c>
      <c r="E2540" s="1" t="s">
        <v>17</v>
      </c>
      <c r="F2540" s="1" t="s">
        <v>82</v>
      </c>
      <c r="G2540" s="1" t="s">
        <v>42</v>
      </c>
      <c r="H2540" s="1" t="s">
        <v>43</v>
      </c>
      <c r="I2540" s="1" t="s">
        <v>89</v>
      </c>
      <c r="J2540" s="1">
        <v>8</v>
      </c>
      <c r="K2540" s="3">
        <v>1368.64</v>
      </c>
      <c r="L2540" s="1">
        <v>20</v>
      </c>
      <c r="M2540" s="1" t="s">
        <v>56</v>
      </c>
      <c r="N2540" s="10" t="s">
        <v>37</v>
      </c>
      <c r="Q2540"/>
    </row>
    <row r="2541" spans="1:17" x14ac:dyDescent="0.25">
      <c r="A2541" s="9" t="s">
        <v>3592</v>
      </c>
      <c r="B2541" s="2">
        <v>45428</v>
      </c>
      <c r="C2541" s="1" t="s">
        <v>364</v>
      </c>
      <c r="D2541" s="1" t="s">
        <v>81</v>
      </c>
      <c r="E2541" s="1" t="s">
        <v>72</v>
      </c>
      <c r="F2541" s="1" t="s">
        <v>99</v>
      </c>
      <c r="G2541" s="1" t="s">
        <v>19</v>
      </c>
      <c r="H2541" s="1" t="s">
        <v>20</v>
      </c>
      <c r="I2541" s="1" t="s">
        <v>254</v>
      </c>
      <c r="J2541" s="1">
        <v>5</v>
      </c>
      <c r="K2541" s="3">
        <v>23110.93</v>
      </c>
      <c r="L2541" s="1">
        <v>10</v>
      </c>
      <c r="M2541" s="1" t="s">
        <v>36</v>
      </c>
      <c r="N2541" s="10" t="s">
        <v>37</v>
      </c>
      <c r="Q2541"/>
    </row>
    <row r="2542" spans="1:17" x14ac:dyDescent="0.25">
      <c r="A2542" s="9" t="s">
        <v>3593</v>
      </c>
      <c r="B2542" s="2">
        <v>45412</v>
      </c>
      <c r="C2542" s="1" t="s">
        <v>1749</v>
      </c>
      <c r="D2542" s="1" t="s">
        <v>147</v>
      </c>
      <c r="E2542" s="1" t="s">
        <v>34</v>
      </c>
      <c r="F2542" s="1" t="s">
        <v>49</v>
      </c>
      <c r="G2542" s="1" t="s">
        <v>19</v>
      </c>
      <c r="H2542" s="1" t="s">
        <v>20</v>
      </c>
      <c r="I2542" s="1" t="s">
        <v>421</v>
      </c>
      <c r="J2542" s="1">
        <v>5</v>
      </c>
      <c r="K2542" s="3">
        <v>2484.71</v>
      </c>
      <c r="L2542" s="1">
        <v>10</v>
      </c>
      <c r="M2542" s="1" t="s">
        <v>93</v>
      </c>
      <c r="N2542" s="10" t="s">
        <v>74</v>
      </c>
      <c r="Q2542"/>
    </row>
    <row r="2543" spans="1:17" x14ac:dyDescent="0.25">
      <c r="A2543" s="9" t="s">
        <v>3594</v>
      </c>
      <c r="B2543" s="2">
        <v>44986</v>
      </c>
      <c r="C2543" s="1" t="s">
        <v>1351</v>
      </c>
      <c r="D2543" s="1" t="s">
        <v>26</v>
      </c>
      <c r="E2543" s="1" t="s">
        <v>41</v>
      </c>
      <c r="F2543" s="1" t="s">
        <v>99</v>
      </c>
      <c r="G2543" s="1" t="s">
        <v>83</v>
      </c>
      <c r="H2543" s="1" t="s">
        <v>43</v>
      </c>
      <c r="I2543" s="1" t="s">
        <v>84</v>
      </c>
      <c r="J2543" s="1">
        <v>3</v>
      </c>
      <c r="K2543" s="3">
        <v>2557.0500000000002</v>
      </c>
      <c r="L2543" s="1">
        <v>20</v>
      </c>
      <c r="M2543" s="1" t="s">
        <v>63</v>
      </c>
      <c r="N2543" s="10" t="s">
        <v>74</v>
      </c>
      <c r="Q2543"/>
    </row>
    <row r="2544" spans="1:17" x14ac:dyDescent="0.25">
      <c r="A2544" s="9" t="s">
        <v>3595</v>
      </c>
      <c r="B2544" s="2">
        <v>45074</v>
      </c>
      <c r="C2544" s="1" t="s">
        <v>778</v>
      </c>
      <c r="D2544" s="1" t="s">
        <v>67</v>
      </c>
      <c r="E2544" s="1" t="s">
        <v>41</v>
      </c>
      <c r="F2544" s="1" t="s">
        <v>49</v>
      </c>
      <c r="G2544" s="1" t="s">
        <v>42</v>
      </c>
      <c r="H2544" s="1" t="s">
        <v>61</v>
      </c>
      <c r="I2544" s="1" t="s">
        <v>68</v>
      </c>
      <c r="J2544" s="1">
        <v>7</v>
      </c>
      <c r="K2544" s="3">
        <v>32616.639999999999</v>
      </c>
      <c r="L2544" s="1">
        <v>0</v>
      </c>
      <c r="M2544" s="1" t="s">
        <v>22</v>
      </c>
      <c r="N2544" s="10" t="s">
        <v>31</v>
      </c>
      <c r="Q2544"/>
    </row>
    <row r="2545" spans="1:17" x14ac:dyDescent="0.25">
      <c r="A2545" s="9" t="s">
        <v>3596</v>
      </c>
      <c r="B2545" s="2">
        <v>45084</v>
      </c>
      <c r="C2545" s="1" t="s">
        <v>1954</v>
      </c>
      <c r="D2545" s="1" t="s">
        <v>87</v>
      </c>
      <c r="E2545" s="1" t="s">
        <v>72</v>
      </c>
      <c r="F2545" s="1" t="s">
        <v>88</v>
      </c>
      <c r="G2545" s="1" t="s">
        <v>83</v>
      </c>
      <c r="H2545" s="1" t="s">
        <v>43</v>
      </c>
      <c r="I2545" s="1" t="s">
        <v>491</v>
      </c>
      <c r="J2545" s="1">
        <v>8</v>
      </c>
      <c r="K2545" s="3">
        <v>23895.42</v>
      </c>
      <c r="L2545" s="1">
        <v>0</v>
      </c>
      <c r="M2545" s="1" t="s">
        <v>22</v>
      </c>
      <c r="N2545" s="10" t="s">
        <v>37</v>
      </c>
      <c r="Q2545"/>
    </row>
    <row r="2546" spans="1:17" x14ac:dyDescent="0.25">
      <c r="A2546" s="9" t="s">
        <v>3597</v>
      </c>
      <c r="B2546" s="2">
        <v>45332</v>
      </c>
      <c r="C2546" s="1" t="s">
        <v>1601</v>
      </c>
      <c r="D2546" s="1" t="s">
        <v>16</v>
      </c>
      <c r="E2546" s="1" t="s">
        <v>59</v>
      </c>
      <c r="F2546" s="1" t="s">
        <v>28</v>
      </c>
      <c r="G2546" s="1" t="s">
        <v>42</v>
      </c>
      <c r="H2546" s="1" t="s">
        <v>61</v>
      </c>
      <c r="I2546" s="1" t="s">
        <v>204</v>
      </c>
      <c r="J2546" s="1">
        <v>3</v>
      </c>
      <c r="K2546" s="3">
        <v>10263.33</v>
      </c>
      <c r="L2546" s="1" t="s">
        <v>110</v>
      </c>
      <c r="M2546" s="1" t="s">
        <v>36</v>
      </c>
      <c r="N2546" s="10" t="s">
        <v>45</v>
      </c>
      <c r="Q2546"/>
    </row>
    <row r="2547" spans="1:17" x14ac:dyDescent="0.25">
      <c r="A2547" s="9" t="s">
        <v>3598</v>
      </c>
      <c r="B2547" s="2">
        <v>45501</v>
      </c>
      <c r="C2547" s="1" t="s">
        <v>460</v>
      </c>
      <c r="D2547" s="1" t="s">
        <v>67</v>
      </c>
      <c r="E2547" s="1" t="s">
        <v>34</v>
      </c>
      <c r="F2547" s="1" t="s">
        <v>18</v>
      </c>
      <c r="G2547" s="1" t="s">
        <v>19</v>
      </c>
      <c r="H2547" s="1" t="s">
        <v>29</v>
      </c>
      <c r="I2547" s="1" t="s">
        <v>135</v>
      </c>
      <c r="J2547" s="1">
        <v>10</v>
      </c>
      <c r="K2547" s="3">
        <v>49584.04</v>
      </c>
      <c r="L2547" s="1">
        <v>15</v>
      </c>
      <c r="M2547" s="1" t="s">
        <v>36</v>
      </c>
      <c r="N2547" s="10" t="s">
        <v>74</v>
      </c>
      <c r="Q2547"/>
    </row>
    <row r="2548" spans="1:17" x14ac:dyDescent="0.25">
      <c r="A2548" s="9" t="s">
        <v>3599</v>
      </c>
      <c r="B2548" s="2">
        <v>45504</v>
      </c>
      <c r="C2548" s="1" t="s">
        <v>718</v>
      </c>
      <c r="D2548" s="1" t="s">
        <v>71</v>
      </c>
      <c r="E2548" s="1" t="s">
        <v>59</v>
      </c>
      <c r="F2548" s="1" t="s">
        <v>99</v>
      </c>
      <c r="G2548" s="1" t="s">
        <v>19</v>
      </c>
      <c r="H2548" s="1" t="s">
        <v>20</v>
      </c>
      <c r="I2548" s="1" t="s">
        <v>928</v>
      </c>
      <c r="J2548" s="1">
        <v>6</v>
      </c>
      <c r="K2548" s="3">
        <v>26540.21</v>
      </c>
      <c r="L2548" s="1">
        <v>5</v>
      </c>
      <c r="M2548" s="1" t="s">
        <v>69</v>
      </c>
      <c r="N2548" s="10" t="s">
        <v>37</v>
      </c>
      <c r="Q2548"/>
    </row>
    <row r="2549" spans="1:17" x14ac:dyDescent="0.25">
      <c r="A2549" s="9" t="s">
        <v>3600</v>
      </c>
      <c r="B2549" s="2">
        <v>45069</v>
      </c>
      <c r="C2549" s="1" t="s">
        <v>1182</v>
      </c>
      <c r="D2549" s="1" t="s">
        <v>33</v>
      </c>
      <c r="E2549" s="1" t="s">
        <v>59</v>
      </c>
      <c r="F2549" s="1" t="s">
        <v>88</v>
      </c>
      <c r="G2549" s="1" t="s">
        <v>83</v>
      </c>
      <c r="H2549" s="1" t="s">
        <v>43</v>
      </c>
      <c r="I2549" s="1" t="s">
        <v>144</v>
      </c>
      <c r="J2549" s="1">
        <v>9</v>
      </c>
      <c r="K2549" s="3">
        <v>19792.240000000002</v>
      </c>
      <c r="L2549" s="1">
        <v>5</v>
      </c>
      <c r="M2549" s="1" t="s">
        <v>36</v>
      </c>
      <c r="N2549" s="10" t="s">
        <v>37</v>
      </c>
      <c r="Q2549"/>
    </row>
    <row r="2550" spans="1:17" x14ac:dyDescent="0.25">
      <c r="A2550" s="9" t="s">
        <v>3601</v>
      </c>
      <c r="B2550" s="2">
        <v>44999</v>
      </c>
      <c r="C2550" s="1" t="s">
        <v>755</v>
      </c>
      <c r="D2550" s="1" t="s">
        <v>71</v>
      </c>
      <c r="E2550" s="1" t="s">
        <v>72</v>
      </c>
      <c r="F2550" s="1" t="s">
        <v>49</v>
      </c>
      <c r="G2550" s="1" t="s">
        <v>42</v>
      </c>
      <c r="H2550" s="1" t="s">
        <v>61</v>
      </c>
      <c r="I2550" s="1" t="s">
        <v>217</v>
      </c>
      <c r="J2550" s="1">
        <v>10</v>
      </c>
      <c r="K2550" s="3">
        <v>18384.400000000001</v>
      </c>
      <c r="L2550" s="1">
        <v>5</v>
      </c>
      <c r="M2550" s="1" t="s">
        <v>93</v>
      </c>
      <c r="N2550" s="10" t="s">
        <v>23</v>
      </c>
      <c r="Q2550"/>
    </row>
    <row r="2551" spans="1:17" x14ac:dyDescent="0.25">
      <c r="A2551" s="9" t="s">
        <v>3602</v>
      </c>
      <c r="B2551" s="2">
        <v>45635</v>
      </c>
      <c r="C2551" s="1" t="s">
        <v>1052</v>
      </c>
      <c r="D2551" s="1" t="s">
        <v>71</v>
      </c>
      <c r="E2551" s="1" t="s">
        <v>17</v>
      </c>
      <c r="F2551" s="1" t="s">
        <v>28</v>
      </c>
      <c r="G2551" s="1" t="s">
        <v>53</v>
      </c>
      <c r="H2551" s="1" t="s">
        <v>54</v>
      </c>
      <c r="I2551" s="1" t="s">
        <v>333</v>
      </c>
      <c r="J2551" s="1">
        <v>7</v>
      </c>
      <c r="K2551" s="3">
        <v>1496.25</v>
      </c>
      <c r="L2551" s="1">
        <v>10</v>
      </c>
      <c r="M2551" s="1" t="s">
        <v>63</v>
      </c>
      <c r="N2551" s="10" t="s">
        <v>23</v>
      </c>
      <c r="Q2551"/>
    </row>
    <row r="2552" spans="1:17" x14ac:dyDescent="0.25">
      <c r="A2552" s="9" t="s">
        <v>3603</v>
      </c>
      <c r="B2552" s="2">
        <v>45021</v>
      </c>
      <c r="C2552" s="1" t="s">
        <v>208</v>
      </c>
      <c r="D2552" s="1" t="s">
        <v>71</v>
      </c>
      <c r="E2552" s="1" t="s">
        <v>59</v>
      </c>
      <c r="F2552" s="1" t="s">
        <v>82</v>
      </c>
      <c r="G2552" s="1" t="s">
        <v>19</v>
      </c>
      <c r="H2552" s="1" t="s">
        <v>29</v>
      </c>
      <c r="I2552" s="1" t="s">
        <v>1215</v>
      </c>
      <c r="J2552" s="1">
        <v>5</v>
      </c>
      <c r="K2552" s="3">
        <v>17168.490000000002</v>
      </c>
      <c r="L2552" s="1">
        <v>5</v>
      </c>
      <c r="M2552" s="1" t="s">
        <v>22</v>
      </c>
      <c r="N2552" s="10" t="s">
        <v>37</v>
      </c>
      <c r="Q2552"/>
    </row>
    <row r="2553" spans="1:17" x14ac:dyDescent="0.25">
      <c r="A2553" s="9" t="s">
        <v>3604</v>
      </c>
      <c r="B2553" s="2">
        <v>45528</v>
      </c>
      <c r="C2553" s="1" t="s">
        <v>1108</v>
      </c>
      <c r="D2553" s="1" t="s">
        <v>16</v>
      </c>
      <c r="E2553" s="1" t="s">
        <v>17</v>
      </c>
      <c r="F2553" s="1" t="s">
        <v>28</v>
      </c>
      <c r="G2553" s="1" t="s">
        <v>83</v>
      </c>
      <c r="H2553" s="1" t="s">
        <v>43</v>
      </c>
      <c r="I2553" s="1" t="s">
        <v>365</v>
      </c>
      <c r="J2553" s="1">
        <v>2</v>
      </c>
      <c r="K2553" s="3">
        <v>8642.25</v>
      </c>
      <c r="L2553" s="1">
        <v>5</v>
      </c>
      <c r="M2553" s="1" t="s">
        <v>56</v>
      </c>
      <c r="N2553" s="10" t="s">
        <v>45</v>
      </c>
      <c r="Q2553"/>
    </row>
    <row r="2554" spans="1:17" x14ac:dyDescent="0.25">
      <c r="A2554" s="15" t="s">
        <v>3605</v>
      </c>
      <c r="B2554" s="16">
        <v>45198</v>
      </c>
      <c r="C2554" s="17" t="s">
        <v>379</v>
      </c>
      <c r="D2554" s="17" t="s">
        <v>87</v>
      </c>
      <c r="E2554" s="17" t="s">
        <v>72</v>
      </c>
      <c r="F2554" s="17" t="s">
        <v>49</v>
      </c>
      <c r="G2554" s="17" t="s">
        <v>19</v>
      </c>
      <c r="H2554" s="17" t="s">
        <v>20</v>
      </c>
      <c r="I2554" s="17" t="s">
        <v>788</v>
      </c>
      <c r="J2554" s="17">
        <v>3</v>
      </c>
      <c r="K2554" s="18">
        <v>8113.4</v>
      </c>
      <c r="L2554" s="17">
        <v>20</v>
      </c>
      <c r="M2554" s="17" t="s">
        <v>63</v>
      </c>
      <c r="N2554" s="19" t="s">
        <v>74</v>
      </c>
      <c r="Q2554"/>
    </row>
    <row r="2555" spans="1:17" x14ac:dyDescent="0.25">
      <c r="Q2555"/>
    </row>
    <row r="2556" spans="1:17" x14ac:dyDescent="0.25">
      <c r="Q2556"/>
    </row>
    <row r="2557" spans="1:17" x14ac:dyDescent="0.25">
      <c r="Q2557"/>
    </row>
    <row r="2558" spans="1:17" x14ac:dyDescent="0.25">
      <c r="Q2558"/>
    </row>
    <row r="2559" spans="1:17" x14ac:dyDescent="0.25">
      <c r="Q2559"/>
    </row>
    <row r="2560" spans="1:17" x14ac:dyDescent="0.25">
      <c r="Q2560"/>
    </row>
    <row r="2561" spans="17:17" x14ac:dyDescent="0.25">
      <c r="Q2561"/>
    </row>
    <row r="2562" spans="17:17" x14ac:dyDescent="0.25">
      <c r="Q2562"/>
    </row>
    <row r="2563" spans="17:17" x14ac:dyDescent="0.25">
      <c r="Q2563"/>
    </row>
    <row r="2564" spans="17:17" x14ac:dyDescent="0.25">
      <c r="Q2564"/>
    </row>
    <row r="2565" spans="17:17" x14ac:dyDescent="0.25">
      <c r="Q2565"/>
    </row>
    <row r="2566" spans="17:17" x14ac:dyDescent="0.25">
      <c r="Q2566"/>
    </row>
    <row r="2567" spans="17:17" x14ac:dyDescent="0.25">
      <c r="Q2567"/>
    </row>
    <row r="2568" spans="17:17" x14ac:dyDescent="0.25">
      <c r="Q2568"/>
    </row>
    <row r="2569" spans="17:17" x14ac:dyDescent="0.25">
      <c r="Q2569"/>
    </row>
    <row r="2570" spans="17:17" x14ac:dyDescent="0.25">
      <c r="Q2570"/>
    </row>
    <row r="2571" spans="17:17" x14ac:dyDescent="0.25">
      <c r="Q2571"/>
    </row>
    <row r="2572" spans="17:17" x14ac:dyDescent="0.25">
      <c r="Q2572"/>
    </row>
    <row r="2573" spans="17:17" x14ac:dyDescent="0.25">
      <c r="Q2573"/>
    </row>
    <row r="2574" spans="17:17" x14ac:dyDescent="0.25">
      <c r="Q2574"/>
    </row>
    <row r="2575" spans="17:17" x14ac:dyDescent="0.25">
      <c r="Q2575"/>
    </row>
    <row r="2576" spans="17:17" x14ac:dyDescent="0.25">
      <c r="Q2576"/>
    </row>
    <row r="2577" spans="17:17" x14ac:dyDescent="0.25">
      <c r="Q2577"/>
    </row>
    <row r="2578" spans="17:17" x14ac:dyDescent="0.25">
      <c r="Q2578"/>
    </row>
    <row r="2579" spans="17:17" x14ac:dyDescent="0.25">
      <c r="Q2579"/>
    </row>
    <row r="2580" spans="17:17" x14ac:dyDescent="0.25">
      <c r="Q2580"/>
    </row>
    <row r="2581" spans="17:17" x14ac:dyDescent="0.25">
      <c r="Q2581"/>
    </row>
    <row r="2582" spans="17:17" x14ac:dyDescent="0.25">
      <c r="Q2582"/>
    </row>
    <row r="2583" spans="17:17" x14ac:dyDescent="0.25">
      <c r="Q2583"/>
    </row>
    <row r="2584" spans="17:17" x14ac:dyDescent="0.25">
      <c r="Q2584"/>
    </row>
    <row r="2585" spans="17:17" x14ac:dyDescent="0.25">
      <c r="Q2585"/>
    </row>
    <row r="2586" spans="17:17" x14ac:dyDescent="0.25">
      <c r="Q2586"/>
    </row>
    <row r="2587" spans="17:17" x14ac:dyDescent="0.25">
      <c r="Q2587"/>
    </row>
    <row r="2588" spans="17:17" x14ac:dyDescent="0.25">
      <c r="Q2588"/>
    </row>
    <row r="2589" spans="17:17" x14ac:dyDescent="0.25">
      <c r="Q2589"/>
    </row>
    <row r="2590" spans="17:17" x14ac:dyDescent="0.25">
      <c r="Q2590"/>
    </row>
    <row r="2591" spans="17:17" x14ac:dyDescent="0.25">
      <c r="Q2591"/>
    </row>
    <row r="2592" spans="17:17" x14ac:dyDescent="0.25">
      <c r="Q2592"/>
    </row>
    <row r="2593" spans="17:17" x14ac:dyDescent="0.25">
      <c r="Q2593"/>
    </row>
    <row r="2594" spans="17:17" x14ac:dyDescent="0.25">
      <c r="Q2594"/>
    </row>
    <row r="2595" spans="17:17" x14ac:dyDescent="0.25">
      <c r="Q2595"/>
    </row>
    <row r="2596" spans="17:17" x14ac:dyDescent="0.25">
      <c r="Q2596"/>
    </row>
    <row r="2597" spans="17:17" x14ac:dyDescent="0.25">
      <c r="Q2597"/>
    </row>
    <row r="2598" spans="17:17" x14ac:dyDescent="0.25">
      <c r="Q2598"/>
    </row>
    <row r="2599" spans="17:17" x14ac:dyDescent="0.25">
      <c r="Q2599"/>
    </row>
    <row r="2600" spans="17:17" x14ac:dyDescent="0.25">
      <c r="Q2600"/>
    </row>
    <row r="2601" spans="17:17" x14ac:dyDescent="0.25">
      <c r="Q2601"/>
    </row>
    <row r="2602" spans="17:17" x14ac:dyDescent="0.25">
      <c r="Q2602"/>
    </row>
    <row r="2603" spans="17:17" x14ac:dyDescent="0.25">
      <c r="Q2603"/>
    </row>
    <row r="2604" spans="17:17" x14ac:dyDescent="0.25">
      <c r="Q2604"/>
    </row>
    <row r="2605" spans="17:17" x14ac:dyDescent="0.25">
      <c r="Q2605"/>
    </row>
    <row r="2606" spans="17:17" x14ac:dyDescent="0.25">
      <c r="Q2606"/>
    </row>
    <row r="2607" spans="17:17" x14ac:dyDescent="0.25">
      <c r="Q2607"/>
    </row>
    <row r="2608" spans="17:17" x14ac:dyDescent="0.25">
      <c r="Q2608"/>
    </row>
    <row r="2609" spans="17:17" x14ac:dyDescent="0.25">
      <c r="Q2609"/>
    </row>
    <row r="2610" spans="17:17" x14ac:dyDescent="0.25">
      <c r="Q2610"/>
    </row>
    <row r="2611" spans="17:17" x14ac:dyDescent="0.25">
      <c r="Q2611"/>
    </row>
    <row r="2612" spans="17:17" x14ac:dyDescent="0.25">
      <c r="Q2612"/>
    </row>
    <row r="2613" spans="17:17" x14ac:dyDescent="0.25">
      <c r="Q2613"/>
    </row>
    <row r="2614" spans="17:17" x14ac:dyDescent="0.25">
      <c r="Q2614"/>
    </row>
    <row r="2615" spans="17:17" x14ac:dyDescent="0.25">
      <c r="Q2615"/>
    </row>
    <row r="2616" spans="17:17" x14ac:dyDescent="0.25">
      <c r="Q2616"/>
    </row>
    <row r="2617" spans="17:17" x14ac:dyDescent="0.25">
      <c r="Q2617"/>
    </row>
    <row r="2618" spans="17:17" x14ac:dyDescent="0.25">
      <c r="Q2618"/>
    </row>
    <row r="2619" spans="17:17" x14ac:dyDescent="0.25">
      <c r="Q2619"/>
    </row>
    <row r="2620" spans="17:17" x14ac:dyDescent="0.25">
      <c r="Q2620"/>
    </row>
    <row r="2621" spans="17:17" x14ac:dyDescent="0.25">
      <c r="Q2621"/>
    </row>
    <row r="2622" spans="17:17" x14ac:dyDescent="0.25">
      <c r="Q2622"/>
    </row>
    <row r="2623" spans="17:17" x14ac:dyDescent="0.25">
      <c r="Q2623"/>
    </row>
    <row r="2624" spans="17:17" x14ac:dyDescent="0.25">
      <c r="Q2624"/>
    </row>
    <row r="2625" spans="17:17" x14ac:dyDescent="0.25">
      <c r="Q2625"/>
    </row>
    <row r="2626" spans="17:17" x14ac:dyDescent="0.25">
      <c r="Q2626"/>
    </row>
    <row r="2627" spans="17:17" x14ac:dyDescent="0.25">
      <c r="Q2627"/>
    </row>
    <row r="2628" spans="17:17" x14ac:dyDescent="0.25">
      <c r="Q2628"/>
    </row>
    <row r="2629" spans="17:17" x14ac:dyDescent="0.25">
      <c r="Q2629"/>
    </row>
    <row r="2630" spans="17:17" x14ac:dyDescent="0.25">
      <c r="Q2630"/>
    </row>
    <row r="2631" spans="17:17" x14ac:dyDescent="0.25">
      <c r="Q2631"/>
    </row>
    <row r="2632" spans="17:17" x14ac:dyDescent="0.25">
      <c r="Q2632"/>
    </row>
    <row r="2633" spans="17:17" x14ac:dyDescent="0.25">
      <c r="Q2633"/>
    </row>
    <row r="2634" spans="17:17" x14ac:dyDescent="0.25">
      <c r="Q2634"/>
    </row>
    <row r="2635" spans="17:17" x14ac:dyDescent="0.25">
      <c r="Q2635"/>
    </row>
    <row r="2636" spans="17:17" x14ac:dyDescent="0.25">
      <c r="Q2636"/>
    </row>
    <row r="2637" spans="17:17" x14ac:dyDescent="0.25">
      <c r="Q2637"/>
    </row>
    <row r="2638" spans="17:17" x14ac:dyDescent="0.25">
      <c r="Q2638"/>
    </row>
    <row r="2639" spans="17:17" x14ac:dyDescent="0.25">
      <c r="Q2639"/>
    </row>
    <row r="2640" spans="17:17" x14ac:dyDescent="0.25">
      <c r="Q2640"/>
    </row>
    <row r="2641" spans="17:17" x14ac:dyDescent="0.25">
      <c r="Q2641"/>
    </row>
    <row r="2642" spans="17:17" x14ac:dyDescent="0.25">
      <c r="Q2642"/>
    </row>
    <row r="2643" spans="17:17" x14ac:dyDescent="0.25">
      <c r="Q2643"/>
    </row>
    <row r="2644" spans="17:17" x14ac:dyDescent="0.25">
      <c r="Q2644"/>
    </row>
    <row r="2645" spans="17:17" x14ac:dyDescent="0.25">
      <c r="Q2645"/>
    </row>
    <row r="2646" spans="17:17" x14ac:dyDescent="0.25">
      <c r="Q2646"/>
    </row>
    <row r="2647" spans="17:17" x14ac:dyDescent="0.25">
      <c r="Q2647"/>
    </row>
    <row r="2648" spans="17:17" x14ac:dyDescent="0.25">
      <c r="Q2648"/>
    </row>
    <row r="2649" spans="17:17" x14ac:dyDescent="0.25">
      <c r="Q2649"/>
    </row>
    <row r="2650" spans="17:17" x14ac:dyDescent="0.25">
      <c r="Q2650"/>
    </row>
    <row r="2651" spans="17:17" x14ac:dyDescent="0.25">
      <c r="Q2651"/>
    </row>
    <row r="2652" spans="17:17" x14ac:dyDescent="0.25">
      <c r="Q2652"/>
    </row>
    <row r="2653" spans="17:17" x14ac:dyDescent="0.25">
      <c r="Q2653"/>
    </row>
    <row r="2654" spans="17:17" x14ac:dyDescent="0.25">
      <c r="Q2654"/>
    </row>
    <row r="2655" spans="17:17" x14ac:dyDescent="0.25">
      <c r="Q2655"/>
    </row>
    <row r="2656" spans="17:17" x14ac:dyDescent="0.25">
      <c r="Q2656"/>
    </row>
    <row r="2657" spans="17:17" x14ac:dyDescent="0.25">
      <c r="Q2657"/>
    </row>
    <row r="2658" spans="17:17" x14ac:dyDescent="0.25">
      <c r="Q2658"/>
    </row>
    <row r="2659" spans="17:17" x14ac:dyDescent="0.25">
      <c r="Q2659"/>
    </row>
    <row r="2660" spans="17:17" x14ac:dyDescent="0.25">
      <c r="Q2660"/>
    </row>
    <row r="2661" spans="17:17" x14ac:dyDescent="0.25">
      <c r="Q2661"/>
    </row>
    <row r="2662" spans="17:17" x14ac:dyDescent="0.25">
      <c r="Q2662"/>
    </row>
    <row r="2663" spans="17:17" x14ac:dyDescent="0.25">
      <c r="Q2663"/>
    </row>
    <row r="2664" spans="17:17" x14ac:dyDescent="0.25">
      <c r="Q2664"/>
    </row>
    <row r="2665" spans="17:17" x14ac:dyDescent="0.25">
      <c r="Q2665"/>
    </row>
    <row r="2666" spans="17:17" x14ac:dyDescent="0.25">
      <c r="Q2666"/>
    </row>
    <row r="2667" spans="17:17" x14ac:dyDescent="0.25">
      <c r="Q2667"/>
    </row>
    <row r="2668" spans="17:17" x14ac:dyDescent="0.25">
      <c r="Q2668"/>
    </row>
    <row r="2669" spans="17:17" x14ac:dyDescent="0.25">
      <c r="Q2669"/>
    </row>
    <row r="2670" spans="17:17" x14ac:dyDescent="0.25">
      <c r="Q2670"/>
    </row>
    <row r="2671" spans="17:17" x14ac:dyDescent="0.25">
      <c r="Q2671"/>
    </row>
    <row r="2672" spans="17:17" x14ac:dyDescent="0.25">
      <c r="Q2672"/>
    </row>
    <row r="2673" spans="17:17" x14ac:dyDescent="0.25">
      <c r="Q2673"/>
    </row>
    <row r="2674" spans="17:17" x14ac:dyDescent="0.25">
      <c r="Q2674"/>
    </row>
    <row r="2675" spans="17:17" x14ac:dyDescent="0.25">
      <c r="Q2675"/>
    </row>
    <row r="2676" spans="17:17" x14ac:dyDescent="0.25">
      <c r="Q2676"/>
    </row>
    <row r="2677" spans="17:17" x14ac:dyDescent="0.25">
      <c r="Q2677"/>
    </row>
    <row r="2678" spans="17:17" x14ac:dyDescent="0.25">
      <c r="Q2678"/>
    </row>
    <row r="2679" spans="17:17" x14ac:dyDescent="0.25">
      <c r="Q2679"/>
    </row>
    <row r="2680" spans="17:17" x14ac:dyDescent="0.25">
      <c r="Q2680"/>
    </row>
    <row r="2681" spans="17:17" x14ac:dyDescent="0.25">
      <c r="Q2681"/>
    </row>
    <row r="2682" spans="17:17" x14ac:dyDescent="0.25">
      <c r="Q2682"/>
    </row>
    <row r="2683" spans="17:17" x14ac:dyDescent="0.25">
      <c r="Q2683"/>
    </row>
    <row r="2684" spans="17:17" x14ac:dyDescent="0.25">
      <c r="Q2684"/>
    </row>
    <row r="2685" spans="17:17" x14ac:dyDescent="0.25">
      <c r="Q2685"/>
    </row>
    <row r="2686" spans="17:17" x14ac:dyDescent="0.25">
      <c r="Q2686"/>
    </row>
    <row r="2687" spans="17:17" x14ac:dyDescent="0.25">
      <c r="Q2687"/>
    </row>
    <row r="2688" spans="17:17" x14ac:dyDescent="0.25">
      <c r="Q2688"/>
    </row>
    <row r="2689" spans="17:17" x14ac:dyDescent="0.25">
      <c r="Q2689"/>
    </row>
    <row r="2690" spans="17:17" x14ac:dyDescent="0.25">
      <c r="Q2690"/>
    </row>
    <row r="2691" spans="17:17" x14ac:dyDescent="0.25">
      <c r="Q2691"/>
    </row>
    <row r="2692" spans="17:17" x14ac:dyDescent="0.25">
      <c r="Q2692"/>
    </row>
    <row r="2693" spans="17:17" x14ac:dyDescent="0.25">
      <c r="Q2693"/>
    </row>
    <row r="2694" spans="17:17" x14ac:dyDescent="0.25">
      <c r="Q2694"/>
    </row>
    <row r="2695" spans="17:17" x14ac:dyDescent="0.25">
      <c r="Q2695"/>
    </row>
    <row r="2696" spans="17:17" x14ac:dyDescent="0.25">
      <c r="Q2696"/>
    </row>
    <row r="2697" spans="17:17" x14ac:dyDescent="0.25">
      <c r="Q2697"/>
    </row>
    <row r="2698" spans="17:17" x14ac:dyDescent="0.25">
      <c r="Q2698"/>
    </row>
    <row r="2699" spans="17:17" x14ac:dyDescent="0.25">
      <c r="Q2699"/>
    </row>
    <row r="2700" spans="17:17" x14ac:dyDescent="0.25">
      <c r="Q2700"/>
    </row>
    <row r="2701" spans="17:17" x14ac:dyDescent="0.25">
      <c r="Q2701"/>
    </row>
    <row r="2702" spans="17:17" x14ac:dyDescent="0.25">
      <c r="Q2702"/>
    </row>
    <row r="2703" spans="17:17" x14ac:dyDescent="0.25">
      <c r="Q2703"/>
    </row>
    <row r="2704" spans="17:17" x14ac:dyDescent="0.25">
      <c r="Q2704"/>
    </row>
    <row r="2705" spans="17:17" x14ac:dyDescent="0.25">
      <c r="Q2705"/>
    </row>
    <row r="2706" spans="17:17" x14ac:dyDescent="0.25">
      <c r="Q2706"/>
    </row>
    <row r="2707" spans="17:17" x14ac:dyDescent="0.25">
      <c r="Q2707"/>
    </row>
    <row r="2708" spans="17:17" x14ac:dyDescent="0.25">
      <c r="Q2708"/>
    </row>
    <row r="2709" spans="17:17" x14ac:dyDescent="0.25">
      <c r="Q2709"/>
    </row>
    <row r="2710" spans="17:17" x14ac:dyDescent="0.25">
      <c r="Q2710"/>
    </row>
    <row r="2711" spans="17:17" x14ac:dyDescent="0.25">
      <c r="Q2711"/>
    </row>
    <row r="2712" spans="17:17" x14ac:dyDescent="0.25">
      <c r="Q2712"/>
    </row>
    <row r="2713" spans="17:17" x14ac:dyDescent="0.25">
      <c r="Q2713"/>
    </row>
    <row r="2714" spans="17:17" x14ac:dyDescent="0.25">
      <c r="Q2714"/>
    </row>
    <row r="2715" spans="17:17" x14ac:dyDescent="0.25">
      <c r="Q2715"/>
    </row>
    <row r="2716" spans="17:17" x14ac:dyDescent="0.25">
      <c r="Q2716"/>
    </row>
    <row r="2717" spans="17:17" x14ac:dyDescent="0.25">
      <c r="Q2717"/>
    </row>
    <row r="2718" spans="17:17" x14ac:dyDescent="0.25">
      <c r="Q2718"/>
    </row>
    <row r="2719" spans="17:17" x14ac:dyDescent="0.25">
      <c r="Q2719"/>
    </row>
    <row r="2720" spans="17:17" x14ac:dyDescent="0.25">
      <c r="Q2720"/>
    </row>
    <row r="2721" spans="17:17" x14ac:dyDescent="0.25">
      <c r="Q2721"/>
    </row>
    <row r="2722" spans="17:17" x14ac:dyDescent="0.25">
      <c r="Q2722"/>
    </row>
    <row r="2723" spans="17:17" x14ac:dyDescent="0.25">
      <c r="Q2723"/>
    </row>
    <row r="2724" spans="17:17" x14ac:dyDescent="0.25">
      <c r="Q2724"/>
    </row>
    <row r="2725" spans="17:17" x14ac:dyDescent="0.25">
      <c r="Q2725"/>
    </row>
    <row r="2726" spans="17:17" x14ac:dyDescent="0.25">
      <c r="Q2726"/>
    </row>
    <row r="2727" spans="17:17" x14ac:dyDescent="0.25">
      <c r="Q2727"/>
    </row>
    <row r="2728" spans="17:17" x14ac:dyDescent="0.25">
      <c r="Q2728"/>
    </row>
    <row r="2729" spans="17:17" x14ac:dyDescent="0.25">
      <c r="Q2729"/>
    </row>
    <row r="2730" spans="17:17" x14ac:dyDescent="0.25">
      <c r="Q2730"/>
    </row>
    <row r="2731" spans="17:17" x14ac:dyDescent="0.25">
      <c r="Q2731"/>
    </row>
    <row r="2732" spans="17:17" x14ac:dyDescent="0.25">
      <c r="Q2732"/>
    </row>
    <row r="2733" spans="17:17" x14ac:dyDescent="0.25">
      <c r="Q2733"/>
    </row>
    <row r="2734" spans="17:17" x14ac:dyDescent="0.25">
      <c r="Q2734"/>
    </row>
    <row r="2735" spans="17:17" x14ac:dyDescent="0.25">
      <c r="Q2735"/>
    </row>
    <row r="2736" spans="17:17" x14ac:dyDescent="0.25">
      <c r="Q2736"/>
    </row>
    <row r="2737" spans="17:17" x14ac:dyDescent="0.25">
      <c r="Q2737"/>
    </row>
    <row r="2738" spans="17:17" x14ac:dyDescent="0.25">
      <c r="Q2738"/>
    </row>
    <row r="2739" spans="17:17" x14ac:dyDescent="0.25">
      <c r="Q2739"/>
    </row>
    <row r="2740" spans="17:17" x14ac:dyDescent="0.25">
      <c r="Q2740"/>
    </row>
    <row r="2741" spans="17:17" x14ac:dyDescent="0.25">
      <c r="Q2741"/>
    </row>
    <row r="2742" spans="17:17" x14ac:dyDescent="0.25">
      <c r="Q2742"/>
    </row>
    <row r="2743" spans="17:17" x14ac:dyDescent="0.25">
      <c r="Q2743"/>
    </row>
    <row r="2744" spans="17:17" x14ac:dyDescent="0.25">
      <c r="Q2744"/>
    </row>
    <row r="2745" spans="17:17" x14ac:dyDescent="0.25">
      <c r="Q2745"/>
    </row>
    <row r="2746" spans="17:17" x14ac:dyDescent="0.25">
      <c r="Q2746"/>
    </row>
    <row r="2747" spans="17:17" x14ac:dyDescent="0.25">
      <c r="Q2747"/>
    </row>
    <row r="2748" spans="17:17" x14ac:dyDescent="0.25">
      <c r="Q2748"/>
    </row>
    <row r="2749" spans="17:17" x14ac:dyDescent="0.25">
      <c r="Q2749"/>
    </row>
    <row r="2750" spans="17:17" x14ac:dyDescent="0.25">
      <c r="Q2750"/>
    </row>
    <row r="2751" spans="17:17" x14ac:dyDescent="0.25">
      <c r="Q2751"/>
    </row>
    <row r="2752" spans="17:17" x14ac:dyDescent="0.25">
      <c r="Q2752"/>
    </row>
    <row r="2753" spans="17:17" x14ac:dyDescent="0.25">
      <c r="Q2753"/>
    </row>
    <row r="2754" spans="17:17" x14ac:dyDescent="0.25">
      <c r="Q2754"/>
    </row>
    <row r="2755" spans="17:17" x14ac:dyDescent="0.25">
      <c r="Q2755"/>
    </row>
    <row r="2756" spans="17:17" x14ac:dyDescent="0.25">
      <c r="Q2756"/>
    </row>
    <row r="2757" spans="17:17" x14ac:dyDescent="0.25">
      <c r="Q2757"/>
    </row>
    <row r="2758" spans="17:17" x14ac:dyDescent="0.25">
      <c r="Q2758"/>
    </row>
    <row r="2759" spans="17:17" x14ac:dyDescent="0.25">
      <c r="Q2759"/>
    </row>
    <row r="2760" spans="17:17" x14ac:dyDescent="0.25">
      <c r="Q2760"/>
    </row>
    <row r="2761" spans="17:17" x14ac:dyDescent="0.25">
      <c r="Q2761"/>
    </row>
    <row r="2762" spans="17:17" x14ac:dyDescent="0.25">
      <c r="Q2762"/>
    </row>
    <row r="2763" spans="17:17" x14ac:dyDescent="0.25">
      <c r="Q2763"/>
    </row>
    <row r="2764" spans="17:17" x14ac:dyDescent="0.25">
      <c r="Q2764"/>
    </row>
    <row r="2765" spans="17:17" x14ac:dyDescent="0.25">
      <c r="Q2765"/>
    </row>
    <row r="2766" spans="17:17" x14ac:dyDescent="0.25">
      <c r="Q2766"/>
    </row>
    <row r="2767" spans="17:17" x14ac:dyDescent="0.25">
      <c r="Q2767"/>
    </row>
    <row r="2768" spans="17:17" x14ac:dyDescent="0.25">
      <c r="Q2768"/>
    </row>
    <row r="2769" spans="17:17" x14ac:dyDescent="0.25">
      <c r="Q2769"/>
    </row>
    <row r="2770" spans="17:17" x14ac:dyDescent="0.25">
      <c r="Q2770"/>
    </row>
    <row r="2771" spans="17:17" x14ac:dyDescent="0.25">
      <c r="Q2771"/>
    </row>
    <row r="2772" spans="17:17" x14ac:dyDescent="0.25">
      <c r="Q2772"/>
    </row>
    <row r="2773" spans="17:17" x14ac:dyDescent="0.25">
      <c r="Q2773"/>
    </row>
    <row r="2774" spans="17:17" x14ac:dyDescent="0.25">
      <c r="Q2774"/>
    </row>
    <row r="2775" spans="17:17" x14ac:dyDescent="0.25">
      <c r="Q2775"/>
    </row>
    <row r="2776" spans="17:17" x14ac:dyDescent="0.25">
      <c r="Q2776"/>
    </row>
    <row r="2777" spans="17:17" x14ac:dyDescent="0.25">
      <c r="Q2777"/>
    </row>
    <row r="2778" spans="17:17" x14ac:dyDescent="0.25">
      <c r="Q2778"/>
    </row>
    <row r="2779" spans="17:17" x14ac:dyDescent="0.25">
      <c r="Q2779"/>
    </row>
    <row r="2780" spans="17:17" x14ac:dyDescent="0.25">
      <c r="Q2780"/>
    </row>
    <row r="2781" spans="17:17" x14ac:dyDescent="0.25">
      <c r="Q2781"/>
    </row>
    <row r="2782" spans="17:17" x14ac:dyDescent="0.25">
      <c r="Q2782"/>
    </row>
    <row r="2783" spans="17:17" x14ac:dyDescent="0.25">
      <c r="Q2783"/>
    </row>
    <row r="2784" spans="17:17" x14ac:dyDescent="0.25">
      <c r="Q2784"/>
    </row>
    <row r="2785" spans="17:17" x14ac:dyDescent="0.25">
      <c r="Q2785"/>
    </row>
    <row r="2786" spans="17:17" x14ac:dyDescent="0.25">
      <c r="Q2786"/>
    </row>
    <row r="2787" spans="17:17" x14ac:dyDescent="0.25">
      <c r="Q2787"/>
    </row>
    <row r="2788" spans="17:17" x14ac:dyDescent="0.25">
      <c r="Q2788"/>
    </row>
    <row r="2789" spans="17:17" x14ac:dyDescent="0.25">
      <c r="Q2789"/>
    </row>
    <row r="2790" spans="17:17" x14ac:dyDescent="0.25">
      <c r="Q2790"/>
    </row>
    <row r="2791" spans="17:17" x14ac:dyDescent="0.25">
      <c r="Q2791"/>
    </row>
    <row r="2792" spans="17:17" x14ac:dyDescent="0.25">
      <c r="Q2792"/>
    </row>
    <row r="2793" spans="17:17" x14ac:dyDescent="0.25">
      <c r="Q2793"/>
    </row>
    <row r="2794" spans="17:17" x14ac:dyDescent="0.25">
      <c r="Q2794"/>
    </row>
    <row r="2795" spans="17:17" x14ac:dyDescent="0.25">
      <c r="Q2795"/>
    </row>
    <row r="2796" spans="17:17" x14ac:dyDescent="0.25">
      <c r="Q2796"/>
    </row>
    <row r="2797" spans="17:17" x14ac:dyDescent="0.25">
      <c r="Q2797"/>
    </row>
    <row r="2798" spans="17:17" x14ac:dyDescent="0.25">
      <c r="Q2798"/>
    </row>
    <row r="2799" spans="17:17" x14ac:dyDescent="0.25">
      <c r="Q2799"/>
    </row>
    <row r="2800" spans="17:17" x14ac:dyDescent="0.25">
      <c r="Q2800"/>
    </row>
    <row r="2801" spans="17:17" x14ac:dyDescent="0.25">
      <c r="Q2801"/>
    </row>
    <row r="2802" spans="17:17" x14ac:dyDescent="0.25">
      <c r="Q2802"/>
    </row>
    <row r="2803" spans="17:17" x14ac:dyDescent="0.25">
      <c r="Q2803"/>
    </row>
    <row r="2804" spans="17:17" x14ac:dyDescent="0.25">
      <c r="Q2804"/>
    </row>
    <row r="2805" spans="17:17" x14ac:dyDescent="0.25">
      <c r="Q2805"/>
    </row>
    <row r="2806" spans="17:17" x14ac:dyDescent="0.25">
      <c r="Q2806"/>
    </row>
    <row r="2807" spans="17:17" x14ac:dyDescent="0.25">
      <c r="Q2807"/>
    </row>
    <row r="2808" spans="17:17" x14ac:dyDescent="0.25">
      <c r="Q2808"/>
    </row>
    <row r="2809" spans="17:17" x14ac:dyDescent="0.25">
      <c r="Q2809"/>
    </row>
    <row r="2810" spans="17:17" x14ac:dyDescent="0.25">
      <c r="Q2810"/>
    </row>
    <row r="2811" spans="17:17" x14ac:dyDescent="0.25">
      <c r="Q2811"/>
    </row>
    <row r="2812" spans="17:17" x14ac:dyDescent="0.25">
      <c r="Q2812"/>
    </row>
    <row r="2813" spans="17:17" x14ac:dyDescent="0.25">
      <c r="Q2813"/>
    </row>
    <row r="2814" spans="17:17" x14ac:dyDescent="0.25">
      <c r="Q2814"/>
    </row>
    <row r="2815" spans="17:17" x14ac:dyDescent="0.25">
      <c r="Q2815"/>
    </row>
    <row r="2816" spans="17:17" x14ac:dyDescent="0.25">
      <c r="Q2816"/>
    </row>
    <row r="2817" spans="17:17" x14ac:dyDescent="0.25">
      <c r="Q2817"/>
    </row>
    <row r="2818" spans="17:17" x14ac:dyDescent="0.25">
      <c r="Q2818"/>
    </row>
    <row r="2819" spans="17:17" x14ac:dyDescent="0.25">
      <c r="Q2819"/>
    </row>
    <row r="2820" spans="17:17" x14ac:dyDescent="0.25">
      <c r="Q2820"/>
    </row>
    <row r="2821" spans="17:17" x14ac:dyDescent="0.25">
      <c r="Q2821"/>
    </row>
    <row r="2822" spans="17:17" x14ac:dyDescent="0.25">
      <c r="Q2822"/>
    </row>
    <row r="2823" spans="17:17" x14ac:dyDescent="0.25">
      <c r="Q2823"/>
    </row>
    <row r="2824" spans="17:17" x14ac:dyDescent="0.25">
      <c r="Q2824"/>
    </row>
    <row r="2825" spans="17:17" x14ac:dyDescent="0.25">
      <c r="Q2825"/>
    </row>
    <row r="2826" spans="17:17" x14ac:dyDescent="0.25">
      <c r="Q2826"/>
    </row>
    <row r="2827" spans="17:17" x14ac:dyDescent="0.25">
      <c r="Q2827"/>
    </row>
    <row r="2828" spans="17:17" x14ac:dyDescent="0.25">
      <c r="Q2828"/>
    </row>
    <row r="2829" spans="17:17" x14ac:dyDescent="0.25">
      <c r="Q2829"/>
    </row>
    <row r="2830" spans="17:17" x14ac:dyDescent="0.25">
      <c r="Q2830"/>
    </row>
    <row r="2831" spans="17:17" x14ac:dyDescent="0.25">
      <c r="Q2831"/>
    </row>
    <row r="2832" spans="17:17" x14ac:dyDescent="0.25">
      <c r="Q2832"/>
    </row>
    <row r="2833" spans="17:17" x14ac:dyDescent="0.25">
      <c r="Q2833"/>
    </row>
    <row r="2834" spans="17:17" x14ac:dyDescent="0.25">
      <c r="Q2834"/>
    </row>
    <row r="2835" spans="17:17" x14ac:dyDescent="0.25">
      <c r="Q2835"/>
    </row>
    <row r="2836" spans="17:17" x14ac:dyDescent="0.25">
      <c r="Q2836"/>
    </row>
    <row r="2837" spans="17:17" x14ac:dyDescent="0.25">
      <c r="Q2837"/>
    </row>
    <row r="2838" spans="17:17" x14ac:dyDescent="0.25">
      <c r="Q2838"/>
    </row>
    <row r="2839" spans="17:17" x14ac:dyDescent="0.25">
      <c r="Q2839"/>
    </row>
    <row r="2840" spans="17:17" x14ac:dyDescent="0.25">
      <c r="Q2840"/>
    </row>
    <row r="2841" spans="17:17" x14ac:dyDescent="0.25">
      <c r="Q2841"/>
    </row>
    <row r="2842" spans="17:17" x14ac:dyDescent="0.25">
      <c r="Q2842"/>
    </row>
    <row r="2843" spans="17:17" x14ac:dyDescent="0.25">
      <c r="Q2843"/>
    </row>
    <row r="2844" spans="17:17" x14ac:dyDescent="0.25">
      <c r="Q2844"/>
    </row>
    <row r="2845" spans="17:17" x14ac:dyDescent="0.25">
      <c r="Q2845"/>
    </row>
    <row r="2846" spans="17:17" x14ac:dyDescent="0.25">
      <c r="Q2846"/>
    </row>
    <row r="2847" spans="17:17" x14ac:dyDescent="0.25">
      <c r="Q2847"/>
    </row>
    <row r="2848" spans="17:17" x14ac:dyDescent="0.25">
      <c r="Q2848"/>
    </row>
    <row r="2849" spans="17:17" x14ac:dyDescent="0.25">
      <c r="Q2849"/>
    </row>
    <row r="2850" spans="17:17" x14ac:dyDescent="0.25">
      <c r="Q2850"/>
    </row>
    <row r="2851" spans="17:17" x14ac:dyDescent="0.25">
      <c r="Q2851"/>
    </row>
    <row r="2852" spans="17:17" x14ac:dyDescent="0.25">
      <c r="Q2852"/>
    </row>
    <row r="2853" spans="17:17" x14ac:dyDescent="0.25">
      <c r="Q2853"/>
    </row>
    <row r="2854" spans="17:17" x14ac:dyDescent="0.25">
      <c r="Q2854"/>
    </row>
    <row r="2855" spans="17:17" x14ac:dyDescent="0.25">
      <c r="Q2855"/>
    </row>
    <row r="2856" spans="17:17" x14ac:dyDescent="0.25">
      <c r="Q2856"/>
    </row>
    <row r="2857" spans="17:17" x14ac:dyDescent="0.25">
      <c r="Q2857"/>
    </row>
    <row r="2858" spans="17:17" x14ac:dyDescent="0.25">
      <c r="Q2858"/>
    </row>
    <row r="2859" spans="17:17" x14ac:dyDescent="0.25">
      <c r="Q2859"/>
    </row>
    <row r="2860" spans="17:17" x14ac:dyDescent="0.25">
      <c r="Q2860"/>
    </row>
    <row r="2861" spans="17:17" x14ac:dyDescent="0.25">
      <c r="Q2861"/>
    </row>
    <row r="2862" spans="17:17" x14ac:dyDescent="0.25">
      <c r="Q2862"/>
    </row>
    <row r="2863" spans="17:17" x14ac:dyDescent="0.25">
      <c r="Q2863"/>
    </row>
    <row r="2864" spans="17:17" x14ac:dyDescent="0.25">
      <c r="Q2864"/>
    </row>
    <row r="2865" spans="17:17" x14ac:dyDescent="0.25">
      <c r="Q2865"/>
    </row>
    <row r="2866" spans="17:17" x14ac:dyDescent="0.25">
      <c r="Q2866"/>
    </row>
    <row r="2867" spans="17:17" x14ac:dyDescent="0.25">
      <c r="Q2867"/>
    </row>
    <row r="2868" spans="17:17" x14ac:dyDescent="0.25">
      <c r="Q2868"/>
    </row>
    <row r="2869" spans="17:17" x14ac:dyDescent="0.25">
      <c r="Q2869"/>
    </row>
    <row r="2870" spans="17:17" x14ac:dyDescent="0.25">
      <c r="Q2870"/>
    </row>
    <row r="2871" spans="17:17" x14ac:dyDescent="0.25">
      <c r="Q2871"/>
    </row>
    <row r="2872" spans="17:17" x14ac:dyDescent="0.25">
      <c r="Q2872"/>
    </row>
    <row r="2873" spans="17:17" x14ac:dyDescent="0.25">
      <c r="Q2873"/>
    </row>
    <row r="2874" spans="17:17" x14ac:dyDescent="0.25">
      <c r="Q2874"/>
    </row>
    <row r="2875" spans="17:17" x14ac:dyDescent="0.25">
      <c r="Q2875"/>
    </row>
    <row r="2876" spans="17:17" x14ac:dyDescent="0.25">
      <c r="Q2876"/>
    </row>
    <row r="2877" spans="17:17" x14ac:dyDescent="0.25">
      <c r="Q2877"/>
    </row>
    <row r="2878" spans="17:17" x14ac:dyDescent="0.25">
      <c r="Q2878"/>
    </row>
    <row r="2879" spans="17:17" x14ac:dyDescent="0.25">
      <c r="Q2879"/>
    </row>
    <row r="2880" spans="17:17" x14ac:dyDescent="0.25">
      <c r="Q2880"/>
    </row>
    <row r="2881" spans="17:17" x14ac:dyDescent="0.25">
      <c r="Q2881"/>
    </row>
    <row r="2882" spans="17:17" x14ac:dyDescent="0.25">
      <c r="Q2882"/>
    </row>
    <row r="2883" spans="17:17" x14ac:dyDescent="0.25">
      <c r="Q2883"/>
    </row>
    <row r="2884" spans="17:17" x14ac:dyDescent="0.25">
      <c r="Q2884"/>
    </row>
    <row r="2885" spans="17:17" x14ac:dyDescent="0.25">
      <c r="Q2885"/>
    </row>
    <row r="2886" spans="17:17" x14ac:dyDescent="0.25">
      <c r="Q2886"/>
    </row>
    <row r="2887" spans="17:17" x14ac:dyDescent="0.25">
      <c r="Q2887"/>
    </row>
    <row r="2888" spans="17:17" x14ac:dyDescent="0.25">
      <c r="Q2888"/>
    </row>
    <row r="2889" spans="17:17" x14ac:dyDescent="0.25">
      <c r="Q2889"/>
    </row>
    <row r="2890" spans="17:17" x14ac:dyDescent="0.25">
      <c r="Q2890"/>
    </row>
    <row r="2891" spans="17:17" x14ac:dyDescent="0.25">
      <c r="Q2891"/>
    </row>
    <row r="2892" spans="17:17" x14ac:dyDescent="0.25">
      <c r="Q2892"/>
    </row>
    <row r="2893" spans="17:17" x14ac:dyDescent="0.25">
      <c r="Q2893"/>
    </row>
    <row r="2894" spans="17:17" x14ac:dyDescent="0.25">
      <c r="Q2894"/>
    </row>
    <row r="2895" spans="17:17" x14ac:dyDescent="0.25">
      <c r="Q2895"/>
    </row>
    <row r="2896" spans="17:17" x14ac:dyDescent="0.25">
      <c r="Q2896"/>
    </row>
    <row r="2897" spans="17:17" x14ac:dyDescent="0.25">
      <c r="Q2897"/>
    </row>
    <row r="2898" spans="17:17" x14ac:dyDescent="0.25">
      <c r="Q2898"/>
    </row>
    <row r="2899" spans="17:17" x14ac:dyDescent="0.25">
      <c r="Q2899"/>
    </row>
    <row r="2900" spans="17:17" x14ac:dyDescent="0.25">
      <c r="Q2900"/>
    </row>
    <row r="2901" spans="17:17" x14ac:dyDescent="0.25">
      <c r="Q2901"/>
    </row>
    <row r="2902" spans="17:17" x14ac:dyDescent="0.25">
      <c r="Q2902"/>
    </row>
    <row r="2903" spans="17:17" x14ac:dyDescent="0.25">
      <c r="Q2903"/>
    </row>
    <row r="2904" spans="17:17" x14ac:dyDescent="0.25">
      <c r="Q2904"/>
    </row>
    <row r="2905" spans="17:17" x14ac:dyDescent="0.25">
      <c r="Q2905"/>
    </row>
    <row r="2906" spans="17:17" x14ac:dyDescent="0.25">
      <c r="Q2906"/>
    </row>
    <row r="2907" spans="17:17" x14ac:dyDescent="0.25">
      <c r="Q2907"/>
    </row>
    <row r="2908" spans="17:17" x14ac:dyDescent="0.25">
      <c r="Q2908"/>
    </row>
    <row r="2909" spans="17:17" x14ac:dyDescent="0.25">
      <c r="Q2909"/>
    </row>
    <row r="2910" spans="17:17" x14ac:dyDescent="0.25">
      <c r="Q2910"/>
    </row>
    <row r="2911" spans="17:17" x14ac:dyDescent="0.25">
      <c r="Q2911"/>
    </row>
    <row r="2912" spans="17:17" x14ac:dyDescent="0.25">
      <c r="Q2912"/>
    </row>
    <row r="2913" spans="17:17" x14ac:dyDescent="0.25">
      <c r="Q2913"/>
    </row>
    <row r="2914" spans="17:17" x14ac:dyDescent="0.25">
      <c r="Q2914"/>
    </row>
    <row r="2915" spans="17:17" x14ac:dyDescent="0.25">
      <c r="Q2915"/>
    </row>
    <row r="2916" spans="17:17" x14ac:dyDescent="0.25">
      <c r="Q2916"/>
    </row>
    <row r="2917" spans="17:17" x14ac:dyDescent="0.25">
      <c r="Q2917"/>
    </row>
    <row r="2918" spans="17:17" x14ac:dyDescent="0.25">
      <c r="Q2918"/>
    </row>
    <row r="2919" spans="17:17" x14ac:dyDescent="0.25">
      <c r="Q2919"/>
    </row>
    <row r="2920" spans="17:17" x14ac:dyDescent="0.25">
      <c r="Q2920"/>
    </row>
    <row r="2921" spans="17:17" x14ac:dyDescent="0.25">
      <c r="Q2921"/>
    </row>
    <row r="2922" spans="17:17" x14ac:dyDescent="0.25">
      <c r="Q2922"/>
    </row>
    <row r="2923" spans="17:17" x14ac:dyDescent="0.25">
      <c r="Q2923"/>
    </row>
    <row r="2924" spans="17:17" x14ac:dyDescent="0.25">
      <c r="Q2924"/>
    </row>
    <row r="2925" spans="17:17" x14ac:dyDescent="0.25">
      <c r="Q2925"/>
    </row>
    <row r="2926" spans="17:17" x14ac:dyDescent="0.25">
      <c r="Q2926"/>
    </row>
    <row r="2927" spans="17:17" x14ac:dyDescent="0.25">
      <c r="Q2927"/>
    </row>
    <row r="2928" spans="17:17" x14ac:dyDescent="0.25">
      <c r="Q2928"/>
    </row>
    <row r="2929" spans="17:17" x14ac:dyDescent="0.25">
      <c r="Q2929"/>
    </row>
    <row r="2930" spans="17:17" x14ac:dyDescent="0.25">
      <c r="Q2930"/>
    </row>
    <row r="2931" spans="17:17" x14ac:dyDescent="0.25">
      <c r="Q2931"/>
    </row>
    <row r="2932" spans="17:17" x14ac:dyDescent="0.25">
      <c r="Q2932"/>
    </row>
    <row r="2933" spans="17:17" x14ac:dyDescent="0.25">
      <c r="Q2933"/>
    </row>
    <row r="2934" spans="17:17" x14ac:dyDescent="0.25">
      <c r="Q2934"/>
    </row>
    <row r="2935" spans="17:17" x14ac:dyDescent="0.25">
      <c r="Q2935"/>
    </row>
    <row r="2936" spans="17:17" x14ac:dyDescent="0.25">
      <c r="Q2936"/>
    </row>
    <row r="2937" spans="17:17" x14ac:dyDescent="0.25">
      <c r="Q2937"/>
    </row>
    <row r="2938" spans="17:17" x14ac:dyDescent="0.25">
      <c r="Q2938"/>
    </row>
    <row r="2939" spans="17:17" x14ac:dyDescent="0.25">
      <c r="Q2939"/>
    </row>
    <row r="2940" spans="17:17" x14ac:dyDescent="0.25">
      <c r="Q2940"/>
    </row>
    <row r="2941" spans="17:17" x14ac:dyDescent="0.25">
      <c r="Q2941"/>
    </row>
    <row r="2942" spans="17:17" x14ac:dyDescent="0.25">
      <c r="Q2942"/>
    </row>
    <row r="2943" spans="17:17" x14ac:dyDescent="0.25">
      <c r="Q2943"/>
    </row>
    <row r="2944" spans="17:17" x14ac:dyDescent="0.25">
      <c r="Q2944"/>
    </row>
    <row r="2945" spans="17:17" x14ac:dyDescent="0.25">
      <c r="Q2945"/>
    </row>
    <row r="2946" spans="17:17" x14ac:dyDescent="0.25">
      <c r="Q2946"/>
    </row>
    <row r="2947" spans="17:17" x14ac:dyDescent="0.25">
      <c r="Q2947"/>
    </row>
    <row r="2948" spans="17:17" x14ac:dyDescent="0.25">
      <c r="Q2948"/>
    </row>
    <row r="2949" spans="17:17" x14ac:dyDescent="0.25">
      <c r="Q2949"/>
    </row>
    <row r="2950" spans="17:17" x14ac:dyDescent="0.25">
      <c r="Q2950"/>
    </row>
    <row r="2951" spans="17:17" x14ac:dyDescent="0.25">
      <c r="Q2951"/>
    </row>
    <row r="2952" spans="17:17" x14ac:dyDescent="0.25">
      <c r="Q2952"/>
    </row>
    <row r="2953" spans="17:17" x14ac:dyDescent="0.25">
      <c r="Q2953"/>
    </row>
    <row r="2954" spans="17:17" x14ac:dyDescent="0.25">
      <c r="Q2954"/>
    </row>
    <row r="2955" spans="17:17" x14ac:dyDescent="0.25">
      <c r="Q2955"/>
    </row>
    <row r="2956" spans="17:17" x14ac:dyDescent="0.25">
      <c r="Q2956"/>
    </row>
    <row r="2957" spans="17:17" x14ac:dyDescent="0.25">
      <c r="Q2957"/>
    </row>
    <row r="2958" spans="17:17" x14ac:dyDescent="0.25">
      <c r="Q2958"/>
    </row>
    <row r="2959" spans="17:17" x14ac:dyDescent="0.25">
      <c r="Q2959"/>
    </row>
    <row r="2960" spans="17:17" x14ac:dyDescent="0.25">
      <c r="Q2960"/>
    </row>
    <row r="2961" spans="17:17" x14ac:dyDescent="0.25">
      <c r="Q2961"/>
    </row>
    <row r="2962" spans="17:17" x14ac:dyDescent="0.25">
      <c r="Q2962"/>
    </row>
    <row r="2963" spans="17:17" x14ac:dyDescent="0.25">
      <c r="Q2963"/>
    </row>
    <row r="2964" spans="17:17" x14ac:dyDescent="0.25">
      <c r="Q2964"/>
    </row>
    <row r="2965" spans="17:17" x14ac:dyDescent="0.25">
      <c r="Q2965"/>
    </row>
    <row r="2966" spans="17:17" x14ac:dyDescent="0.25">
      <c r="Q2966"/>
    </row>
    <row r="2967" spans="17:17" x14ac:dyDescent="0.25">
      <c r="Q2967"/>
    </row>
    <row r="2968" spans="17:17" x14ac:dyDescent="0.25">
      <c r="Q2968"/>
    </row>
    <row r="2969" spans="17:17" x14ac:dyDescent="0.25">
      <c r="Q2969"/>
    </row>
    <row r="2970" spans="17:17" x14ac:dyDescent="0.25">
      <c r="Q2970"/>
    </row>
    <row r="2971" spans="17:17" x14ac:dyDescent="0.25">
      <c r="Q2971"/>
    </row>
    <row r="2972" spans="17:17" x14ac:dyDescent="0.25">
      <c r="Q2972"/>
    </row>
    <row r="2973" spans="17:17" x14ac:dyDescent="0.25">
      <c r="Q2973"/>
    </row>
    <row r="2974" spans="17:17" x14ac:dyDescent="0.25">
      <c r="Q2974"/>
    </row>
    <row r="2975" spans="17:17" x14ac:dyDescent="0.25">
      <c r="Q2975"/>
    </row>
    <row r="2976" spans="17:17" x14ac:dyDescent="0.25">
      <c r="Q2976"/>
    </row>
    <row r="2977" spans="17:17" x14ac:dyDescent="0.25">
      <c r="Q2977"/>
    </row>
    <row r="2978" spans="17:17" x14ac:dyDescent="0.25">
      <c r="Q2978"/>
    </row>
    <row r="2979" spans="17:17" x14ac:dyDescent="0.25">
      <c r="Q2979"/>
    </row>
    <row r="2980" spans="17:17" x14ac:dyDescent="0.25">
      <c r="Q2980"/>
    </row>
    <row r="2981" spans="17:17" x14ac:dyDescent="0.25">
      <c r="Q2981"/>
    </row>
    <row r="2982" spans="17:17" x14ac:dyDescent="0.25">
      <c r="Q2982"/>
    </row>
    <row r="2983" spans="17:17" x14ac:dyDescent="0.25">
      <c r="Q2983"/>
    </row>
    <row r="2984" spans="17:17" x14ac:dyDescent="0.25">
      <c r="Q2984"/>
    </row>
    <row r="2985" spans="17:17" x14ac:dyDescent="0.25">
      <c r="Q2985"/>
    </row>
    <row r="2986" spans="17:17" x14ac:dyDescent="0.25">
      <c r="Q2986"/>
    </row>
    <row r="2987" spans="17:17" x14ac:dyDescent="0.25">
      <c r="Q2987"/>
    </row>
    <row r="2988" spans="17:17" x14ac:dyDescent="0.25">
      <c r="Q2988"/>
    </row>
    <row r="2989" spans="17:17" x14ac:dyDescent="0.25">
      <c r="Q2989"/>
    </row>
    <row r="2990" spans="17:17" x14ac:dyDescent="0.25">
      <c r="Q2990"/>
    </row>
    <row r="2991" spans="17:17" x14ac:dyDescent="0.25">
      <c r="Q2991"/>
    </row>
    <row r="2992" spans="17:17" x14ac:dyDescent="0.25">
      <c r="Q2992"/>
    </row>
    <row r="2993" spans="17:17" x14ac:dyDescent="0.25">
      <c r="Q2993"/>
    </row>
    <row r="2994" spans="17:17" x14ac:dyDescent="0.25">
      <c r="Q2994"/>
    </row>
    <row r="2995" spans="17:17" x14ac:dyDescent="0.25">
      <c r="Q2995"/>
    </row>
    <row r="2996" spans="17:17" x14ac:dyDescent="0.25">
      <c r="Q2996"/>
    </row>
    <row r="2997" spans="17:17" x14ac:dyDescent="0.25">
      <c r="Q2997"/>
    </row>
    <row r="2998" spans="17:17" x14ac:dyDescent="0.25">
      <c r="Q2998"/>
    </row>
    <row r="2999" spans="17:17" x14ac:dyDescent="0.25">
      <c r="Q2999"/>
    </row>
    <row r="3000" spans="17:17" x14ac:dyDescent="0.25">
      <c r="Q3000"/>
    </row>
    <row r="3001" spans="17:17" x14ac:dyDescent="0.25">
      <c r="Q3001"/>
    </row>
    <row r="3002" spans="17:17" x14ac:dyDescent="0.25">
      <c r="Q3002"/>
    </row>
    <row r="3003" spans="17:17" x14ac:dyDescent="0.25">
      <c r="Q3003"/>
    </row>
    <row r="3004" spans="17:17" x14ac:dyDescent="0.25">
      <c r="Q3004"/>
    </row>
    <row r="3005" spans="17:17" x14ac:dyDescent="0.25">
      <c r="Q3005"/>
    </row>
    <row r="3006" spans="17:17" x14ac:dyDescent="0.25">
      <c r="Q3006"/>
    </row>
    <row r="3007" spans="17:17" x14ac:dyDescent="0.25">
      <c r="Q3007"/>
    </row>
    <row r="3008" spans="17:17" x14ac:dyDescent="0.25">
      <c r="Q3008"/>
    </row>
    <row r="3009" spans="17:17" x14ac:dyDescent="0.25">
      <c r="Q3009"/>
    </row>
    <row r="3010" spans="17:17" x14ac:dyDescent="0.25">
      <c r="Q3010"/>
    </row>
    <row r="3011" spans="17:17" x14ac:dyDescent="0.25">
      <c r="Q3011"/>
    </row>
    <row r="3012" spans="17:17" x14ac:dyDescent="0.25">
      <c r="Q3012"/>
    </row>
    <row r="3013" spans="17:17" x14ac:dyDescent="0.25">
      <c r="Q3013"/>
    </row>
    <row r="3014" spans="17:17" x14ac:dyDescent="0.25">
      <c r="Q3014"/>
    </row>
    <row r="3015" spans="17:17" x14ac:dyDescent="0.25">
      <c r="Q3015"/>
    </row>
    <row r="3016" spans="17:17" x14ac:dyDescent="0.25">
      <c r="Q3016"/>
    </row>
    <row r="3017" spans="17:17" x14ac:dyDescent="0.25">
      <c r="Q3017"/>
    </row>
    <row r="3018" spans="17:17" x14ac:dyDescent="0.25">
      <c r="Q3018"/>
    </row>
    <row r="3019" spans="17:17" x14ac:dyDescent="0.25">
      <c r="Q3019"/>
    </row>
    <row r="3020" spans="17:17" x14ac:dyDescent="0.25">
      <c r="Q3020"/>
    </row>
    <row r="3021" spans="17:17" x14ac:dyDescent="0.25">
      <c r="Q3021"/>
    </row>
    <row r="3022" spans="17:17" x14ac:dyDescent="0.25">
      <c r="Q3022"/>
    </row>
    <row r="3023" spans="17:17" x14ac:dyDescent="0.25">
      <c r="Q3023"/>
    </row>
    <row r="3024" spans="17:17" x14ac:dyDescent="0.25">
      <c r="Q3024"/>
    </row>
    <row r="3025" spans="17:17" x14ac:dyDescent="0.25">
      <c r="Q3025"/>
    </row>
    <row r="3026" spans="17:17" x14ac:dyDescent="0.25">
      <c r="Q3026"/>
    </row>
    <row r="3027" spans="17:17" x14ac:dyDescent="0.25">
      <c r="Q3027"/>
    </row>
    <row r="3028" spans="17:17" x14ac:dyDescent="0.25">
      <c r="Q3028"/>
    </row>
    <row r="3029" spans="17:17" x14ac:dyDescent="0.25">
      <c r="Q3029"/>
    </row>
    <row r="3030" spans="17:17" x14ac:dyDescent="0.25">
      <c r="Q3030"/>
    </row>
    <row r="3031" spans="17:17" x14ac:dyDescent="0.25">
      <c r="Q3031"/>
    </row>
    <row r="3032" spans="17:17" x14ac:dyDescent="0.25">
      <c r="Q3032"/>
    </row>
    <row r="3033" spans="17:17" x14ac:dyDescent="0.25">
      <c r="Q3033"/>
    </row>
    <row r="3034" spans="17:17" x14ac:dyDescent="0.25">
      <c r="Q3034"/>
    </row>
    <row r="3035" spans="17:17" x14ac:dyDescent="0.25">
      <c r="Q3035"/>
    </row>
    <row r="3036" spans="17:17" x14ac:dyDescent="0.25">
      <c r="Q3036"/>
    </row>
    <row r="3037" spans="17:17" x14ac:dyDescent="0.25">
      <c r="Q3037"/>
    </row>
    <row r="3038" spans="17:17" x14ac:dyDescent="0.25">
      <c r="Q3038"/>
    </row>
    <row r="3039" spans="17:17" x14ac:dyDescent="0.25">
      <c r="Q3039"/>
    </row>
    <row r="3040" spans="17:17" x14ac:dyDescent="0.25">
      <c r="Q3040"/>
    </row>
    <row r="3041" spans="17:17" x14ac:dyDescent="0.25">
      <c r="Q3041"/>
    </row>
    <row r="3042" spans="17:17" x14ac:dyDescent="0.25">
      <c r="Q3042"/>
    </row>
    <row r="3043" spans="17:17" x14ac:dyDescent="0.25">
      <c r="Q3043"/>
    </row>
    <row r="3044" spans="17:17" x14ac:dyDescent="0.25">
      <c r="Q3044"/>
    </row>
    <row r="3045" spans="17:17" x14ac:dyDescent="0.25">
      <c r="Q3045"/>
    </row>
    <row r="3046" spans="17:17" x14ac:dyDescent="0.25">
      <c r="Q3046"/>
    </row>
    <row r="3047" spans="17:17" x14ac:dyDescent="0.25">
      <c r="Q3047"/>
    </row>
    <row r="3048" spans="17:17" x14ac:dyDescent="0.25">
      <c r="Q3048"/>
    </row>
    <row r="3049" spans="17:17" x14ac:dyDescent="0.25">
      <c r="Q3049"/>
    </row>
    <row r="3050" spans="17:17" x14ac:dyDescent="0.25">
      <c r="Q3050"/>
    </row>
    <row r="3051" spans="17:17" x14ac:dyDescent="0.25">
      <c r="Q3051"/>
    </row>
    <row r="3052" spans="17:17" x14ac:dyDescent="0.25">
      <c r="Q3052"/>
    </row>
    <row r="3053" spans="17:17" x14ac:dyDescent="0.25">
      <c r="Q3053"/>
    </row>
    <row r="3054" spans="17:17" x14ac:dyDescent="0.25">
      <c r="Q3054"/>
    </row>
    <row r="3055" spans="17:17" x14ac:dyDescent="0.25">
      <c r="Q3055"/>
    </row>
    <row r="3056" spans="17:17" x14ac:dyDescent="0.25">
      <c r="Q3056"/>
    </row>
    <row r="3057" spans="17:17" x14ac:dyDescent="0.25">
      <c r="Q3057"/>
    </row>
    <row r="3058" spans="17:17" x14ac:dyDescent="0.25">
      <c r="Q3058"/>
    </row>
    <row r="3059" spans="17:17" x14ac:dyDescent="0.25">
      <c r="Q3059"/>
    </row>
    <row r="3060" spans="17:17" x14ac:dyDescent="0.25">
      <c r="Q3060"/>
    </row>
    <row r="3061" spans="17:17" x14ac:dyDescent="0.25">
      <c r="Q3061"/>
    </row>
    <row r="3062" spans="17:17" x14ac:dyDescent="0.25">
      <c r="Q3062"/>
    </row>
    <row r="3063" spans="17:17" x14ac:dyDescent="0.25">
      <c r="Q3063"/>
    </row>
    <row r="3064" spans="17:17" x14ac:dyDescent="0.25">
      <c r="Q3064"/>
    </row>
    <row r="3065" spans="17:17" x14ac:dyDescent="0.25">
      <c r="Q3065"/>
    </row>
    <row r="3066" spans="17:17" x14ac:dyDescent="0.25">
      <c r="Q3066"/>
    </row>
    <row r="3067" spans="17:17" x14ac:dyDescent="0.25">
      <c r="Q3067"/>
    </row>
    <row r="3068" spans="17:17" x14ac:dyDescent="0.25">
      <c r="Q3068"/>
    </row>
    <row r="3069" spans="17:17" x14ac:dyDescent="0.25">
      <c r="Q3069"/>
    </row>
    <row r="3070" spans="17:17" x14ac:dyDescent="0.25">
      <c r="Q3070"/>
    </row>
    <row r="3071" spans="17:17" x14ac:dyDescent="0.25">
      <c r="Q3071"/>
    </row>
    <row r="3072" spans="17:17" x14ac:dyDescent="0.25">
      <c r="Q3072"/>
    </row>
    <row r="3073" spans="17:17" x14ac:dyDescent="0.25">
      <c r="Q3073"/>
    </row>
    <row r="3074" spans="17:17" x14ac:dyDescent="0.25">
      <c r="Q3074"/>
    </row>
    <row r="3075" spans="17:17" x14ac:dyDescent="0.25">
      <c r="Q3075"/>
    </row>
    <row r="3076" spans="17:17" x14ac:dyDescent="0.25">
      <c r="Q3076"/>
    </row>
    <row r="3077" spans="17:17" x14ac:dyDescent="0.25">
      <c r="Q3077"/>
    </row>
    <row r="3078" spans="17:17" x14ac:dyDescent="0.25">
      <c r="Q3078"/>
    </row>
    <row r="3079" spans="17:17" x14ac:dyDescent="0.25">
      <c r="Q3079"/>
    </row>
    <row r="3080" spans="17:17" x14ac:dyDescent="0.25">
      <c r="Q3080"/>
    </row>
    <row r="3081" spans="17:17" x14ac:dyDescent="0.25">
      <c r="Q3081"/>
    </row>
    <row r="3082" spans="17:17" x14ac:dyDescent="0.25">
      <c r="Q3082"/>
    </row>
    <row r="3083" spans="17:17" x14ac:dyDescent="0.25">
      <c r="Q3083"/>
    </row>
    <row r="3084" spans="17:17" x14ac:dyDescent="0.25">
      <c r="Q3084"/>
    </row>
    <row r="3085" spans="17:17" x14ac:dyDescent="0.25">
      <c r="Q3085"/>
    </row>
    <row r="3086" spans="17:17" x14ac:dyDescent="0.25">
      <c r="Q3086"/>
    </row>
    <row r="3087" spans="17:17" x14ac:dyDescent="0.25">
      <c r="Q3087"/>
    </row>
    <row r="3088" spans="17:17" x14ac:dyDescent="0.25">
      <c r="Q3088"/>
    </row>
    <row r="3089" spans="17:17" x14ac:dyDescent="0.25">
      <c r="Q3089"/>
    </row>
    <row r="3090" spans="17:17" x14ac:dyDescent="0.25">
      <c r="Q3090"/>
    </row>
    <row r="3091" spans="17:17" x14ac:dyDescent="0.25">
      <c r="Q3091"/>
    </row>
    <row r="3092" spans="17:17" x14ac:dyDescent="0.25">
      <c r="Q3092"/>
    </row>
    <row r="3093" spans="17:17" x14ac:dyDescent="0.25">
      <c r="Q3093"/>
    </row>
    <row r="3094" spans="17:17" x14ac:dyDescent="0.25">
      <c r="Q3094"/>
    </row>
    <row r="3095" spans="17:17" x14ac:dyDescent="0.25">
      <c r="Q3095"/>
    </row>
    <row r="3096" spans="17:17" x14ac:dyDescent="0.25">
      <c r="Q3096"/>
    </row>
    <row r="3097" spans="17:17" x14ac:dyDescent="0.25">
      <c r="Q3097"/>
    </row>
    <row r="3098" spans="17:17" x14ac:dyDescent="0.25">
      <c r="Q3098"/>
    </row>
    <row r="3099" spans="17:17" x14ac:dyDescent="0.25">
      <c r="Q3099"/>
    </row>
    <row r="3100" spans="17:17" x14ac:dyDescent="0.25">
      <c r="Q3100"/>
    </row>
    <row r="3101" spans="17:17" x14ac:dyDescent="0.25">
      <c r="Q3101"/>
    </row>
    <row r="3102" spans="17:17" x14ac:dyDescent="0.25">
      <c r="Q3102"/>
    </row>
    <row r="3103" spans="17:17" x14ac:dyDescent="0.25">
      <c r="Q3103"/>
    </row>
    <row r="3104" spans="17:17" x14ac:dyDescent="0.25">
      <c r="Q3104"/>
    </row>
    <row r="3105" spans="17:17" x14ac:dyDescent="0.25">
      <c r="Q3105"/>
    </row>
    <row r="3106" spans="17:17" x14ac:dyDescent="0.25">
      <c r="Q3106"/>
    </row>
    <row r="3107" spans="17:17" x14ac:dyDescent="0.25">
      <c r="Q3107"/>
    </row>
    <row r="3108" spans="17:17" x14ac:dyDescent="0.25">
      <c r="Q3108"/>
    </row>
    <row r="3109" spans="17:17" x14ac:dyDescent="0.25">
      <c r="Q3109"/>
    </row>
    <row r="3110" spans="17:17" x14ac:dyDescent="0.25">
      <c r="Q3110"/>
    </row>
    <row r="3111" spans="17:17" x14ac:dyDescent="0.25">
      <c r="Q3111"/>
    </row>
    <row r="3112" spans="17:17" x14ac:dyDescent="0.25">
      <c r="Q3112"/>
    </row>
    <row r="3113" spans="17:17" x14ac:dyDescent="0.25">
      <c r="Q3113"/>
    </row>
    <row r="3114" spans="17:17" x14ac:dyDescent="0.25">
      <c r="Q3114"/>
    </row>
    <row r="3115" spans="17:17" x14ac:dyDescent="0.25">
      <c r="Q3115"/>
    </row>
    <row r="3116" spans="17:17" x14ac:dyDescent="0.25">
      <c r="Q3116"/>
    </row>
    <row r="3117" spans="17:17" x14ac:dyDescent="0.25">
      <c r="Q3117"/>
    </row>
    <row r="3118" spans="17:17" x14ac:dyDescent="0.25">
      <c r="Q3118"/>
    </row>
    <row r="3119" spans="17:17" x14ac:dyDescent="0.25">
      <c r="Q3119"/>
    </row>
    <row r="3120" spans="17:17" x14ac:dyDescent="0.25">
      <c r="Q3120"/>
    </row>
    <row r="3121" spans="17:17" x14ac:dyDescent="0.25">
      <c r="Q3121"/>
    </row>
    <row r="3122" spans="17:17" x14ac:dyDescent="0.25">
      <c r="Q3122"/>
    </row>
    <row r="3123" spans="17:17" x14ac:dyDescent="0.25">
      <c r="Q3123"/>
    </row>
    <row r="3124" spans="17:17" x14ac:dyDescent="0.25">
      <c r="Q3124"/>
    </row>
    <row r="3125" spans="17:17" x14ac:dyDescent="0.25">
      <c r="Q3125"/>
    </row>
    <row r="3126" spans="17:17" x14ac:dyDescent="0.25">
      <c r="Q3126"/>
    </row>
    <row r="3127" spans="17:17" x14ac:dyDescent="0.25">
      <c r="Q3127"/>
    </row>
    <row r="3128" spans="17:17" x14ac:dyDescent="0.25">
      <c r="Q3128"/>
    </row>
    <row r="3129" spans="17:17" x14ac:dyDescent="0.25">
      <c r="Q3129"/>
    </row>
    <row r="3130" spans="17:17" x14ac:dyDescent="0.25">
      <c r="Q3130"/>
    </row>
    <row r="3131" spans="17:17" x14ac:dyDescent="0.25">
      <c r="Q3131"/>
    </row>
    <row r="3132" spans="17:17" x14ac:dyDescent="0.25">
      <c r="Q3132"/>
    </row>
    <row r="3133" spans="17:17" x14ac:dyDescent="0.25">
      <c r="Q3133"/>
    </row>
    <row r="3134" spans="17:17" x14ac:dyDescent="0.25">
      <c r="Q3134"/>
    </row>
    <row r="3135" spans="17:17" x14ac:dyDescent="0.25">
      <c r="Q3135"/>
    </row>
    <row r="3136" spans="17:17" x14ac:dyDescent="0.25">
      <c r="Q3136"/>
    </row>
    <row r="3137" spans="17:17" x14ac:dyDescent="0.25">
      <c r="Q3137"/>
    </row>
    <row r="3138" spans="17:17" x14ac:dyDescent="0.25">
      <c r="Q3138"/>
    </row>
    <row r="3139" spans="17:17" x14ac:dyDescent="0.25">
      <c r="Q3139"/>
    </row>
    <row r="3140" spans="17:17" x14ac:dyDescent="0.25">
      <c r="Q3140"/>
    </row>
    <row r="3141" spans="17:17" x14ac:dyDescent="0.25">
      <c r="Q3141"/>
    </row>
    <row r="3142" spans="17:17" x14ac:dyDescent="0.25">
      <c r="Q3142"/>
    </row>
    <row r="3143" spans="17:17" x14ac:dyDescent="0.25">
      <c r="Q3143"/>
    </row>
    <row r="3144" spans="17:17" x14ac:dyDescent="0.25">
      <c r="Q3144"/>
    </row>
    <row r="3145" spans="17:17" x14ac:dyDescent="0.25">
      <c r="Q3145"/>
    </row>
    <row r="3146" spans="17:17" x14ac:dyDescent="0.25">
      <c r="Q3146"/>
    </row>
    <row r="3147" spans="17:17" x14ac:dyDescent="0.25">
      <c r="Q3147"/>
    </row>
    <row r="3148" spans="17:17" x14ac:dyDescent="0.25">
      <c r="Q3148"/>
    </row>
    <row r="3149" spans="17:17" x14ac:dyDescent="0.25">
      <c r="Q3149"/>
    </row>
    <row r="3150" spans="17:17" x14ac:dyDescent="0.25">
      <c r="Q3150"/>
    </row>
    <row r="3151" spans="17:17" x14ac:dyDescent="0.25">
      <c r="Q3151"/>
    </row>
    <row r="3152" spans="17:17" x14ac:dyDescent="0.25">
      <c r="Q3152"/>
    </row>
    <row r="3153" spans="17:17" x14ac:dyDescent="0.25">
      <c r="Q3153"/>
    </row>
    <row r="3154" spans="17:17" x14ac:dyDescent="0.25">
      <c r="Q3154"/>
    </row>
    <row r="3155" spans="17:17" x14ac:dyDescent="0.25">
      <c r="Q3155"/>
    </row>
    <row r="3156" spans="17:17" x14ac:dyDescent="0.25">
      <c r="Q3156"/>
    </row>
    <row r="3157" spans="17:17" x14ac:dyDescent="0.25">
      <c r="Q3157"/>
    </row>
    <row r="3158" spans="17:17" x14ac:dyDescent="0.25">
      <c r="Q3158"/>
    </row>
    <row r="3159" spans="17:17" x14ac:dyDescent="0.25">
      <c r="Q3159"/>
    </row>
    <row r="3160" spans="17:17" x14ac:dyDescent="0.25">
      <c r="Q3160"/>
    </row>
    <row r="3161" spans="17:17" x14ac:dyDescent="0.25">
      <c r="Q3161"/>
    </row>
    <row r="3162" spans="17:17" x14ac:dyDescent="0.25">
      <c r="Q3162"/>
    </row>
    <row r="3163" spans="17:17" x14ac:dyDescent="0.25">
      <c r="Q3163"/>
    </row>
    <row r="3164" spans="17:17" x14ac:dyDescent="0.25">
      <c r="Q3164"/>
    </row>
    <row r="3165" spans="17:17" x14ac:dyDescent="0.25">
      <c r="Q3165"/>
    </row>
    <row r="3166" spans="17:17" x14ac:dyDescent="0.25">
      <c r="Q3166"/>
    </row>
    <row r="3167" spans="17:17" x14ac:dyDescent="0.25">
      <c r="Q3167"/>
    </row>
    <row r="3168" spans="17:17" x14ac:dyDescent="0.25">
      <c r="Q3168"/>
    </row>
    <row r="3169" spans="17:17" x14ac:dyDescent="0.25">
      <c r="Q3169"/>
    </row>
    <row r="3170" spans="17:17" x14ac:dyDescent="0.25">
      <c r="Q3170"/>
    </row>
    <row r="3171" spans="17:17" x14ac:dyDescent="0.25">
      <c r="Q3171"/>
    </row>
    <row r="3172" spans="17:17" x14ac:dyDescent="0.25">
      <c r="Q3172"/>
    </row>
    <row r="3173" spans="17:17" x14ac:dyDescent="0.25">
      <c r="Q3173"/>
    </row>
    <row r="3174" spans="17:17" x14ac:dyDescent="0.25">
      <c r="Q3174"/>
    </row>
    <row r="3175" spans="17:17" x14ac:dyDescent="0.25">
      <c r="Q3175"/>
    </row>
    <row r="3176" spans="17:17" x14ac:dyDescent="0.25">
      <c r="Q3176"/>
    </row>
    <row r="3177" spans="17:17" x14ac:dyDescent="0.25">
      <c r="Q3177"/>
    </row>
    <row r="3178" spans="17:17" x14ac:dyDescent="0.25">
      <c r="Q3178"/>
    </row>
    <row r="3179" spans="17:17" x14ac:dyDescent="0.25">
      <c r="Q3179"/>
    </row>
    <row r="3180" spans="17:17" x14ac:dyDescent="0.25">
      <c r="Q3180"/>
    </row>
    <row r="3181" spans="17:17" x14ac:dyDescent="0.25">
      <c r="Q3181"/>
    </row>
    <row r="3182" spans="17:17" x14ac:dyDescent="0.25">
      <c r="Q3182"/>
    </row>
    <row r="3183" spans="17:17" x14ac:dyDescent="0.25">
      <c r="Q3183"/>
    </row>
    <row r="3184" spans="17:17" x14ac:dyDescent="0.25">
      <c r="Q3184"/>
    </row>
    <row r="3185" spans="17:17" x14ac:dyDescent="0.25">
      <c r="Q3185"/>
    </row>
    <row r="3186" spans="17:17" x14ac:dyDescent="0.25">
      <c r="Q3186"/>
    </row>
    <row r="3187" spans="17:17" x14ac:dyDescent="0.25">
      <c r="Q3187"/>
    </row>
    <row r="3188" spans="17:17" x14ac:dyDescent="0.25">
      <c r="Q3188"/>
    </row>
    <row r="3189" spans="17:17" x14ac:dyDescent="0.25">
      <c r="Q3189"/>
    </row>
    <row r="3190" spans="17:17" x14ac:dyDescent="0.25">
      <c r="Q3190"/>
    </row>
    <row r="3191" spans="17:17" x14ac:dyDescent="0.25">
      <c r="Q3191"/>
    </row>
    <row r="3192" spans="17:17" x14ac:dyDescent="0.25">
      <c r="Q3192"/>
    </row>
    <row r="3193" spans="17:17" x14ac:dyDescent="0.25">
      <c r="Q3193"/>
    </row>
    <row r="3194" spans="17:17" x14ac:dyDescent="0.25">
      <c r="Q3194"/>
    </row>
    <row r="3195" spans="17:17" x14ac:dyDescent="0.25">
      <c r="Q3195"/>
    </row>
    <row r="3196" spans="17:17" x14ac:dyDescent="0.25">
      <c r="Q3196"/>
    </row>
    <row r="3197" spans="17:17" x14ac:dyDescent="0.25">
      <c r="Q3197"/>
    </row>
    <row r="3198" spans="17:17" x14ac:dyDescent="0.25">
      <c r="Q3198"/>
    </row>
    <row r="3199" spans="17:17" x14ac:dyDescent="0.25">
      <c r="Q3199"/>
    </row>
    <row r="3200" spans="17:17" x14ac:dyDescent="0.25">
      <c r="Q3200"/>
    </row>
    <row r="3201" spans="17:17" x14ac:dyDescent="0.25">
      <c r="Q3201"/>
    </row>
    <row r="3202" spans="17:17" x14ac:dyDescent="0.25">
      <c r="Q3202"/>
    </row>
    <row r="3203" spans="17:17" x14ac:dyDescent="0.25">
      <c r="Q3203"/>
    </row>
    <row r="3204" spans="17:17" x14ac:dyDescent="0.25">
      <c r="Q3204"/>
    </row>
    <row r="3205" spans="17:17" x14ac:dyDescent="0.25">
      <c r="Q3205"/>
    </row>
    <row r="3206" spans="17:17" x14ac:dyDescent="0.25">
      <c r="Q3206"/>
    </row>
    <row r="3207" spans="17:17" x14ac:dyDescent="0.25">
      <c r="Q3207"/>
    </row>
    <row r="3208" spans="17:17" x14ac:dyDescent="0.25">
      <c r="Q3208"/>
    </row>
    <row r="3209" spans="17:17" x14ac:dyDescent="0.25">
      <c r="Q3209"/>
    </row>
    <row r="3210" spans="17:17" x14ac:dyDescent="0.25">
      <c r="Q3210"/>
    </row>
    <row r="3211" spans="17:17" x14ac:dyDescent="0.25">
      <c r="Q3211"/>
    </row>
    <row r="3212" spans="17:17" x14ac:dyDescent="0.25">
      <c r="Q3212"/>
    </row>
    <row r="3213" spans="17:17" x14ac:dyDescent="0.25">
      <c r="Q3213"/>
    </row>
    <row r="3214" spans="17:17" x14ac:dyDescent="0.25">
      <c r="Q3214"/>
    </row>
    <row r="3215" spans="17:17" x14ac:dyDescent="0.25">
      <c r="Q3215"/>
    </row>
    <row r="3216" spans="17:17" x14ac:dyDescent="0.25">
      <c r="Q3216"/>
    </row>
    <row r="3217" spans="17:17" x14ac:dyDescent="0.25">
      <c r="Q3217"/>
    </row>
    <row r="3218" spans="17:17" x14ac:dyDescent="0.25">
      <c r="Q3218"/>
    </row>
    <row r="3219" spans="17:17" x14ac:dyDescent="0.25">
      <c r="Q3219"/>
    </row>
    <row r="3220" spans="17:17" x14ac:dyDescent="0.25">
      <c r="Q3220"/>
    </row>
    <row r="3221" spans="17:17" x14ac:dyDescent="0.25">
      <c r="Q3221"/>
    </row>
    <row r="3222" spans="17:17" x14ac:dyDescent="0.25">
      <c r="Q3222"/>
    </row>
    <row r="3223" spans="17:17" x14ac:dyDescent="0.25">
      <c r="Q3223"/>
    </row>
    <row r="3224" spans="17:17" x14ac:dyDescent="0.25">
      <c r="Q3224"/>
    </row>
    <row r="3225" spans="17:17" x14ac:dyDescent="0.25">
      <c r="Q3225"/>
    </row>
    <row r="3226" spans="17:17" x14ac:dyDescent="0.25">
      <c r="Q3226"/>
    </row>
    <row r="3227" spans="17:17" x14ac:dyDescent="0.25">
      <c r="Q3227"/>
    </row>
    <row r="3228" spans="17:17" x14ac:dyDescent="0.25">
      <c r="Q3228"/>
    </row>
    <row r="3229" spans="17:17" x14ac:dyDescent="0.25">
      <c r="Q3229"/>
    </row>
    <row r="3230" spans="17:17" x14ac:dyDescent="0.25">
      <c r="Q3230"/>
    </row>
    <row r="3231" spans="17:17" x14ac:dyDescent="0.25">
      <c r="Q3231"/>
    </row>
    <row r="3232" spans="17:17" x14ac:dyDescent="0.25">
      <c r="Q3232"/>
    </row>
    <row r="3233" spans="17:17" x14ac:dyDescent="0.25">
      <c r="Q3233"/>
    </row>
    <row r="3234" spans="17:17" x14ac:dyDescent="0.25">
      <c r="Q3234"/>
    </row>
    <row r="3235" spans="17:17" x14ac:dyDescent="0.25">
      <c r="Q3235"/>
    </row>
    <row r="3236" spans="17:17" x14ac:dyDescent="0.25">
      <c r="Q3236"/>
    </row>
    <row r="3237" spans="17:17" x14ac:dyDescent="0.25">
      <c r="Q3237"/>
    </row>
    <row r="3238" spans="17:17" x14ac:dyDescent="0.25">
      <c r="Q3238"/>
    </row>
    <row r="3239" spans="17:17" x14ac:dyDescent="0.25">
      <c r="Q3239"/>
    </row>
    <row r="3240" spans="17:17" x14ac:dyDescent="0.25">
      <c r="Q3240"/>
    </row>
    <row r="3241" spans="17:17" x14ac:dyDescent="0.25">
      <c r="Q3241"/>
    </row>
    <row r="3242" spans="17:17" x14ac:dyDescent="0.25">
      <c r="Q3242"/>
    </row>
    <row r="3243" spans="17:17" x14ac:dyDescent="0.25">
      <c r="Q3243"/>
    </row>
    <row r="3244" spans="17:17" x14ac:dyDescent="0.25">
      <c r="Q3244"/>
    </row>
    <row r="3245" spans="17:17" x14ac:dyDescent="0.25">
      <c r="Q3245"/>
    </row>
    <row r="3246" spans="17:17" x14ac:dyDescent="0.25">
      <c r="Q3246"/>
    </row>
    <row r="3247" spans="17:17" x14ac:dyDescent="0.25">
      <c r="Q3247"/>
    </row>
    <row r="3248" spans="17:17" x14ac:dyDescent="0.25">
      <c r="Q3248"/>
    </row>
    <row r="3249" spans="17:17" x14ac:dyDescent="0.25">
      <c r="Q3249"/>
    </row>
    <row r="3250" spans="17:17" x14ac:dyDescent="0.25">
      <c r="Q3250"/>
    </row>
    <row r="3251" spans="17:17" x14ac:dyDescent="0.25">
      <c r="Q3251"/>
    </row>
    <row r="3252" spans="17:17" x14ac:dyDescent="0.25">
      <c r="Q3252"/>
    </row>
    <row r="3253" spans="17:17" x14ac:dyDescent="0.25">
      <c r="Q3253"/>
    </row>
    <row r="3254" spans="17:17" x14ac:dyDescent="0.25">
      <c r="Q3254"/>
    </row>
    <row r="3255" spans="17:17" x14ac:dyDescent="0.25">
      <c r="Q3255"/>
    </row>
    <row r="3256" spans="17:17" x14ac:dyDescent="0.25">
      <c r="Q3256"/>
    </row>
    <row r="3257" spans="17:17" x14ac:dyDescent="0.25">
      <c r="Q3257"/>
    </row>
    <row r="3258" spans="17:17" x14ac:dyDescent="0.25">
      <c r="Q3258"/>
    </row>
    <row r="3259" spans="17:17" x14ac:dyDescent="0.25">
      <c r="Q3259"/>
    </row>
    <row r="3260" spans="17:17" x14ac:dyDescent="0.25">
      <c r="Q3260"/>
    </row>
    <row r="3261" spans="17:17" x14ac:dyDescent="0.25">
      <c r="Q3261"/>
    </row>
    <row r="3262" spans="17:17" x14ac:dyDescent="0.25">
      <c r="Q3262"/>
    </row>
    <row r="3263" spans="17:17" x14ac:dyDescent="0.25">
      <c r="Q3263"/>
    </row>
    <row r="3264" spans="17:17" x14ac:dyDescent="0.25">
      <c r="Q3264"/>
    </row>
    <row r="3265" spans="17:17" x14ac:dyDescent="0.25">
      <c r="Q3265"/>
    </row>
    <row r="3266" spans="17:17" x14ac:dyDescent="0.25">
      <c r="Q3266"/>
    </row>
    <row r="3267" spans="17:17" x14ac:dyDescent="0.25">
      <c r="Q3267"/>
    </row>
    <row r="3268" spans="17:17" x14ac:dyDescent="0.25">
      <c r="Q3268"/>
    </row>
    <row r="3269" spans="17:17" x14ac:dyDescent="0.25">
      <c r="Q3269"/>
    </row>
    <row r="3270" spans="17:17" x14ac:dyDescent="0.25">
      <c r="Q3270"/>
    </row>
    <row r="3271" spans="17:17" x14ac:dyDescent="0.25">
      <c r="Q3271"/>
    </row>
    <row r="3272" spans="17:17" x14ac:dyDescent="0.25">
      <c r="Q3272"/>
    </row>
    <row r="3273" spans="17:17" x14ac:dyDescent="0.25">
      <c r="Q3273"/>
    </row>
    <row r="3274" spans="17:17" x14ac:dyDescent="0.25">
      <c r="Q3274"/>
    </row>
    <row r="3275" spans="17:17" x14ac:dyDescent="0.25">
      <c r="Q3275"/>
    </row>
    <row r="3276" spans="17:17" x14ac:dyDescent="0.25">
      <c r="Q3276"/>
    </row>
    <row r="3277" spans="17:17" x14ac:dyDescent="0.25">
      <c r="Q3277"/>
    </row>
    <row r="3278" spans="17:17" x14ac:dyDescent="0.25">
      <c r="Q3278"/>
    </row>
    <row r="3279" spans="17:17" x14ac:dyDescent="0.25">
      <c r="Q3279"/>
    </row>
    <row r="3280" spans="17:17" x14ac:dyDescent="0.25">
      <c r="Q3280"/>
    </row>
    <row r="3281" spans="17:17" x14ac:dyDescent="0.25">
      <c r="Q3281"/>
    </row>
    <row r="3282" spans="17:17" x14ac:dyDescent="0.25">
      <c r="Q3282"/>
    </row>
    <row r="3283" spans="17:17" x14ac:dyDescent="0.25">
      <c r="Q3283"/>
    </row>
    <row r="3284" spans="17:17" x14ac:dyDescent="0.25">
      <c r="Q3284"/>
    </row>
    <row r="3285" spans="17:17" x14ac:dyDescent="0.25">
      <c r="Q3285"/>
    </row>
    <row r="3286" spans="17:17" x14ac:dyDescent="0.25">
      <c r="Q3286"/>
    </row>
    <row r="3287" spans="17:17" x14ac:dyDescent="0.25">
      <c r="Q3287"/>
    </row>
    <row r="3288" spans="17:17" x14ac:dyDescent="0.25">
      <c r="Q3288"/>
    </row>
    <row r="3289" spans="17:17" x14ac:dyDescent="0.25">
      <c r="Q3289"/>
    </row>
    <row r="3290" spans="17:17" x14ac:dyDescent="0.25">
      <c r="Q3290"/>
    </row>
    <row r="3291" spans="17:17" x14ac:dyDescent="0.25">
      <c r="Q3291"/>
    </row>
    <row r="3292" spans="17:17" x14ac:dyDescent="0.25">
      <c r="Q3292"/>
    </row>
    <row r="3293" spans="17:17" x14ac:dyDescent="0.25">
      <c r="Q3293"/>
    </row>
    <row r="3294" spans="17:17" x14ac:dyDescent="0.25">
      <c r="Q3294"/>
    </row>
    <row r="3295" spans="17:17" x14ac:dyDescent="0.25">
      <c r="Q3295"/>
    </row>
    <row r="3296" spans="17:17" x14ac:dyDescent="0.25">
      <c r="Q3296"/>
    </row>
    <row r="3297" spans="17:17" x14ac:dyDescent="0.25">
      <c r="Q3297"/>
    </row>
    <row r="3298" spans="17:17" x14ac:dyDescent="0.25">
      <c r="Q3298"/>
    </row>
    <row r="3299" spans="17:17" x14ac:dyDescent="0.25">
      <c r="Q3299"/>
    </row>
    <row r="3300" spans="17:17" x14ac:dyDescent="0.25">
      <c r="Q3300"/>
    </row>
    <row r="3301" spans="17:17" x14ac:dyDescent="0.25">
      <c r="Q3301"/>
    </row>
    <row r="3302" spans="17:17" x14ac:dyDescent="0.25">
      <c r="Q3302"/>
    </row>
    <row r="3303" spans="17:17" x14ac:dyDescent="0.25">
      <c r="Q3303"/>
    </row>
    <row r="3304" spans="17:17" x14ac:dyDescent="0.25">
      <c r="Q3304"/>
    </row>
    <row r="3305" spans="17:17" x14ac:dyDescent="0.25">
      <c r="Q3305"/>
    </row>
    <row r="3306" spans="17:17" x14ac:dyDescent="0.25">
      <c r="Q3306"/>
    </row>
    <row r="3307" spans="17:17" x14ac:dyDescent="0.25">
      <c r="Q3307"/>
    </row>
    <row r="3308" spans="17:17" x14ac:dyDescent="0.25">
      <c r="Q3308"/>
    </row>
    <row r="3309" spans="17:17" x14ac:dyDescent="0.25">
      <c r="Q3309"/>
    </row>
    <row r="3310" spans="17:17" x14ac:dyDescent="0.25">
      <c r="Q3310"/>
    </row>
    <row r="3311" spans="17:17" x14ac:dyDescent="0.25">
      <c r="Q3311"/>
    </row>
    <row r="3312" spans="17:17" x14ac:dyDescent="0.25">
      <c r="Q3312"/>
    </row>
    <row r="3313" spans="17:17" x14ac:dyDescent="0.25">
      <c r="Q3313"/>
    </row>
    <row r="3314" spans="17:17" x14ac:dyDescent="0.25">
      <c r="Q3314"/>
    </row>
    <row r="3315" spans="17:17" x14ac:dyDescent="0.25">
      <c r="Q3315"/>
    </row>
    <row r="3316" spans="17:17" x14ac:dyDescent="0.25">
      <c r="Q3316"/>
    </row>
    <row r="3317" spans="17:17" x14ac:dyDescent="0.25">
      <c r="Q3317"/>
    </row>
    <row r="3318" spans="17:17" x14ac:dyDescent="0.25">
      <c r="Q3318"/>
    </row>
    <row r="3319" spans="17:17" x14ac:dyDescent="0.25">
      <c r="Q3319"/>
    </row>
    <row r="3320" spans="17:17" x14ac:dyDescent="0.25">
      <c r="Q3320"/>
    </row>
    <row r="3321" spans="17:17" x14ac:dyDescent="0.25">
      <c r="Q3321"/>
    </row>
    <row r="3322" spans="17:17" x14ac:dyDescent="0.25">
      <c r="Q3322"/>
    </row>
    <row r="3323" spans="17:17" x14ac:dyDescent="0.25">
      <c r="Q3323"/>
    </row>
    <row r="3324" spans="17:17" x14ac:dyDescent="0.25">
      <c r="Q3324"/>
    </row>
    <row r="3325" spans="17:17" x14ac:dyDescent="0.25">
      <c r="Q3325"/>
    </row>
    <row r="3326" spans="17:17" x14ac:dyDescent="0.25">
      <c r="Q3326"/>
    </row>
    <row r="3327" spans="17:17" x14ac:dyDescent="0.25">
      <c r="Q3327"/>
    </row>
    <row r="3328" spans="17:17" x14ac:dyDescent="0.25">
      <c r="Q3328"/>
    </row>
    <row r="3329" spans="17:17" x14ac:dyDescent="0.25">
      <c r="Q3329"/>
    </row>
    <row r="3330" spans="17:17" x14ac:dyDescent="0.25">
      <c r="Q3330"/>
    </row>
    <row r="3331" spans="17:17" x14ac:dyDescent="0.25">
      <c r="Q3331"/>
    </row>
    <row r="3332" spans="17:17" x14ac:dyDescent="0.25">
      <c r="Q3332"/>
    </row>
    <row r="3333" spans="17:17" x14ac:dyDescent="0.25">
      <c r="Q3333"/>
    </row>
    <row r="3334" spans="17:17" x14ac:dyDescent="0.25">
      <c r="Q3334"/>
    </row>
    <row r="3335" spans="17:17" x14ac:dyDescent="0.25">
      <c r="Q3335"/>
    </row>
    <row r="3336" spans="17:17" x14ac:dyDescent="0.25">
      <c r="Q3336"/>
    </row>
    <row r="3337" spans="17:17" x14ac:dyDescent="0.25">
      <c r="Q3337"/>
    </row>
    <row r="3338" spans="17:17" x14ac:dyDescent="0.25">
      <c r="Q3338"/>
    </row>
    <row r="3339" spans="17:17" x14ac:dyDescent="0.25">
      <c r="Q3339"/>
    </row>
    <row r="3340" spans="17:17" x14ac:dyDescent="0.25">
      <c r="Q3340"/>
    </row>
    <row r="3341" spans="17:17" x14ac:dyDescent="0.25">
      <c r="Q3341"/>
    </row>
    <row r="3342" spans="17:17" x14ac:dyDescent="0.25">
      <c r="Q3342"/>
    </row>
    <row r="3343" spans="17:17" x14ac:dyDescent="0.25">
      <c r="Q3343"/>
    </row>
    <row r="3344" spans="17:17" x14ac:dyDescent="0.25">
      <c r="Q3344"/>
    </row>
    <row r="3345" spans="17:17" x14ac:dyDescent="0.25">
      <c r="Q3345"/>
    </row>
    <row r="3346" spans="17:17" x14ac:dyDescent="0.25">
      <c r="Q3346"/>
    </row>
    <row r="3347" spans="17:17" x14ac:dyDescent="0.25">
      <c r="Q3347"/>
    </row>
    <row r="3348" spans="17:17" x14ac:dyDescent="0.25">
      <c r="Q3348"/>
    </row>
    <row r="3349" spans="17:17" x14ac:dyDescent="0.25">
      <c r="Q3349"/>
    </row>
    <row r="3350" spans="17:17" x14ac:dyDescent="0.25">
      <c r="Q3350"/>
    </row>
    <row r="3351" spans="17:17" x14ac:dyDescent="0.25">
      <c r="Q3351"/>
    </row>
    <row r="3352" spans="17:17" x14ac:dyDescent="0.25">
      <c r="Q3352"/>
    </row>
    <row r="3353" spans="17:17" x14ac:dyDescent="0.25">
      <c r="Q3353"/>
    </row>
    <row r="3354" spans="17:17" x14ac:dyDescent="0.25">
      <c r="Q3354"/>
    </row>
    <row r="3355" spans="17:17" x14ac:dyDescent="0.25">
      <c r="Q3355"/>
    </row>
    <row r="3356" spans="17:17" x14ac:dyDescent="0.25">
      <c r="Q3356"/>
    </row>
    <row r="3357" spans="17:17" x14ac:dyDescent="0.25">
      <c r="Q3357"/>
    </row>
    <row r="3358" spans="17:17" x14ac:dyDescent="0.25">
      <c r="Q3358"/>
    </row>
    <row r="3359" spans="17:17" x14ac:dyDescent="0.25">
      <c r="Q3359"/>
    </row>
    <row r="3360" spans="17:17" x14ac:dyDescent="0.25">
      <c r="Q3360"/>
    </row>
    <row r="3361" spans="17:17" x14ac:dyDescent="0.25">
      <c r="Q3361"/>
    </row>
    <row r="3362" spans="17:17" x14ac:dyDescent="0.25">
      <c r="Q3362"/>
    </row>
    <row r="3363" spans="17:17" x14ac:dyDescent="0.25">
      <c r="Q3363"/>
    </row>
    <row r="3364" spans="17:17" x14ac:dyDescent="0.25">
      <c r="Q3364"/>
    </row>
    <row r="3365" spans="17:17" x14ac:dyDescent="0.25">
      <c r="Q3365"/>
    </row>
    <row r="3366" spans="17:17" x14ac:dyDescent="0.25">
      <c r="Q3366"/>
    </row>
    <row r="3367" spans="17:17" x14ac:dyDescent="0.25">
      <c r="Q3367"/>
    </row>
    <row r="3368" spans="17:17" x14ac:dyDescent="0.25">
      <c r="Q3368"/>
    </row>
    <row r="3369" spans="17:17" x14ac:dyDescent="0.25">
      <c r="Q3369"/>
    </row>
    <row r="3370" spans="17:17" x14ac:dyDescent="0.25">
      <c r="Q3370"/>
    </row>
    <row r="3371" spans="17:17" x14ac:dyDescent="0.25">
      <c r="Q3371"/>
    </row>
    <row r="3372" spans="17:17" x14ac:dyDescent="0.25">
      <c r="Q3372"/>
    </row>
    <row r="3373" spans="17:17" x14ac:dyDescent="0.25">
      <c r="Q3373"/>
    </row>
    <row r="3374" spans="17:17" x14ac:dyDescent="0.25">
      <c r="Q3374"/>
    </row>
    <row r="3375" spans="17:17" x14ac:dyDescent="0.25">
      <c r="Q3375"/>
    </row>
    <row r="3376" spans="17:17" x14ac:dyDescent="0.25">
      <c r="Q3376"/>
    </row>
    <row r="3377" spans="17:17" x14ac:dyDescent="0.25">
      <c r="Q3377"/>
    </row>
    <row r="3378" spans="17:17" x14ac:dyDescent="0.25">
      <c r="Q3378"/>
    </row>
    <row r="3379" spans="17:17" x14ac:dyDescent="0.25">
      <c r="Q3379"/>
    </row>
    <row r="3380" spans="17:17" x14ac:dyDescent="0.25">
      <c r="Q3380"/>
    </row>
    <row r="3381" spans="17:17" x14ac:dyDescent="0.25">
      <c r="Q3381"/>
    </row>
    <row r="3382" spans="17:17" x14ac:dyDescent="0.25">
      <c r="Q3382"/>
    </row>
    <row r="3383" spans="17:17" x14ac:dyDescent="0.25">
      <c r="Q3383"/>
    </row>
    <row r="3384" spans="17:17" x14ac:dyDescent="0.25">
      <c r="Q3384"/>
    </row>
    <row r="3385" spans="17:17" x14ac:dyDescent="0.25">
      <c r="Q3385"/>
    </row>
    <row r="3386" spans="17:17" x14ac:dyDescent="0.25">
      <c r="Q3386"/>
    </row>
    <row r="3387" spans="17:17" x14ac:dyDescent="0.25">
      <c r="Q3387"/>
    </row>
    <row r="3388" spans="17:17" x14ac:dyDescent="0.25">
      <c r="Q3388"/>
    </row>
    <row r="3389" spans="17:17" x14ac:dyDescent="0.25">
      <c r="Q3389"/>
    </row>
    <row r="3390" spans="17:17" x14ac:dyDescent="0.25">
      <c r="Q3390"/>
    </row>
    <row r="3391" spans="17:17" x14ac:dyDescent="0.25">
      <c r="Q3391"/>
    </row>
    <row r="3392" spans="17:17" x14ac:dyDescent="0.25">
      <c r="Q3392"/>
    </row>
    <row r="3393" spans="17:17" x14ac:dyDescent="0.25">
      <c r="Q3393"/>
    </row>
    <row r="3394" spans="17:17" x14ac:dyDescent="0.25">
      <c r="Q3394"/>
    </row>
    <row r="3395" spans="17:17" x14ac:dyDescent="0.25">
      <c r="Q3395"/>
    </row>
    <row r="3396" spans="17:17" x14ac:dyDescent="0.25">
      <c r="Q3396"/>
    </row>
    <row r="3397" spans="17:17" x14ac:dyDescent="0.25">
      <c r="Q3397"/>
    </row>
    <row r="3398" spans="17:17" x14ac:dyDescent="0.25">
      <c r="Q3398"/>
    </row>
    <row r="3399" spans="17:17" x14ac:dyDescent="0.25">
      <c r="Q3399"/>
    </row>
    <row r="3400" spans="17:17" x14ac:dyDescent="0.25">
      <c r="Q3400"/>
    </row>
    <row r="3401" spans="17:17" x14ac:dyDescent="0.25">
      <c r="Q3401"/>
    </row>
    <row r="3402" spans="17:17" x14ac:dyDescent="0.25">
      <c r="Q3402"/>
    </row>
    <row r="3403" spans="17:17" x14ac:dyDescent="0.25">
      <c r="Q3403"/>
    </row>
    <row r="3404" spans="17:17" x14ac:dyDescent="0.25">
      <c r="Q3404"/>
    </row>
    <row r="3405" spans="17:17" x14ac:dyDescent="0.25">
      <c r="Q3405"/>
    </row>
    <row r="3406" spans="17:17" x14ac:dyDescent="0.25">
      <c r="Q3406"/>
    </row>
    <row r="3407" spans="17:17" x14ac:dyDescent="0.25">
      <c r="Q3407"/>
    </row>
    <row r="3408" spans="17:17" x14ac:dyDescent="0.25">
      <c r="Q3408"/>
    </row>
    <row r="3409" spans="17:17" x14ac:dyDescent="0.25">
      <c r="Q3409"/>
    </row>
    <row r="3410" spans="17:17" x14ac:dyDescent="0.25">
      <c r="Q3410"/>
    </row>
    <row r="3411" spans="17:17" x14ac:dyDescent="0.25">
      <c r="Q3411"/>
    </row>
    <row r="3412" spans="17:17" x14ac:dyDescent="0.25">
      <c r="Q3412"/>
    </row>
    <row r="3413" spans="17:17" x14ac:dyDescent="0.25">
      <c r="Q3413"/>
    </row>
    <row r="3414" spans="17:17" x14ac:dyDescent="0.25">
      <c r="Q3414"/>
    </row>
    <row r="3415" spans="17:17" x14ac:dyDescent="0.25">
      <c r="Q3415"/>
    </row>
    <row r="3416" spans="17:17" x14ac:dyDescent="0.25">
      <c r="Q3416"/>
    </row>
    <row r="3417" spans="17:17" x14ac:dyDescent="0.25">
      <c r="Q3417"/>
    </row>
    <row r="3418" spans="17:17" x14ac:dyDescent="0.25">
      <c r="Q3418"/>
    </row>
    <row r="3419" spans="17:17" x14ac:dyDescent="0.25">
      <c r="Q3419"/>
    </row>
    <row r="3420" spans="17:17" x14ac:dyDescent="0.25">
      <c r="Q3420"/>
    </row>
    <row r="3421" spans="17:17" x14ac:dyDescent="0.25">
      <c r="Q3421"/>
    </row>
    <row r="3422" spans="17:17" x14ac:dyDescent="0.25">
      <c r="Q3422"/>
    </row>
    <row r="3423" spans="17:17" x14ac:dyDescent="0.25">
      <c r="Q3423"/>
    </row>
    <row r="3424" spans="17:17" x14ac:dyDescent="0.25">
      <c r="Q3424"/>
    </row>
    <row r="3425" spans="17:17" x14ac:dyDescent="0.25">
      <c r="Q3425"/>
    </row>
    <row r="3426" spans="17:17" x14ac:dyDescent="0.25">
      <c r="Q3426"/>
    </row>
    <row r="3427" spans="17:17" x14ac:dyDescent="0.25">
      <c r="Q3427"/>
    </row>
    <row r="3428" spans="17:17" x14ac:dyDescent="0.25">
      <c r="Q3428"/>
    </row>
    <row r="3429" spans="17:17" x14ac:dyDescent="0.25">
      <c r="Q3429"/>
    </row>
    <row r="3430" spans="17:17" x14ac:dyDescent="0.25">
      <c r="Q3430"/>
    </row>
    <row r="3431" spans="17:17" x14ac:dyDescent="0.25">
      <c r="Q3431"/>
    </row>
    <row r="3432" spans="17:17" x14ac:dyDescent="0.25">
      <c r="Q3432"/>
    </row>
    <row r="3433" spans="17:17" x14ac:dyDescent="0.25">
      <c r="Q3433"/>
    </row>
    <row r="3434" spans="17:17" x14ac:dyDescent="0.25">
      <c r="Q3434"/>
    </row>
    <row r="3435" spans="17:17" x14ac:dyDescent="0.25">
      <c r="Q3435"/>
    </row>
    <row r="3436" spans="17:17" x14ac:dyDescent="0.25">
      <c r="Q3436"/>
    </row>
    <row r="3437" spans="17:17" x14ac:dyDescent="0.25">
      <c r="Q3437"/>
    </row>
    <row r="3438" spans="17:17" x14ac:dyDescent="0.25">
      <c r="Q3438"/>
    </row>
    <row r="3439" spans="17:17" x14ac:dyDescent="0.25">
      <c r="Q3439"/>
    </row>
    <row r="3440" spans="17:17" x14ac:dyDescent="0.25">
      <c r="Q3440"/>
    </row>
    <row r="3441" spans="17:17" x14ac:dyDescent="0.25">
      <c r="Q3441"/>
    </row>
    <row r="3442" spans="17:17" x14ac:dyDescent="0.25">
      <c r="Q3442"/>
    </row>
    <row r="3443" spans="17:17" x14ac:dyDescent="0.25">
      <c r="Q3443"/>
    </row>
    <row r="3444" spans="17:17" x14ac:dyDescent="0.25">
      <c r="Q3444"/>
    </row>
    <row r="3445" spans="17:17" x14ac:dyDescent="0.25">
      <c r="Q3445"/>
    </row>
    <row r="3446" spans="17:17" x14ac:dyDescent="0.25">
      <c r="Q3446"/>
    </row>
    <row r="3447" spans="17:17" x14ac:dyDescent="0.25">
      <c r="Q3447"/>
    </row>
    <row r="3448" spans="17:17" x14ac:dyDescent="0.25">
      <c r="Q3448"/>
    </row>
    <row r="3449" spans="17:17" x14ac:dyDescent="0.25">
      <c r="Q3449"/>
    </row>
    <row r="3450" spans="17:17" x14ac:dyDescent="0.25">
      <c r="Q3450"/>
    </row>
    <row r="3451" spans="17:17" x14ac:dyDescent="0.25">
      <c r="Q3451"/>
    </row>
    <row r="3452" spans="17:17" x14ac:dyDescent="0.25">
      <c r="Q3452"/>
    </row>
    <row r="3453" spans="17:17" x14ac:dyDescent="0.25">
      <c r="Q3453"/>
    </row>
    <row r="3454" spans="17:17" x14ac:dyDescent="0.25">
      <c r="Q3454"/>
    </row>
    <row r="3455" spans="17:17" x14ac:dyDescent="0.25">
      <c r="Q3455"/>
    </row>
    <row r="3456" spans="17:17" x14ac:dyDescent="0.25">
      <c r="Q3456"/>
    </row>
    <row r="3457" spans="17:17" x14ac:dyDescent="0.25">
      <c r="Q3457"/>
    </row>
    <row r="3458" spans="17:17" x14ac:dyDescent="0.25">
      <c r="Q3458"/>
    </row>
    <row r="3459" spans="17:17" x14ac:dyDescent="0.25">
      <c r="Q3459"/>
    </row>
    <row r="3460" spans="17:17" x14ac:dyDescent="0.25">
      <c r="Q3460"/>
    </row>
    <row r="3461" spans="17:17" x14ac:dyDescent="0.25">
      <c r="Q3461"/>
    </row>
    <row r="3462" spans="17:17" x14ac:dyDescent="0.25">
      <c r="Q3462"/>
    </row>
    <row r="3463" spans="17:17" x14ac:dyDescent="0.25">
      <c r="Q3463"/>
    </row>
    <row r="3464" spans="17:17" x14ac:dyDescent="0.25">
      <c r="Q3464"/>
    </row>
    <row r="3465" spans="17:17" x14ac:dyDescent="0.25">
      <c r="Q3465"/>
    </row>
    <row r="3466" spans="17:17" x14ac:dyDescent="0.25">
      <c r="Q3466"/>
    </row>
    <row r="3467" spans="17:17" x14ac:dyDescent="0.25">
      <c r="Q3467"/>
    </row>
    <row r="3468" spans="17:17" x14ac:dyDescent="0.25">
      <c r="Q3468"/>
    </row>
    <row r="3469" spans="17:17" x14ac:dyDescent="0.25">
      <c r="Q3469"/>
    </row>
    <row r="3470" spans="17:17" x14ac:dyDescent="0.25">
      <c r="Q3470"/>
    </row>
    <row r="3471" spans="17:17" x14ac:dyDescent="0.25">
      <c r="Q3471"/>
    </row>
    <row r="3472" spans="17:17" x14ac:dyDescent="0.25">
      <c r="Q3472"/>
    </row>
    <row r="3473" spans="17:17" x14ac:dyDescent="0.25">
      <c r="Q3473"/>
    </row>
    <row r="3474" spans="17:17" x14ac:dyDescent="0.25">
      <c r="Q3474"/>
    </row>
    <row r="3475" spans="17:17" x14ac:dyDescent="0.25">
      <c r="Q3475"/>
    </row>
    <row r="3476" spans="17:17" x14ac:dyDescent="0.25">
      <c r="Q3476"/>
    </row>
    <row r="3477" spans="17:17" x14ac:dyDescent="0.25">
      <c r="Q3477"/>
    </row>
    <row r="3478" spans="17:17" x14ac:dyDescent="0.25">
      <c r="Q3478"/>
    </row>
    <row r="3479" spans="17:17" x14ac:dyDescent="0.25">
      <c r="Q3479"/>
    </row>
    <row r="3480" spans="17:17" x14ac:dyDescent="0.25">
      <c r="Q3480"/>
    </row>
    <row r="3481" spans="17:17" x14ac:dyDescent="0.25">
      <c r="Q3481"/>
    </row>
    <row r="3482" spans="17:17" x14ac:dyDescent="0.25">
      <c r="Q3482"/>
    </row>
    <row r="3483" spans="17:17" x14ac:dyDescent="0.25">
      <c r="Q3483"/>
    </row>
    <row r="3484" spans="17:17" x14ac:dyDescent="0.25">
      <c r="Q3484"/>
    </row>
    <row r="3485" spans="17:17" x14ac:dyDescent="0.25">
      <c r="Q3485"/>
    </row>
    <row r="3486" spans="17:17" x14ac:dyDescent="0.25">
      <c r="Q3486"/>
    </row>
    <row r="3487" spans="17:17" x14ac:dyDescent="0.25">
      <c r="Q3487"/>
    </row>
    <row r="3488" spans="17:17" x14ac:dyDescent="0.25">
      <c r="Q3488"/>
    </row>
    <row r="3489" spans="17:17" x14ac:dyDescent="0.25">
      <c r="Q3489"/>
    </row>
    <row r="3490" spans="17:17" x14ac:dyDescent="0.25">
      <c r="Q3490"/>
    </row>
    <row r="3491" spans="17:17" x14ac:dyDescent="0.25">
      <c r="Q3491"/>
    </row>
    <row r="3492" spans="17:17" x14ac:dyDescent="0.25">
      <c r="Q3492"/>
    </row>
    <row r="3493" spans="17:17" x14ac:dyDescent="0.25">
      <c r="Q3493"/>
    </row>
    <row r="3494" spans="17:17" x14ac:dyDescent="0.25">
      <c r="Q3494"/>
    </row>
    <row r="3495" spans="17:17" x14ac:dyDescent="0.25">
      <c r="Q3495"/>
    </row>
    <row r="3496" spans="17:17" x14ac:dyDescent="0.25">
      <c r="Q3496"/>
    </row>
    <row r="3497" spans="17:17" x14ac:dyDescent="0.25">
      <c r="Q3497"/>
    </row>
    <row r="3498" spans="17:17" x14ac:dyDescent="0.25">
      <c r="Q3498"/>
    </row>
    <row r="3499" spans="17:17" x14ac:dyDescent="0.25">
      <c r="Q3499"/>
    </row>
    <row r="3500" spans="17:17" x14ac:dyDescent="0.25">
      <c r="Q3500"/>
    </row>
    <row r="3501" spans="17:17" x14ac:dyDescent="0.25">
      <c r="Q3501"/>
    </row>
    <row r="3502" spans="17:17" x14ac:dyDescent="0.25">
      <c r="Q3502"/>
    </row>
    <row r="3503" spans="17:17" x14ac:dyDescent="0.25">
      <c r="Q3503"/>
    </row>
    <row r="3504" spans="17:17" x14ac:dyDescent="0.25">
      <c r="Q3504"/>
    </row>
    <row r="3505" spans="17:17" x14ac:dyDescent="0.25">
      <c r="Q3505"/>
    </row>
    <row r="3506" spans="17:17" x14ac:dyDescent="0.25">
      <c r="Q3506"/>
    </row>
    <row r="3507" spans="17:17" x14ac:dyDescent="0.25">
      <c r="Q3507"/>
    </row>
    <row r="3508" spans="17:17" x14ac:dyDescent="0.25">
      <c r="Q3508"/>
    </row>
    <row r="3509" spans="17:17" x14ac:dyDescent="0.25">
      <c r="Q3509"/>
    </row>
    <row r="3510" spans="17:17" x14ac:dyDescent="0.25">
      <c r="Q3510"/>
    </row>
    <row r="3511" spans="17:17" x14ac:dyDescent="0.25">
      <c r="Q3511"/>
    </row>
    <row r="3512" spans="17:17" x14ac:dyDescent="0.25">
      <c r="Q3512"/>
    </row>
    <row r="3513" spans="17:17" x14ac:dyDescent="0.25">
      <c r="Q3513"/>
    </row>
    <row r="3514" spans="17:17" x14ac:dyDescent="0.25">
      <c r="Q3514"/>
    </row>
    <row r="3515" spans="17:17" x14ac:dyDescent="0.25">
      <c r="Q3515"/>
    </row>
    <row r="3516" spans="17:17" x14ac:dyDescent="0.25">
      <c r="Q3516"/>
    </row>
    <row r="3517" spans="17:17" x14ac:dyDescent="0.25">
      <c r="Q3517"/>
    </row>
    <row r="3518" spans="17:17" x14ac:dyDescent="0.25">
      <c r="Q3518"/>
    </row>
    <row r="3519" spans="17:17" x14ac:dyDescent="0.25">
      <c r="Q3519"/>
    </row>
    <row r="3520" spans="17:17" x14ac:dyDescent="0.25">
      <c r="Q3520"/>
    </row>
    <row r="3521" spans="17:17" x14ac:dyDescent="0.25">
      <c r="Q3521"/>
    </row>
    <row r="3522" spans="17:17" x14ac:dyDescent="0.25">
      <c r="Q3522"/>
    </row>
    <row r="3523" spans="17:17" x14ac:dyDescent="0.25">
      <c r="Q3523"/>
    </row>
    <row r="3524" spans="17:17" x14ac:dyDescent="0.25">
      <c r="Q3524"/>
    </row>
    <row r="3525" spans="17:17" x14ac:dyDescent="0.25">
      <c r="Q3525"/>
    </row>
    <row r="3526" spans="17:17" x14ac:dyDescent="0.25">
      <c r="Q3526"/>
    </row>
    <row r="3527" spans="17:17" x14ac:dyDescent="0.25">
      <c r="Q3527"/>
    </row>
    <row r="3528" spans="17:17" x14ac:dyDescent="0.25">
      <c r="Q3528"/>
    </row>
    <row r="3529" spans="17:17" x14ac:dyDescent="0.25">
      <c r="Q3529"/>
    </row>
    <row r="3530" spans="17:17" x14ac:dyDescent="0.25">
      <c r="Q3530"/>
    </row>
    <row r="3531" spans="17:17" x14ac:dyDescent="0.25">
      <c r="Q3531"/>
    </row>
    <row r="3532" spans="17:17" x14ac:dyDescent="0.25">
      <c r="Q3532"/>
    </row>
    <row r="3533" spans="17:17" x14ac:dyDescent="0.25">
      <c r="Q3533"/>
    </row>
    <row r="3534" spans="17:17" x14ac:dyDescent="0.25">
      <c r="Q3534"/>
    </row>
    <row r="3535" spans="17:17" x14ac:dyDescent="0.25">
      <c r="Q3535"/>
    </row>
    <row r="3536" spans="17:17" x14ac:dyDescent="0.25">
      <c r="Q3536"/>
    </row>
    <row r="3537" spans="17:17" x14ac:dyDescent="0.25">
      <c r="Q3537"/>
    </row>
    <row r="3538" spans="17:17" x14ac:dyDescent="0.25">
      <c r="Q3538"/>
    </row>
    <row r="3539" spans="17:17" x14ac:dyDescent="0.25">
      <c r="Q3539"/>
    </row>
    <row r="3540" spans="17:17" x14ac:dyDescent="0.25">
      <c r="Q3540"/>
    </row>
    <row r="3541" spans="17:17" x14ac:dyDescent="0.25">
      <c r="Q3541"/>
    </row>
    <row r="3542" spans="17:17" x14ac:dyDescent="0.25">
      <c r="Q3542"/>
    </row>
    <row r="3543" spans="17:17" x14ac:dyDescent="0.25">
      <c r="Q3543"/>
    </row>
    <row r="3544" spans="17:17" x14ac:dyDescent="0.25">
      <c r="Q3544"/>
    </row>
    <row r="3545" spans="17:17" x14ac:dyDescent="0.25">
      <c r="Q3545"/>
    </row>
    <row r="3546" spans="17:17" x14ac:dyDescent="0.25">
      <c r="Q3546"/>
    </row>
    <row r="3547" spans="17:17" x14ac:dyDescent="0.25">
      <c r="Q3547"/>
    </row>
    <row r="3548" spans="17:17" x14ac:dyDescent="0.25">
      <c r="Q3548"/>
    </row>
    <row r="3549" spans="17:17" x14ac:dyDescent="0.25">
      <c r="Q3549"/>
    </row>
    <row r="3550" spans="17:17" x14ac:dyDescent="0.25">
      <c r="Q3550"/>
    </row>
    <row r="3551" spans="17:17" x14ac:dyDescent="0.25">
      <c r="Q3551"/>
    </row>
    <row r="3552" spans="17:17" x14ac:dyDescent="0.25">
      <c r="Q3552"/>
    </row>
    <row r="3553" spans="17:17" x14ac:dyDescent="0.25">
      <c r="Q3553"/>
    </row>
    <row r="3554" spans="17:17" x14ac:dyDescent="0.25">
      <c r="Q3554"/>
    </row>
    <row r="3555" spans="17:17" x14ac:dyDescent="0.25">
      <c r="Q3555"/>
    </row>
    <row r="3556" spans="17:17" x14ac:dyDescent="0.25">
      <c r="Q3556"/>
    </row>
    <row r="3557" spans="17:17" x14ac:dyDescent="0.25">
      <c r="Q3557"/>
    </row>
    <row r="3558" spans="17:17" x14ac:dyDescent="0.25">
      <c r="Q3558"/>
    </row>
    <row r="3559" spans="17:17" x14ac:dyDescent="0.25">
      <c r="Q3559"/>
    </row>
    <row r="3560" spans="17:17" x14ac:dyDescent="0.25">
      <c r="Q3560"/>
    </row>
    <row r="3561" spans="17:17" x14ac:dyDescent="0.25">
      <c r="Q3561"/>
    </row>
    <row r="3562" spans="17:17" x14ac:dyDescent="0.25">
      <c r="Q3562"/>
    </row>
    <row r="3563" spans="17:17" x14ac:dyDescent="0.25">
      <c r="Q3563"/>
    </row>
    <row r="3564" spans="17:17" x14ac:dyDescent="0.25">
      <c r="Q3564"/>
    </row>
    <row r="3565" spans="17:17" x14ac:dyDescent="0.25">
      <c r="Q3565"/>
    </row>
    <row r="3566" spans="17:17" x14ac:dyDescent="0.25">
      <c r="Q3566"/>
    </row>
    <row r="3567" spans="17:17" x14ac:dyDescent="0.25">
      <c r="Q3567"/>
    </row>
    <row r="3568" spans="17:17" x14ac:dyDescent="0.25">
      <c r="Q3568"/>
    </row>
    <row r="3569" spans="17:17" x14ac:dyDescent="0.25">
      <c r="Q3569"/>
    </row>
    <row r="3570" spans="17:17" x14ac:dyDescent="0.25">
      <c r="Q3570"/>
    </row>
    <row r="3571" spans="17:17" x14ac:dyDescent="0.25">
      <c r="Q3571"/>
    </row>
    <row r="3572" spans="17:17" x14ac:dyDescent="0.25">
      <c r="Q3572"/>
    </row>
    <row r="3573" spans="17:17" x14ac:dyDescent="0.25">
      <c r="Q3573"/>
    </row>
    <row r="3574" spans="17:17" x14ac:dyDescent="0.25">
      <c r="Q3574"/>
    </row>
    <row r="3575" spans="17:17" x14ac:dyDescent="0.25">
      <c r="Q3575"/>
    </row>
    <row r="3576" spans="17:17" x14ac:dyDescent="0.25">
      <c r="Q3576"/>
    </row>
    <row r="3577" spans="17:17" x14ac:dyDescent="0.25">
      <c r="Q3577"/>
    </row>
    <row r="3578" spans="17:17" x14ac:dyDescent="0.25">
      <c r="Q3578"/>
    </row>
    <row r="3579" spans="17:17" x14ac:dyDescent="0.25">
      <c r="Q3579"/>
    </row>
    <row r="3580" spans="17:17" x14ac:dyDescent="0.25">
      <c r="Q3580"/>
    </row>
    <row r="3581" spans="17:17" x14ac:dyDescent="0.25">
      <c r="Q3581"/>
    </row>
    <row r="3582" spans="17:17" x14ac:dyDescent="0.25">
      <c r="Q3582"/>
    </row>
    <row r="3583" spans="17:17" x14ac:dyDescent="0.25">
      <c r="Q3583"/>
    </row>
    <row r="3584" spans="17:17" x14ac:dyDescent="0.25">
      <c r="Q3584"/>
    </row>
    <row r="3585" spans="17:17" x14ac:dyDescent="0.25">
      <c r="Q3585"/>
    </row>
    <row r="3586" spans="17:17" x14ac:dyDescent="0.25">
      <c r="Q3586"/>
    </row>
    <row r="3587" spans="17:17" x14ac:dyDescent="0.25">
      <c r="Q3587"/>
    </row>
    <row r="3588" spans="17:17" x14ac:dyDescent="0.25">
      <c r="Q3588"/>
    </row>
    <row r="3589" spans="17:17" x14ac:dyDescent="0.25">
      <c r="Q3589"/>
    </row>
    <row r="3590" spans="17:17" x14ac:dyDescent="0.25">
      <c r="Q3590"/>
    </row>
    <row r="3591" spans="17:17" x14ac:dyDescent="0.25">
      <c r="Q3591"/>
    </row>
    <row r="3592" spans="17:17" x14ac:dyDescent="0.25">
      <c r="Q3592"/>
    </row>
    <row r="3593" spans="17:17" x14ac:dyDescent="0.25">
      <c r="Q3593"/>
    </row>
    <row r="3594" spans="17:17" x14ac:dyDescent="0.25">
      <c r="Q3594"/>
    </row>
    <row r="3595" spans="17:17" x14ac:dyDescent="0.25">
      <c r="Q3595"/>
    </row>
    <row r="3596" spans="17:17" x14ac:dyDescent="0.25">
      <c r="Q3596"/>
    </row>
    <row r="3597" spans="17:17" x14ac:dyDescent="0.25">
      <c r="Q3597"/>
    </row>
    <row r="3598" spans="17:17" x14ac:dyDescent="0.25">
      <c r="Q3598"/>
    </row>
    <row r="3599" spans="17:17" x14ac:dyDescent="0.25">
      <c r="Q3599"/>
    </row>
    <row r="3600" spans="17:17" x14ac:dyDescent="0.25">
      <c r="Q3600"/>
    </row>
    <row r="3601" spans="17:17" x14ac:dyDescent="0.25">
      <c r="Q3601"/>
    </row>
    <row r="3602" spans="17:17" x14ac:dyDescent="0.25">
      <c r="Q3602"/>
    </row>
    <row r="3603" spans="17:17" x14ac:dyDescent="0.25">
      <c r="Q3603"/>
    </row>
    <row r="3604" spans="17:17" x14ac:dyDescent="0.25">
      <c r="Q3604"/>
    </row>
    <row r="3605" spans="17:17" x14ac:dyDescent="0.25">
      <c r="Q3605"/>
    </row>
    <row r="3606" spans="17:17" x14ac:dyDescent="0.25">
      <c r="Q3606"/>
    </row>
    <row r="3607" spans="17:17" x14ac:dyDescent="0.25">
      <c r="Q3607"/>
    </row>
    <row r="3608" spans="17:17" x14ac:dyDescent="0.25">
      <c r="Q3608"/>
    </row>
    <row r="3609" spans="17:17" x14ac:dyDescent="0.25">
      <c r="Q3609"/>
    </row>
    <row r="3610" spans="17:17" x14ac:dyDescent="0.25">
      <c r="Q3610"/>
    </row>
    <row r="3611" spans="17:17" x14ac:dyDescent="0.25">
      <c r="Q3611"/>
    </row>
    <row r="3612" spans="17:17" x14ac:dyDescent="0.25">
      <c r="Q3612"/>
    </row>
    <row r="3613" spans="17:17" x14ac:dyDescent="0.25">
      <c r="Q3613"/>
    </row>
    <row r="3614" spans="17:17" x14ac:dyDescent="0.25">
      <c r="Q3614"/>
    </row>
    <row r="3615" spans="17:17" x14ac:dyDescent="0.25">
      <c r="Q3615"/>
    </row>
    <row r="3616" spans="17:17" x14ac:dyDescent="0.25">
      <c r="Q3616"/>
    </row>
    <row r="3617" spans="17:17" x14ac:dyDescent="0.25">
      <c r="Q3617"/>
    </row>
    <row r="3618" spans="17:17" x14ac:dyDescent="0.25">
      <c r="Q3618"/>
    </row>
    <row r="3619" spans="17:17" x14ac:dyDescent="0.25">
      <c r="Q3619"/>
    </row>
    <row r="3620" spans="17:17" x14ac:dyDescent="0.25">
      <c r="Q3620"/>
    </row>
    <row r="3621" spans="17:17" x14ac:dyDescent="0.25">
      <c r="Q3621"/>
    </row>
    <row r="3622" spans="17:17" x14ac:dyDescent="0.25">
      <c r="Q3622"/>
    </row>
    <row r="3623" spans="17:17" x14ac:dyDescent="0.25">
      <c r="Q3623"/>
    </row>
    <row r="3624" spans="17:17" x14ac:dyDescent="0.25">
      <c r="Q3624"/>
    </row>
    <row r="3625" spans="17:17" x14ac:dyDescent="0.25">
      <c r="Q3625"/>
    </row>
    <row r="3626" spans="17:17" x14ac:dyDescent="0.25">
      <c r="Q3626"/>
    </row>
    <row r="3627" spans="17:17" x14ac:dyDescent="0.25">
      <c r="Q3627"/>
    </row>
    <row r="3628" spans="17:17" x14ac:dyDescent="0.25">
      <c r="Q3628"/>
    </row>
    <row r="3629" spans="17:17" x14ac:dyDescent="0.25">
      <c r="Q3629"/>
    </row>
    <row r="3630" spans="17:17" x14ac:dyDescent="0.25">
      <c r="Q3630"/>
    </row>
    <row r="3631" spans="17:17" x14ac:dyDescent="0.25">
      <c r="Q3631"/>
    </row>
    <row r="3632" spans="17:17" x14ac:dyDescent="0.25">
      <c r="Q3632"/>
    </row>
    <row r="3633" spans="17:17" x14ac:dyDescent="0.25">
      <c r="Q3633"/>
    </row>
    <row r="3634" spans="17:17" x14ac:dyDescent="0.25">
      <c r="Q3634"/>
    </row>
    <row r="3635" spans="17:17" x14ac:dyDescent="0.25">
      <c r="Q3635"/>
    </row>
    <row r="3636" spans="17:17" x14ac:dyDescent="0.25">
      <c r="Q3636"/>
    </row>
    <row r="3637" spans="17:17" x14ac:dyDescent="0.25">
      <c r="Q3637"/>
    </row>
    <row r="3638" spans="17:17" x14ac:dyDescent="0.25">
      <c r="Q3638"/>
    </row>
    <row r="3639" spans="17:17" x14ac:dyDescent="0.25">
      <c r="Q3639"/>
    </row>
    <row r="3640" spans="17:17" x14ac:dyDescent="0.25">
      <c r="Q3640"/>
    </row>
    <row r="3641" spans="17:17" x14ac:dyDescent="0.25">
      <c r="Q3641"/>
    </row>
    <row r="3642" spans="17:17" x14ac:dyDescent="0.25">
      <c r="Q3642"/>
    </row>
    <row r="3643" spans="17:17" x14ac:dyDescent="0.25">
      <c r="Q3643"/>
    </row>
    <row r="3644" spans="17:17" x14ac:dyDescent="0.25">
      <c r="Q3644"/>
    </row>
    <row r="3645" spans="17:17" x14ac:dyDescent="0.25">
      <c r="Q3645"/>
    </row>
    <row r="3646" spans="17:17" x14ac:dyDescent="0.25">
      <c r="Q3646"/>
    </row>
    <row r="3647" spans="17:17" x14ac:dyDescent="0.25">
      <c r="Q3647"/>
    </row>
    <row r="3648" spans="17:17" x14ac:dyDescent="0.25">
      <c r="Q3648"/>
    </row>
    <row r="3649" spans="17:17" x14ac:dyDescent="0.25">
      <c r="Q3649"/>
    </row>
    <row r="3650" spans="17:17" x14ac:dyDescent="0.25">
      <c r="Q3650"/>
    </row>
    <row r="3651" spans="17:17" x14ac:dyDescent="0.25">
      <c r="Q3651"/>
    </row>
    <row r="3652" spans="17:17" x14ac:dyDescent="0.25">
      <c r="Q3652"/>
    </row>
    <row r="3653" spans="17:17" x14ac:dyDescent="0.25">
      <c r="Q3653"/>
    </row>
    <row r="3654" spans="17:17" x14ac:dyDescent="0.25">
      <c r="Q3654"/>
    </row>
    <row r="3655" spans="17:17" x14ac:dyDescent="0.25">
      <c r="Q3655"/>
    </row>
    <row r="3656" spans="17:17" x14ac:dyDescent="0.25">
      <c r="Q3656"/>
    </row>
    <row r="3657" spans="17:17" x14ac:dyDescent="0.25">
      <c r="Q3657"/>
    </row>
    <row r="3658" spans="17:17" x14ac:dyDescent="0.25">
      <c r="Q3658"/>
    </row>
    <row r="3659" spans="17:17" x14ac:dyDescent="0.25">
      <c r="Q3659"/>
    </row>
    <row r="3660" spans="17:17" x14ac:dyDescent="0.25">
      <c r="Q3660"/>
    </row>
    <row r="3661" spans="17:17" x14ac:dyDescent="0.25">
      <c r="Q3661"/>
    </row>
    <row r="3662" spans="17:17" x14ac:dyDescent="0.25">
      <c r="Q3662"/>
    </row>
    <row r="3663" spans="17:17" x14ac:dyDescent="0.25">
      <c r="Q3663"/>
    </row>
    <row r="3664" spans="17:17" x14ac:dyDescent="0.25">
      <c r="Q3664"/>
    </row>
    <row r="3665" spans="17:17" x14ac:dyDescent="0.25">
      <c r="Q3665"/>
    </row>
    <row r="3666" spans="17:17" x14ac:dyDescent="0.25">
      <c r="Q3666"/>
    </row>
    <row r="3667" spans="17:17" x14ac:dyDescent="0.25">
      <c r="Q3667"/>
    </row>
    <row r="3668" spans="17:17" x14ac:dyDescent="0.25">
      <c r="Q3668"/>
    </row>
    <row r="3669" spans="17:17" x14ac:dyDescent="0.25">
      <c r="Q3669"/>
    </row>
    <row r="3670" spans="17:17" x14ac:dyDescent="0.25">
      <c r="Q3670"/>
    </row>
    <row r="3671" spans="17:17" x14ac:dyDescent="0.25">
      <c r="Q3671"/>
    </row>
    <row r="3672" spans="17:17" x14ac:dyDescent="0.25">
      <c r="Q3672"/>
    </row>
    <row r="3673" spans="17:17" x14ac:dyDescent="0.25">
      <c r="Q3673"/>
    </row>
    <row r="3674" spans="17:17" x14ac:dyDescent="0.25">
      <c r="Q3674"/>
    </row>
    <row r="3675" spans="17:17" x14ac:dyDescent="0.25">
      <c r="Q3675"/>
    </row>
    <row r="3676" spans="17:17" x14ac:dyDescent="0.25">
      <c r="Q3676"/>
    </row>
    <row r="3677" spans="17:17" x14ac:dyDescent="0.25">
      <c r="Q3677"/>
    </row>
    <row r="3678" spans="17:17" x14ac:dyDescent="0.25">
      <c r="Q3678"/>
    </row>
    <row r="3679" spans="17:17" x14ac:dyDescent="0.25">
      <c r="Q3679"/>
    </row>
    <row r="3680" spans="17:17" x14ac:dyDescent="0.25">
      <c r="Q3680"/>
    </row>
    <row r="3681" spans="17:17" x14ac:dyDescent="0.25">
      <c r="Q3681"/>
    </row>
    <row r="3682" spans="17:17" x14ac:dyDescent="0.25">
      <c r="Q3682"/>
    </row>
    <row r="3683" spans="17:17" x14ac:dyDescent="0.25">
      <c r="Q3683"/>
    </row>
    <row r="3684" spans="17:17" x14ac:dyDescent="0.25">
      <c r="Q3684"/>
    </row>
    <row r="3685" spans="17:17" x14ac:dyDescent="0.25">
      <c r="Q3685"/>
    </row>
    <row r="3686" spans="17:17" x14ac:dyDescent="0.25">
      <c r="Q3686"/>
    </row>
    <row r="3687" spans="17:17" x14ac:dyDescent="0.25">
      <c r="Q3687"/>
    </row>
    <row r="3688" spans="17:17" x14ac:dyDescent="0.25">
      <c r="Q3688"/>
    </row>
    <row r="3689" spans="17:17" x14ac:dyDescent="0.25">
      <c r="Q3689"/>
    </row>
    <row r="3690" spans="17:17" x14ac:dyDescent="0.25">
      <c r="Q3690"/>
    </row>
    <row r="3691" spans="17:17" x14ac:dyDescent="0.25">
      <c r="Q3691"/>
    </row>
    <row r="3692" spans="17:17" x14ac:dyDescent="0.25">
      <c r="Q3692"/>
    </row>
    <row r="3693" spans="17:17" x14ac:dyDescent="0.25">
      <c r="Q3693"/>
    </row>
    <row r="3694" spans="17:17" x14ac:dyDescent="0.25">
      <c r="Q3694"/>
    </row>
    <row r="3695" spans="17:17" x14ac:dyDescent="0.25">
      <c r="Q3695"/>
    </row>
    <row r="3696" spans="17:17" x14ac:dyDescent="0.25">
      <c r="Q3696"/>
    </row>
    <row r="3697" spans="17:17" x14ac:dyDescent="0.25">
      <c r="Q3697"/>
    </row>
    <row r="3698" spans="17:17" x14ac:dyDescent="0.25">
      <c r="Q3698"/>
    </row>
    <row r="3699" spans="17:17" x14ac:dyDescent="0.25">
      <c r="Q3699"/>
    </row>
    <row r="3700" spans="17:17" x14ac:dyDescent="0.25">
      <c r="Q3700"/>
    </row>
    <row r="3701" spans="17:17" x14ac:dyDescent="0.25">
      <c r="Q3701"/>
    </row>
    <row r="3702" spans="17:17" x14ac:dyDescent="0.25">
      <c r="Q3702"/>
    </row>
    <row r="3703" spans="17:17" x14ac:dyDescent="0.25">
      <c r="Q3703"/>
    </row>
    <row r="3704" spans="17:17" x14ac:dyDescent="0.25">
      <c r="Q3704"/>
    </row>
    <row r="3705" spans="17:17" x14ac:dyDescent="0.25">
      <c r="Q3705"/>
    </row>
    <row r="3706" spans="17:17" x14ac:dyDescent="0.25">
      <c r="Q3706"/>
    </row>
    <row r="3707" spans="17:17" x14ac:dyDescent="0.25">
      <c r="Q3707"/>
    </row>
    <row r="3708" spans="17:17" x14ac:dyDescent="0.25">
      <c r="Q3708"/>
    </row>
    <row r="3709" spans="17:17" x14ac:dyDescent="0.25">
      <c r="Q3709"/>
    </row>
    <row r="3710" spans="17:17" x14ac:dyDescent="0.25">
      <c r="Q3710"/>
    </row>
    <row r="3711" spans="17:17" x14ac:dyDescent="0.25">
      <c r="Q3711"/>
    </row>
    <row r="3712" spans="17:17" x14ac:dyDescent="0.25">
      <c r="Q3712"/>
    </row>
    <row r="3713" spans="17:17" x14ac:dyDescent="0.25">
      <c r="Q3713"/>
    </row>
    <row r="3714" spans="17:17" x14ac:dyDescent="0.25">
      <c r="Q3714"/>
    </row>
    <row r="3715" spans="17:17" x14ac:dyDescent="0.25">
      <c r="Q3715"/>
    </row>
    <row r="3716" spans="17:17" x14ac:dyDescent="0.25">
      <c r="Q3716"/>
    </row>
    <row r="3717" spans="17:17" x14ac:dyDescent="0.25">
      <c r="Q3717"/>
    </row>
    <row r="3718" spans="17:17" x14ac:dyDescent="0.25">
      <c r="Q3718"/>
    </row>
    <row r="3719" spans="17:17" x14ac:dyDescent="0.25">
      <c r="Q3719"/>
    </row>
    <row r="3720" spans="17:17" x14ac:dyDescent="0.25">
      <c r="Q3720"/>
    </row>
    <row r="3721" spans="17:17" x14ac:dyDescent="0.25">
      <c r="Q3721"/>
    </row>
    <row r="3722" spans="17:17" x14ac:dyDescent="0.25">
      <c r="Q3722"/>
    </row>
    <row r="3723" spans="17:17" x14ac:dyDescent="0.25">
      <c r="Q3723"/>
    </row>
    <row r="3724" spans="17:17" x14ac:dyDescent="0.25">
      <c r="Q3724"/>
    </row>
    <row r="3725" spans="17:17" x14ac:dyDescent="0.25">
      <c r="Q3725"/>
    </row>
    <row r="3726" spans="17:17" x14ac:dyDescent="0.25">
      <c r="Q3726"/>
    </row>
    <row r="3727" spans="17:17" x14ac:dyDescent="0.25">
      <c r="Q3727"/>
    </row>
    <row r="3728" spans="17:17" x14ac:dyDescent="0.25">
      <c r="Q3728"/>
    </row>
    <row r="3729" spans="17:17" x14ac:dyDescent="0.25">
      <c r="Q3729"/>
    </row>
    <row r="3730" spans="17:17" x14ac:dyDescent="0.25">
      <c r="Q3730"/>
    </row>
    <row r="3731" spans="17:17" x14ac:dyDescent="0.25">
      <c r="Q3731"/>
    </row>
    <row r="3732" spans="17:17" x14ac:dyDescent="0.25">
      <c r="Q3732"/>
    </row>
    <row r="3733" spans="17:17" x14ac:dyDescent="0.25">
      <c r="Q3733"/>
    </row>
    <row r="3734" spans="17:17" x14ac:dyDescent="0.25">
      <c r="Q3734"/>
    </row>
    <row r="3735" spans="17:17" x14ac:dyDescent="0.25">
      <c r="Q3735"/>
    </row>
    <row r="3736" spans="17:17" x14ac:dyDescent="0.25">
      <c r="Q3736"/>
    </row>
    <row r="3737" spans="17:17" x14ac:dyDescent="0.25">
      <c r="Q3737"/>
    </row>
    <row r="3738" spans="17:17" x14ac:dyDescent="0.25">
      <c r="Q3738"/>
    </row>
    <row r="3739" spans="17:17" x14ac:dyDescent="0.25">
      <c r="Q3739"/>
    </row>
    <row r="3740" spans="17:17" x14ac:dyDescent="0.25">
      <c r="Q3740"/>
    </row>
    <row r="3741" spans="17:17" x14ac:dyDescent="0.25">
      <c r="Q3741"/>
    </row>
    <row r="3742" spans="17:17" x14ac:dyDescent="0.25">
      <c r="Q3742"/>
    </row>
    <row r="3743" spans="17:17" x14ac:dyDescent="0.25">
      <c r="Q3743"/>
    </row>
    <row r="3744" spans="17:17" x14ac:dyDescent="0.25">
      <c r="Q3744"/>
    </row>
    <row r="3745" spans="17:17" x14ac:dyDescent="0.25">
      <c r="Q3745"/>
    </row>
    <row r="3746" spans="17:17" x14ac:dyDescent="0.25">
      <c r="Q3746"/>
    </row>
    <row r="3747" spans="17:17" x14ac:dyDescent="0.25">
      <c r="Q3747"/>
    </row>
    <row r="3748" spans="17:17" x14ac:dyDescent="0.25">
      <c r="Q3748"/>
    </row>
    <row r="3749" spans="17:17" x14ac:dyDescent="0.25">
      <c r="Q3749"/>
    </row>
    <row r="3750" spans="17:17" x14ac:dyDescent="0.25">
      <c r="Q3750"/>
    </row>
    <row r="3751" spans="17:17" x14ac:dyDescent="0.25">
      <c r="Q3751"/>
    </row>
    <row r="3752" spans="17:17" x14ac:dyDescent="0.25">
      <c r="Q3752"/>
    </row>
    <row r="3753" spans="17:17" x14ac:dyDescent="0.25">
      <c r="Q3753"/>
    </row>
    <row r="3754" spans="17:17" x14ac:dyDescent="0.25">
      <c r="Q3754"/>
    </row>
    <row r="3755" spans="17:17" x14ac:dyDescent="0.25">
      <c r="Q3755"/>
    </row>
    <row r="3756" spans="17:17" x14ac:dyDescent="0.25">
      <c r="Q3756"/>
    </row>
    <row r="3757" spans="17:17" x14ac:dyDescent="0.25">
      <c r="Q3757"/>
    </row>
    <row r="3758" spans="17:17" x14ac:dyDescent="0.25">
      <c r="Q3758"/>
    </row>
    <row r="3759" spans="17:17" x14ac:dyDescent="0.25">
      <c r="Q3759"/>
    </row>
    <row r="3760" spans="17:17" x14ac:dyDescent="0.25">
      <c r="Q3760"/>
    </row>
    <row r="3761" spans="17:17" x14ac:dyDescent="0.25">
      <c r="Q3761"/>
    </row>
    <row r="3762" spans="17:17" x14ac:dyDescent="0.25">
      <c r="Q3762"/>
    </row>
    <row r="3763" spans="17:17" x14ac:dyDescent="0.25">
      <c r="Q3763"/>
    </row>
    <row r="3764" spans="17:17" x14ac:dyDescent="0.25">
      <c r="Q3764"/>
    </row>
    <row r="3765" spans="17:17" x14ac:dyDescent="0.25">
      <c r="Q3765"/>
    </row>
    <row r="3766" spans="17:17" x14ac:dyDescent="0.25">
      <c r="Q3766"/>
    </row>
    <row r="3767" spans="17:17" x14ac:dyDescent="0.25">
      <c r="Q3767"/>
    </row>
    <row r="3768" spans="17:17" x14ac:dyDescent="0.25">
      <c r="Q3768"/>
    </row>
    <row r="3769" spans="17:17" x14ac:dyDescent="0.25">
      <c r="Q3769"/>
    </row>
    <row r="3770" spans="17:17" x14ac:dyDescent="0.25">
      <c r="Q3770"/>
    </row>
    <row r="3771" spans="17:17" x14ac:dyDescent="0.25">
      <c r="Q3771"/>
    </row>
    <row r="3772" spans="17:17" x14ac:dyDescent="0.25">
      <c r="Q3772"/>
    </row>
    <row r="3773" spans="17:17" x14ac:dyDescent="0.25">
      <c r="Q3773"/>
    </row>
    <row r="3774" spans="17:17" x14ac:dyDescent="0.25">
      <c r="Q3774"/>
    </row>
    <row r="3775" spans="17:17" x14ac:dyDescent="0.25">
      <c r="Q3775"/>
    </row>
    <row r="3776" spans="17:17" x14ac:dyDescent="0.25">
      <c r="Q3776"/>
    </row>
    <row r="3777" spans="17:17" x14ac:dyDescent="0.25">
      <c r="Q3777"/>
    </row>
    <row r="3778" spans="17:17" x14ac:dyDescent="0.25">
      <c r="Q3778"/>
    </row>
    <row r="3779" spans="17:17" x14ac:dyDescent="0.25">
      <c r="Q3779"/>
    </row>
    <row r="3780" spans="17:17" x14ac:dyDescent="0.25">
      <c r="Q3780"/>
    </row>
    <row r="3781" spans="17:17" x14ac:dyDescent="0.25">
      <c r="Q3781"/>
    </row>
    <row r="3782" spans="17:17" x14ac:dyDescent="0.25">
      <c r="Q3782"/>
    </row>
    <row r="3783" spans="17:17" x14ac:dyDescent="0.25">
      <c r="Q3783"/>
    </row>
    <row r="3784" spans="17:17" x14ac:dyDescent="0.25">
      <c r="Q3784"/>
    </row>
    <row r="3785" spans="17:17" x14ac:dyDescent="0.25">
      <c r="Q3785"/>
    </row>
    <row r="3786" spans="17:17" x14ac:dyDescent="0.25">
      <c r="Q3786"/>
    </row>
    <row r="3787" spans="17:17" x14ac:dyDescent="0.25">
      <c r="Q3787"/>
    </row>
    <row r="3788" spans="17:17" x14ac:dyDescent="0.25">
      <c r="Q3788"/>
    </row>
    <row r="3789" spans="17:17" x14ac:dyDescent="0.25">
      <c r="Q3789"/>
    </row>
    <row r="3790" spans="17:17" x14ac:dyDescent="0.25">
      <c r="Q3790"/>
    </row>
    <row r="3791" spans="17:17" x14ac:dyDescent="0.25">
      <c r="Q3791"/>
    </row>
    <row r="3792" spans="17:17" x14ac:dyDescent="0.25">
      <c r="Q3792"/>
    </row>
    <row r="3793" spans="17:17" x14ac:dyDescent="0.25">
      <c r="Q3793"/>
    </row>
    <row r="3794" spans="17:17" x14ac:dyDescent="0.25">
      <c r="Q3794"/>
    </row>
    <row r="3795" spans="17:17" x14ac:dyDescent="0.25">
      <c r="Q3795"/>
    </row>
    <row r="3796" spans="17:17" x14ac:dyDescent="0.25">
      <c r="Q3796"/>
    </row>
    <row r="3797" spans="17:17" x14ac:dyDescent="0.25">
      <c r="Q3797"/>
    </row>
    <row r="3798" spans="17:17" x14ac:dyDescent="0.25">
      <c r="Q3798"/>
    </row>
    <row r="3799" spans="17:17" x14ac:dyDescent="0.25">
      <c r="Q3799"/>
    </row>
    <row r="3800" spans="17:17" x14ac:dyDescent="0.25">
      <c r="Q3800"/>
    </row>
    <row r="3801" spans="17:17" x14ac:dyDescent="0.25">
      <c r="Q3801"/>
    </row>
    <row r="3802" spans="17:17" x14ac:dyDescent="0.25">
      <c r="Q3802"/>
    </row>
    <row r="3803" spans="17:17" x14ac:dyDescent="0.25">
      <c r="Q3803"/>
    </row>
    <row r="3804" spans="17:17" x14ac:dyDescent="0.25">
      <c r="Q3804"/>
    </row>
    <row r="3805" spans="17:17" x14ac:dyDescent="0.25">
      <c r="Q3805"/>
    </row>
    <row r="3806" spans="17:17" x14ac:dyDescent="0.25">
      <c r="Q3806"/>
    </row>
    <row r="3807" spans="17:17" x14ac:dyDescent="0.25">
      <c r="Q3807"/>
    </row>
    <row r="3808" spans="17:17" x14ac:dyDescent="0.25">
      <c r="Q3808"/>
    </row>
    <row r="3809" spans="17:17" x14ac:dyDescent="0.25">
      <c r="Q3809"/>
    </row>
    <row r="3810" spans="17:17" x14ac:dyDescent="0.25">
      <c r="Q3810"/>
    </row>
    <row r="3811" spans="17:17" x14ac:dyDescent="0.25">
      <c r="Q3811"/>
    </row>
    <row r="3812" spans="17:17" x14ac:dyDescent="0.25">
      <c r="Q3812"/>
    </row>
    <row r="3813" spans="17:17" x14ac:dyDescent="0.25">
      <c r="Q3813"/>
    </row>
    <row r="3814" spans="17:17" x14ac:dyDescent="0.25">
      <c r="Q3814"/>
    </row>
    <row r="3815" spans="17:17" x14ac:dyDescent="0.25">
      <c r="Q3815"/>
    </row>
    <row r="3816" spans="17:17" x14ac:dyDescent="0.25">
      <c r="Q3816"/>
    </row>
    <row r="3817" spans="17:17" x14ac:dyDescent="0.25">
      <c r="Q3817"/>
    </row>
    <row r="3818" spans="17:17" x14ac:dyDescent="0.25">
      <c r="Q3818"/>
    </row>
    <row r="3819" spans="17:17" x14ac:dyDescent="0.25">
      <c r="Q3819"/>
    </row>
    <row r="3820" spans="17:17" x14ac:dyDescent="0.25">
      <c r="Q3820"/>
    </row>
    <row r="3821" spans="17:17" x14ac:dyDescent="0.25">
      <c r="Q3821"/>
    </row>
    <row r="3822" spans="17:17" x14ac:dyDescent="0.25">
      <c r="Q3822"/>
    </row>
    <row r="3823" spans="17:17" x14ac:dyDescent="0.25">
      <c r="Q3823"/>
    </row>
    <row r="3824" spans="17:17" x14ac:dyDescent="0.25">
      <c r="Q3824"/>
    </row>
    <row r="3825" spans="17:17" x14ac:dyDescent="0.25">
      <c r="Q3825"/>
    </row>
    <row r="3826" spans="17:17" x14ac:dyDescent="0.25">
      <c r="Q3826"/>
    </row>
    <row r="3827" spans="17:17" x14ac:dyDescent="0.25">
      <c r="Q3827"/>
    </row>
    <row r="3828" spans="17:17" x14ac:dyDescent="0.25">
      <c r="Q3828"/>
    </row>
    <row r="3829" spans="17:17" x14ac:dyDescent="0.25">
      <c r="Q3829"/>
    </row>
    <row r="3830" spans="17:17" x14ac:dyDescent="0.25">
      <c r="Q3830"/>
    </row>
    <row r="3831" spans="17:17" x14ac:dyDescent="0.25">
      <c r="Q3831"/>
    </row>
    <row r="3832" spans="17:17" x14ac:dyDescent="0.25">
      <c r="Q3832"/>
    </row>
    <row r="3833" spans="17:17" x14ac:dyDescent="0.25">
      <c r="Q3833"/>
    </row>
    <row r="3834" spans="17:17" x14ac:dyDescent="0.25">
      <c r="Q3834"/>
    </row>
    <row r="3835" spans="17:17" x14ac:dyDescent="0.25">
      <c r="Q3835"/>
    </row>
    <row r="3836" spans="17:17" x14ac:dyDescent="0.25">
      <c r="Q3836"/>
    </row>
    <row r="3837" spans="17:17" x14ac:dyDescent="0.25">
      <c r="Q3837"/>
    </row>
    <row r="3838" spans="17:17" x14ac:dyDescent="0.25">
      <c r="Q3838"/>
    </row>
    <row r="3839" spans="17:17" x14ac:dyDescent="0.25">
      <c r="Q3839"/>
    </row>
    <row r="3840" spans="17:17" x14ac:dyDescent="0.25">
      <c r="Q3840"/>
    </row>
    <row r="3841" spans="17:17" x14ac:dyDescent="0.25">
      <c r="Q3841"/>
    </row>
    <row r="3842" spans="17:17" x14ac:dyDescent="0.25">
      <c r="Q3842"/>
    </row>
    <row r="3843" spans="17:17" x14ac:dyDescent="0.25">
      <c r="Q3843"/>
    </row>
    <row r="3844" spans="17:17" x14ac:dyDescent="0.25">
      <c r="Q3844"/>
    </row>
    <row r="3845" spans="17:17" x14ac:dyDescent="0.25">
      <c r="Q3845"/>
    </row>
    <row r="3846" spans="17:17" x14ac:dyDescent="0.25">
      <c r="Q3846"/>
    </row>
    <row r="3847" spans="17:17" x14ac:dyDescent="0.25">
      <c r="Q3847"/>
    </row>
    <row r="3848" spans="17:17" x14ac:dyDescent="0.25">
      <c r="Q3848"/>
    </row>
    <row r="3849" spans="17:17" x14ac:dyDescent="0.25">
      <c r="Q3849"/>
    </row>
    <row r="3850" spans="17:17" x14ac:dyDescent="0.25">
      <c r="Q3850"/>
    </row>
    <row r="3851" spans="17:17" x14ac:dyDescent="0.25">
      <c r="Q3851"/>
    </row>
    <row r="3852" spans="17:17" x14ac:dyDescent="0.25">
      <c r="Q3852"/>
    </row>
    <row r="3853" spans="17:17" x14ac:dyDescent="0.25">
      <c r="Q3853"/>
    </row>
    <row r="3854" spans="17:17" x14ac:dyDescent="0.25">
      <c r="Q3854"/>
    </row>
    <row r="3855" spans="17:17" x14ac:dyDescent="0.25">
      <c r="Q3855"/>
    </row>
    <row r="3856" spans="17:17" x14ac:dyDescent="0.25">
      <c r="Q3856"/>
    </row>
    <row r="3857" spans="17:17" x14ac:dyDescent="0.25">
      <c r="Q3857"/>
    </row>
    <row r="3858" spans="17:17" x14ac:dyDescent="0.25">
      <c r="Q3858"/>
    </row>
    <row r="3859" spans="17:17" x14ac:dyDescent="0.25">
      <c r="Q3859"/>
    </row>
    <row r="3860" spans="17:17" x14ac:dyDescent="0.25">
      <c r="Q3860"/>
    </row>
    <row r="3861" spans="17:17" x14ac:dyDescent="0.25">
      <c r="Q3861"/>
    </row>
    <row r="3862" spans="17:17" x14ac:dyDescent="0.25">
      <c r="Q3862"/>
    </row>
    <row r="3863" spans="17:17" x14ac:dyDescent="0.25">
      <c r="Q3863"/>
    </row>
    <row r="3864" spans="17:17" x14ac:dyDescent="0.25">
      <c r="Q3864"/>
    </row>
    <row r="3865" spans="17:17" x14ac:dyDescent="0.25">
      <c r="Q3865"/>
    </row>
    <row r="3866" spans="17:17" x14ac:dyDescent="0.25">
      <c r="Q3866"/>
    </row>
    <row r="3867" spans="17:17" x14ac:dyDescent="0.25">
      <c r="Q3867"/>
    </row>
    <row r="3868" spans="17:17" x14ac:dyDescent="0.25">
      <c r="Q3868"/>
    </row>
    <row r="3869" spans="17:17" x14ac:dyDescent="0.25">
      <c r="Q3869"/>
    </row>
    <row r="3870" spans="17:17" x14ac:dyDescent="0.25">
      <c r="Q3870"/>
    </row>
    <row r="3871" spans="17:17" x14ac:dyDescent="0.25">
      <c r="Q3871"/>
    </row>
    <row r="3872" spans="17:17" x14ac:dyDescent="0.25">
      <c r="Q3872"/>
    </row>
    <row r="3873" spans="17:17" x14ac:dyDescent="0.25">
      <c r="Q3873"/>
    </row>
    <row r="3874" spans="17:17" x14ac:dyDescent="0.25">
      <c r="Q3874"/>
    </row>
    <row r="3875" spans="17:17" x14ac:dyDescent="0.25">
      <c r="Q3875"/>
    </row>
    <row r="3876" spans="17:17" x14ac:dyDescent="0.25">
      <c r="Q3876"/>
    </row>
    <row r="3877" spans="17:17" x14ac:dyDescent="0.25">
      <c r="Q3877"/>
    </row>
    <row r="3878" spans="17:17" x14ac:dyDescent="0.25">
      <c r="Q3878"/>
    </row>
    <row r="3879" spans="17:17" x14ac:dyDescent="0.25">
      <c r="Q3879"/>
    </row>
    <row r="3880" spans="17:17" x14ac:dyDescent="0.25">
      <c r="Q3880"/>
    </row>
    <row r="3881" spans="17:17" x14ac:dyDescent="0.25">
      <c r="Q3881"/>
    </row>
    <row r="3882" spans="17:17" x14ac:dyDescent="0.25">
      <c r="Q3882"/>
    </row>
    <row r="3883" spans="17:17" x14ac:dyDescent="0.25">
      <c r="Q3883"/>
    </row>
    <row r="3884" spans="17:17" x14ac:dyDescent="0.25">
      <c r="Q3884"/>
    </row>
    <row r="3885" spans="17:17" x14ac:dyDescent="0.25">
      <c r="Q3885"/>
    </row>
    <row r="3886" spans="17:17" x14ac:dyDescent="0.25">
      <c r="Q3886"/>
    </row>
    <row r="3887" spans="17:17" x14ac:dyDescent="0.25">
      <c r="Q3887"/>
    </row>
    <row r="3888" spans="17:17" x14ac:dyDescent="0.25">
      <c r="Q3888"/>
    </row>
    <row r="3889" spans="17:17" x14ac:dyDescent="0.25">
      <c r="Q3889"/>
    </row>
    <row r="3890" spans="17:17" x14ac:dyDescent="0.25">
      <c r="Q3890"/>
    </row>
    <row r="3891" spans="17:17" x14ac:dyDescent="0.25">
      <c r="Q3891"/>
    </row>
    <row r="3892" spans="17:17" x14ac:dyDescent="0.25">
      <c r="Q3892"/>
    </row>
    <row r="3893" spans="17:17" x14ac:dyDescent="0.25">
      <c r="Q3893"/>
    </row>
    <row r="3894" spans="17:17" x14ac:dyDescent="0.25">
      <c r="Q3894"/>
    </row>
    <row r="3895" spans="17:17" x14ac:dyDescent="0.25">
      <c r="Q3895"/>
    </row>
    <row r="3896" spans="17:17" x14ac:dyDescent="0.25">
      <c r="Q3896"/>
    </row>
    <row r="3897" spans="17:17" x14ac:dyDescent="0.25">
      <c r="Q3897"/>
    </row>
    <row r="3898" spans="17:17" x14ac:dyDescent="0.25">
      <c r="Q3898"/>
    </row>
    <row r="3899" spans="17:17" x14ac:dyDescent="0.25">
      <c r="Q3899"/>
    </row>
    <row r="3900" spans="17:17" x14ac:dyDescent="0.25">
      <c r="Q3900"/>
    </row>
    <row r="3901" spans="17:17" x14ac:dyDescent="0.25">
      <c r="Q3901"/>
    </row>
    <row r="3902" spans="17:17" x14ac:dyDescent="0.25">
      <c r="Q3902"/>
    </row>
    <row r="3903" spans="17:17" x14ac:dyDescent="0.25">
      <c r="Q3903"/>
    </row>
    <row r="3904" spans="17:17" x14ac:dyDescent="0.25">
      <c r="Q3904"/>
    </row>
    <row r="3905" spans="17:17" x14ac:dyDescent="0.25">
      <c r="Q3905"/>
    </row>
    <row r="3906" spans="17:17" x14ac:dyDescent="0.25">
      <c r="Q3906"/>
    </row>
    <row r="3907" spans="17:17" x14ac:dyDescent="0.25">
      <c r="Q3907"/>
    </row>
    <row r="3908" spans="17:17" x14ac:dyDescent="0.25">
      <c r="Q3908"/>
    </row>
    <row r="3909" spans="17:17" x14ac:dyDescent="0.25">
      <c r="Q3909"/>
    </row>
    <row r="3910" spans="17:17" x14ac:dyDescent="0.25">
      <c r="Q3910"/>
    </row>
    <row r="3911" spans="17:17" x14ac:dyDescent="0.25">
      <c r="Q3911"/>
    </row>
    <row r="3912" spans="17:17" x14ac:dyDescent="0.25">
      <c r="Q3912"/>
    </row>
    <row r="3913" spans="17:17" x14ac:dyDescent="0.25">
      <c r="Q3913"/>
    </row>
    <row r="3914" spans="17:17" x14ac:dyDescent="0.25">
      <c r="Q3914"/>
    </row>
    <row r="3915" spans="17:17" x14ac:dyDescent="0.25">
      <c r="Q3915"/>
    </row>
    <row r="3916" spans="17:17" x14ac:dyDescent="0.25">
      <c r="Q3916"/>
    </row>
    <row r="3917" spans="17:17" x14ac:dyDescent="0.25">
      <c r="Q3917"/>
    </row>
    <row r="3918" spans="17:17" x14ac:dyDescent="0.25">
      <c r="Q3918"/>
    </row>
    <row r="3919" spans="17:17" x14ac:dyDescent="0.25">
      <c r="Q3919"/>
    </row>
    <row r="3920" spans="17:17" x14ac:dyDescent="0.25">
      <c r="Q3920"/>
    </row>
    <row r="3921" spans="17:17" x14ac:dyDescent="0.25">
      <c r="Q3921"/>
    </row>
    <row r="3922" spans="17:17" x14ac:dyDescent="0.25">
      <c r="Q3922"/>
    </row>
    <row r="3923" spans="17:17" x14ac:dyDescent="0.25">
      <c r="Q3923"/>
    </row>
    <row r="3924" spans="17:17" x14ac:dyDescent="0.25">
      <c r="Q3924"/>
    </row>
    <row r="3925" spans="17:17" x14ac:dyDescent="0.25">
      <c r="Q3925"/>
    </row>
    <row r="3926" spans="17:17" x14ac:dyDescent="0.25">
      <c r="Q3926"/>
    </row>
    <row r="3927" spans="17:17" x14ac:dyDescent="0.25">
      <c r="Q3927"/>
    </row>
    <row r="3928" spans="17:17" x14ac:dyDescent="0.25">
      <c r="Q3928"/>
    </row>
    <row r="3929" spans="17:17" x14ac:dyDescent="0.25">
      <c r="Q3929"/>
    </row>
    <row r="3930" spans="17:17" x14ac:dyDescent="0.25">
      <c r="Q3930"/>
    </row>
    <row r="3931" spans="17:17" x14ac:dyDescent="0.25">
      <c r="Q3931"/>
    </row>
    <row r="3932" spans="17:17" x14ac:dyDescent="0.25">
      <c r="Q3932"/>
    </row>
    <row r="3933" spans="17:17" x14ac:dyDescent="0.25">
      <c r="Q3933"/>
    </row>
    <row r="3934" spans="17:17" x14ac:dyDescent="0.25">
      <c r="Q3934"/>
    </row>
    <row r="3935" spans="17:17" x14ac:dyDescent="0.25">
      <c r="Q3935"/>
    </row>
    <row r="3936" spans="17:17" x14ac:dyDescent="0.25">
      <c r="Q3936"/>
    </row>
    <row r="3937" spans="17:17" x14ac:dyDescent="0.25">
      <c r="Q3937"/>
    </row>
    <row r="3938" spans="17:17" x14ac:dyDescent="0.25">
      <c r="Q3938"/>
    </row>
    <row r="3939" spans="17:17" x14ac:dyDescent="0.25">
      <c r="Q3939"/>
    </row>
    <row r="3940" spans="17:17" x14ac:dyDescent="0.25">
      <c r="Q3940"/>
    </row>
    <row r="3941" spans="17:17" x14ac:dyDescent="0.25">
      <c r="Q3941"/>
    </row>
    <row r="3942" spans="17:17" x14ac:dyDescent="0.25">
      <c r="Q3942"/>
    </row>
    <row r="3943" spans="17:17" x14ac:dyDescent="0.25">
      <c r="Q3943"/>
    </row>
    <row r="3944" spans="17:17" x14ac:dyDescent="0.25">
      <c r="Q3944"/>
    </row>
    <row r="3945" spans="17:17" x14ac:dyDescent="0.25">
      <c r="Q3945"/>
    </row>
    <row r="3946" spans="17:17" x14ac:dyDescent="0.25">
      <c r="Q3946"/>
    </row>
    <row r="3947" spans="17:17" x14ac:dyDescent="0.25">
      <c r="Q3947"/>
    </row>
    <row r="3948" spans="17:17" x14ac:dyDescent="0.25">
      <c r="Q3948"/>
    </row>
    <row r="3949" spans="17:17" x14ac:dyDescent="0.25">
      <c r="Q3949"/>
    </row>
    <row r="3950" spans="17:17" x14ac:dyDescent="0.25">
      <c r="Q3950"/>
    </row>
    <row r="3951" spans="17:17" x14ac:dyDescent="0.25">
      <c r="Q3951"/>
    </row>
    <row r="3952" spans="17:17" x14ac:dyDescent="0.25">
      <c r="Q3952"/>
    </row>
    <row r="3953" spans="17:17" x14ac:dyDescent="0.25">
      <c r="Q3953"/>
    </row>
    <row r="3954" spans="17:17" x14ac:dyDescent="0.25">
      <c r="Q3954"/>
    </row>
    <row r="3955" spans="17:17" x14ac:dyDescent="0.25">
      <c r="Q3955"/>
    </row>
    <row r="3956" spans="17:17" x14ac:dyDescent="0.25">
      <c r="Q3956"/>
    </row>
    <row r="3957" spans="17:17" x14ac:dyDescent="0.25">
      <c r="Q3957"/>
    </row>
    <row r="3958" spans="17:17" x14ac:dyDescent="0.25">
      <c r="Q3958"/>
    </row>
    <row r="3959" spans="17:17" x14ac:dyDescent="0.25">
      <c r="Q3959"/>
    </row>
    <row r="3960" spans="17:17" x14ac:dyDescent="0.25">
      <c r="Q3960"/>
    </row>
    <row r="3961" spans="17:17" x14ac:dyDescent="0.25">
      <c r="Q3961"/>
    </row>
    <row r="3962" spans="17:17" x14ac:dyDescent="0.25">
      <c r="Q3962"/>
    </row>
    <row r="3963" spans="17:17" x14ac:dyDescent="0.25">
      <c r="Q3963"/>
    </row>
    <row r="3964" spans="17:17" x14ac:dyDescent="0.25">
      <c r="Q3964"/>
    </row>
    <row r="3965" spans="17:17" x14ac:dyDescent="0.25">
      <c r="Q3965"/>
    </row>
    <row r="3966" spans="17:17" x14ac:dyDescent="0.25">
      <c r="Q3966"/>
    </row>
    <row r="3967" spans="17:17" x14ac:dyDescent="0.25">
      <c r="Q3967"/>
    </row>
    <row r="3968" spans="17:17" x14ac:dyDescent="0.25">
      <c r="Q3968"/>
    </row>
    <row r="3969" spans="17:17" x14ac:dyDescent="0.25">
      <c r="Q3969"/>
    </row>
    <row r="3970" spans="17:17" x14ac:dyDescent="0.25">
      <c r="Q3970"/>
    </row>
    <row r="3971" spans="17:17" x14ac:dyDescent="0.25">
      <c r="Q3971"/>
    </row>
    <row r="3972" spans="17:17" x14ac:dyDescent="0.25">
      <c r="Q3972"/>
    </row>
    <row r="3973" spans="17:17" x14ac:dyDescent="0.25">
      <c r="Q3973"/>
    </row>
    <row r="3974" spans="17:17" x14ac:dyDescent="0.25">
      <c r="Q3974"/>
    </row>
    <row r="3975" spans="17:17" x14ac:dyDescent="0.25">
      <c r="Q3975"/>
    </row>
    <row r="3976" spans="17:17" x14ac:dyDescent="0.25">
      <c r="Q3976"/>
    </row>
    <row r="3977" spans="17:17" x14ac:dyDescent="0.25">
      <c r="Q3977"/>
    </row>
    <row r="3978" spans="17:17" x14ac:dyDescent="0.25">
      <c r="Q3978"/>
    </row>
    <row r="3979" spans="17:17" x14ac:dyDescent="0.25">
      <c r="Q3979"/>
    </row>
    <row r="3980" spans="17:17" x14ac:dyDescent="0.25">
      <c r="Q3980"/>
    </row>
    <row r="3981" spans="17:17" x14ac:dyDescent="0.25">
      <c r="Q3981"/>
    </row>
    <row r="3982" spans="17:17" x14ac:dyDescent="0.25">
      <c r="Q3982"/>
    </row>
    <row r="3983" spans="17:17" x14ac:dyDescent="0.25">
      <c r="Q3983"/>
    </row>
    <row r="3984" spans="17:17" x14ac:dyDescent="0.25">
      <c r="Q3984"/>
    </row>
    <row r="3985" spans="17:17" x14ac:dyDescent="0.25">
      <c r="Q3985"/>
    </row>
    <row r="3986" spans="17:17" x14ac:dyDescent="0.25">
      <c r="Q3986"/>
    </row>
    <row r="3987" spans="17:17" x14ac:dyDescent="0.25">
      <c r="Q3987"/>
    </row>
    <row r="3988" spans="17:17" x14ac:dyDescent="0.25">
      <c r="Q3988"/>
    </row>
    <row r="3989" spans="17:17" x14ac:dyDescent="0.25">
      <c r="Q3989"/>
    </row>
    <row r="3990" spans="17:17" x14ac:dyDescent="0.25">
      <c r="Q3990"/>
    </row>
    <row r="3991" spans="17:17" x14ac:dyDescent="0.25">
      <c r="Q3991"/>
    </row>
    <row r="3992" spans="17:17" x14ac:dyDescent="0.25">
      <c r="Q3992"/>
    </row>
    <row r="3993" spans="17:17" x14ac:dyDescent="0.25">
      <c r="Q3993"/>
    </row>
    <row r="3994" spans="17:17" x14ac:dyDescent="0.25">
      <c r="Q3994"/>
    </row>
    <row r="3995" spans="17:17" x14ac:dyDescent="0.25">
      <c r="Q3995"/>
    </row>
    <row r="3996" spans="17:17" x14ac:dyDescent="0.25">
      <c r="Q3996"/>
    </row>
    <row r="3997" spans="17:17" x14ac:dyDescent="0.25">
      <c r="Q3997"/>
    </row>
    <row r="3998" spans="17:17" x14ac:dyDescent="0.25">
      <c r="Q3998"/>
    </row>
    <row r="3999" spans="17:17" x14ac:dyDescent="0.25">
      <c r="Q3999"/>
    </row>
    <row r="4000" spans="17:17" x14ac:dyDescent="0.25">
      <c r="Q4000"/>
    </row>
    <row r="4001" spans="17:17" x14ac:dyDescent="0.25">
      <c r="Q4001"/>
    </row>
    <row r="4002" spans="17:17" x14ac:dyDescent="0.25">
      <c r="Q4002"/>
    </row>
    <row r="4003" spans="17:17" x14ac:dyDescent="0.25">
      <c r="Q4003"/>
    </row>
    <row r="4004" spans="17:17" x14ac:dyDescent="0.25">
      <c r="Q4004"/>
    </row>
    <row r="4005" spans="17:17" x14ac:dyDescent="0.25">
      <c r="Q4005"/>
    </row>
    <row r="4006" spans="17:17" x14ac:dyDescent="0.25">
      <c r="Q4006"/>
    </row>
    <row r="4007" spans="17:17" x14ac:dyDescent="0.25">
      <c r="Q4007"/>
    </row>
    <row r="4008" spans="17:17" x14ac:dyDescent="0.25">
      <c r="Q4008"/>
    </row>
    <row r="4009" spans="17:17" x14ac:dyDescent="0.25">
      <c r="Q4009"/>
    </row>
    <row r="4010" spans="17:17" x14ac:dyDescent="0.25">
      <c r="Q4010"/>
    </row>
    <row r="4011" spans="17:17" x14ac:dyDescent="0.25">
      <c r="Q4011"/>
    </row>
    <row r="4012" spans="17:17" x14ac:dyDescent="0.25">
      <c r="Q4012"/>
    </row>
    <row r="4013" spans="17:17" x14ac:dyDescent="0.25">
      <c r="Q4013"/>
    </row>
    <row r="4014" spans="17:17" x14ac:dyDescent="0.25">
      <c r="Q4014"/>
    </row>
    <row r="4015" spans="17:17" x14ac:dyDescent="0.25">
      <c r="Q4015"/>
    </row>
    <row r="4016" spans="17:17" x14ac:dyDescent="0.25">
      <c r="Q4016"/>
    </row>
    <row r="4017" spans="17:17" x14ac:dyDescent="0.25">
      <c r="Q4017"/>
    </row>
    <row r="4018" spans="17:17" x14ac:dyDescent="0.25">
      <c r="Q4018"/>
    </row>
    <row r="4019" spans="17:17" x14ac:dyDescent="0.25">
      <c r="Q4019"/>
    </row>
    <row r="4020" spans="17:17" x14ac:dyDescent="0.25">
      <c r="Q4020"/>
    </row>
    <row r="4021" spans="17:17" x14ac:dyDescent="0.25">
      <c r="Q4021"/>
    </row>
    <row r="4022" spans="17:17" x14ac:dyDescent="0.25">
      <c r="Q4022"/>
    </row>
    <row r="4023" spans="17:17" x14ac:dyDescent="0.25">
      <c r="Q4023"/>
    </row>
    <row r="4024" spans="17:17" x14ac:dyDescent="0.25">
      <c r="Q4024"/>
    </row>
    <row r="4025" spans="17:17" x14ac:dyDescent="0.25">
      <c r="Q4025"/>
    </row>
    <row r="4026" spans="17:17" x14ac:dyDescent="0.25">
      <c r="Q4026"/>
    </row>
    <row r="4027" spans="17:17" x14ac:dyDescent="0.25">
      <c r="Q4027"/>
    </row>
    <row r="4028" spans="17:17" x14ac:dyDescent="0.25">
      <c r="Q4028"/>
    </row>
    <row r="4029" spans="17:17" x14ac:dyDescent="0.25">
      <c r="Q4029"/>
    </row>
    <row r="4030" spans="17:17" x14ac:dyDescent="0.25">
      <c r="Q4030"/>
    </row>
    <row r="4031" spans="17:17" x14ac:dyDescent="0.25">
      <c r="Q4031"/>
    </row>
    <row r="4032" spans="17:17" x14ac:dyDescent="0.25">
      <c r="Q4032"/>
    </row>
    <row r="4033" spans="17:17" x14ac:dyDescent="0.25">
      <c r="Q4033"/>
    </row>
    <row r="4034" spans="17:17" x14ac:dyDescent="0.25">
      <c r="Q4034"/>
    </row>
    <row r="4035" spans="17:17" x14ac:dyDescent="0.25">
      <c r="Q4035"/>
    </row>
    <row r="4036" spans="17:17" x14ac:dyDescent="0.25">
      <c r="Q4036"/>
    </row>
    <row r="4037" spans="17:17" x14ac:dyDescent="0.25">
      <c r="Q4037"/>
    </row>
    <row r="4038" spans="17:17" x14ac:dyDescent="0.25">
      <c r="Q4038"/>
    </row>
    <row r="4039" spans="17:17" x14ac:dyDescent="0.25">
      <c r="Q4039"/>
    </row>
    <row r="4040" spans="17:17" x14ac:dyDescent="0.25">
      <c r="Q4040"/>
    </row>
    <row r="4041" spans="17:17" x14ac:dyDescent="0.25">
      <c r="Q4041"/>
    </row>
    <row r="4042" spans="17:17" x14ac:dyDescent="0.25">
      <c r="Q4042"/>
    </row>
    <row r="4043" spans="17:17" x14ac:dyDescent="0.25">
      <c r="Q4043"/>
    </row>
    <row r="4044" spans="17:17" x14ac:dyDescent="0.25">
      <c r="Q4044"/>
    </row>
    <row r="4045" spans="17:17" x14ac:dyDescent="0.25">
      <c r="Q4045"/>
    </row>
    <row r="4046" spans="17:17" x14ac:dyDescent="0.25">
      <c r="Q4046"/>
    </row>
    <row r="4047" spans="17:17" x14ac:dyDescent="0.25">
      <c r="Q4047"/>
    </row>
    <row r="4048" spans="17:17" x14ac:dyDescent="0.25">
      <c r="Q4048"/>
    </row>
    <row r="4049" spans="17:17" x14ac:dyDescent="0.25">
      <c r="Q4049"/>
    </row>
    <row r="4050" spans="17:17" x14ac:dyDescent="0.25">
      <c r="Q4050"/>
    </row>
    <row r="4051" spans="17:17" x14ac:dyDescent="0.25">
      <c r="Q4051"/>
    </row>
    <row r="4052" spans="17:17" x14ac:dyDescent="0.25">
      <c r="Q4052"/>
    </row>
    <row r="4053" spans="17:17" x14ac:dyDescent="0.25">
      <c r="Q4053"/>
    </row>
    <row r="4054" spans="17:17" x14ac:dyDescent="0.25">
      <c r="Q4054"/>
    </row>
    <row r="4055" spans="17:17" x14ac:dyDescent="0.25">
      <c r="Q4055"/>
    </row>
    <row r="4056" spans="17:17" x14ac:dyDescent="0.25">
      <c r="Q4056"/>
    </row>
    <row r="4057" spans="17:17" x14ac:dyDescent="0.25">
      <c r="Q4057"/>
    </row>
    <row r="4058" spans="17:17" x14ac:dyDescent="0.25">
      <c r="Q4058"/>
    </row>
    <row r="4059" spans="17:17" x14ac:dyDescent="0.25">
      <c r="Q4059"/>
    </row>
    <row r="4060" spans="17:17" x14ac:dyDescent="0.25">
      <c r="Q4060"/>
    </row>
    <row r="4061" spans="17:17" x14ac:dyDescent="0.25">
      <c r="Q4061"/>
    </row>
    <row r="4062" spans="17:17" x14ac:dyDescent="0.25">
      <c r="Q4062"/>
    </row>
    <row r="4063" spans="17:17" x14ac:dyDescent="0.25">
      <c r="Q4063"/>
    </row>
    <row r="4064" spans="17:17" x14ac:dyDescent="0.25">
      <c r="Q4064"/>
    </row>
    <row r="4065" spans="17:17" x14ac:dyDescent="0.25">
      <c r="Q4065"/>
    </row>
    <row r="4066" spans="17:17" x14ac:dyDescent="0.25">
      <c r="Q4066"/>
    </row>
    <row r="4067" spans="17:17" x14ac:dyDescent="0.25">
      <c r="Q4067"/>
    </row>
    <row r="4068" spans="17:17" x14ac:dyDescent="0.25">
      <c r="Q4068"/>
    </row>
    <row r="4069" spans="17:17" x14ac:dyDescent="0.25">
      <c r="Q4069"/>
    </row>
    <row r="4070" spans="17:17" x14ac:dyDescent="0.25">
      <c r="Q4070"/>
    </row>
    <row r="4071" spans="17:17" x14ac:dyDescent="0.25">
      <c r="Q4071"/>
    </row>
    <row r="4072" spans="17:17" x14ac:dyDescent="0.25">
      <c r="Q4072"/>
    </row>
    <row r="4073" spans="17:17" x14ac:dyDescent="0.25">
      <c r="Q4073"/>
    </row>
    <row r="4074" spans="17:17" x14ac:dyDescent="0.25">
      <c r="Q4074"/>
    </row>
    <row r="4075" spans="17:17" x14ac:dyDescent="0.25">
      <c r="Q4075"/>
    </row>
    <row r="4076" spans="17:17" x14ac:dyDescent="0.25">
      <c r="Q4076"/>
    </row>
    <row r="4077" spans="17:17" x14ac:dyDescent="0.25">
      <c r="Q4077"/>
    </row>
    <row r="4078" spans="17:17" x14ac:dyDescent="0.25">
      <c r="Q4078"/>
    </row>
    <row r="4079" spans="17:17" x14ac:dyDescent="0.25">
      <c r="Q4079"/>
    </row>
    <row r="4080" spans="17:17" x14ac:dyDescent="0.25">
      <c r="Q4080"/>
    </row>
    <row r="4081" spans="17:17" x14ac:dyDescent="0.25">
      <c r="Q4081"/>
    </row>
    <row r="4082" spans="17:17" x14ac:dyDescent="0.25">
      <c r="Q4082"/>
    </row>
    <row r="4083" spans="17:17" x14ac:dyDescent="0.25">
      <c r="Q4083"/>
    </row>
    <row r="4084" spans="17:17" x14ac:dyDescent="0.25">
      <c r="Q4084"/>
    </row>
    <row r="4085" spans="17:17" x14ac:dyDescent="0.25">
      <c r="Q4085"/>
    </row>
    <row r="4086" spans="17:17" x14ac:dyDescent="0.25">
      <c r="Q4086"/>
    </row>
    <row r="4087" spans="17:17" x14ac:dyDescent="0.25">
      <c r="Q4087"/>
    </row>
    <row r="4088" spans="17:17" x14ac:dyDescent="0.25">
      <c r="Q4088"/>
    </row>
    <row r="4089" spans="17:17" x14ac:dyDescent="0.25">
      <c r="Q4089"/>
    </row>
    <row r="4090" spans="17:17" x14ac:dyDescent="0.25">
      <c r="Q4090"/>
    </row>
    <row r="4091" spans="17:17" x14ac:dyDescent="0.25">
      <c r="Q4091"/>
    </row>
    <row r="4092" spans="17:17" x14ac:dyDescent="0.25">
      <c r="Q4092"/>
    </row>
    <row r="4093" spans="17:17" x14ac:dyDescent="0.25">
      <c r="Q4093"/>
    </row>
    <row r="4094" spans="17:17" x14ac:dyDescent="0.25">
      <c r="Q4094"/>
    </row>
    <row r="4095" spans="17:17" x14ac:dyDescent="0.25">
      <c r="Q4095"/>
    </row>
    <row r="4096" spans="17:17" x14ac:dyDescent="0.25">
      <c r="Q4096"/>
    </row>
    <row r="4097" spans="17:17" x14ac:dyDescent="0.25">
      <c r="Q4097"/>
    </row>
    <row r="4098" spans="17:17" x14ac:dyDescent="0.25">
      <c r="Q4098"/>
    </row>
    <row r="4099" spans="17:17" x14ac:dyDescent="0.25">
      <c r="Q4099"/>
    </row>
    <row r="4100" spans="17:17" x14ac:dyDescent="0.25">
      <c r="Q4100"/>
    </row>
    <row r="4101" spans="17:17" x14ac:dyDescent="0.25">
      <c r="Q4101"/>
    </row>
    <row r="4102" spans="17:17" x14ac:dyDescent="0.25">
      <c r="Q4102"/>
    </row>
    <row r="4103" spans="17:17" x14ac:dyDescent="0.25">
      <c r="Q4103"/>
    </row>
    <row r="4104" spans="17:17" x14ac:dyDescent="0.25">
      <c r="Q4104"/>
    </row>
    <row r="4105" spans="17:17" x14ac:dyDescent="0.25">
      <c r="Q4105"/>
    </row>
    <row r="4106" spans="17:17" x14ac:dyDescent="0.25">
      <c r="Q4106"/>
    </row>
    <row r="4107" spans="17:17" x14ac:dyDescent="0.25">
      <c r="Q4107"/>
    </row>
    <row r="4108" spans="17:17" x14ac:dyDescent="0.25">
      <c r="Q4108"/>
    </row>
    <row r="4109" spans="17:17" x14ac:dyDescent="0.25">
      <c r="Q4109"/>
    </row>
    <row r="4110" spans="17:17" x14ac:dyDescent="0.25">
      <c r="Q4110"/>
    </row>
    <row r="4111" spans="17:17" x14ac:dyDescent="0.25">
      <c r="Q4111"/>
    </row>
    <row r="4112" spans="17:17" x14ac:dyDescent="0.25">
      <c r="Q4112"/>
    </row>
    <row r="4113" spans="17:17" x14ac:dyDescent="0.25">
      <c r="Q4113"/>
    </row>
    <row r="4114" spans="17:17" x14ac:dyDescent="0.25">
      <c r="Q4114"/>
    </row>
    <row r="4115" spans="17:17" x14ac:dyDescent="0.25">
      <c r="Q4115"/>
    </row>
    <row r="4116" spans="17:17" x14ac:dyDescent="0.25">
      <c r="Q4116"/>
    </row>
    <row r="4117" spans="17:17" x14ac:dyDescent="0.25">
      <c r="Q4117"/>
    </row>
    <row r="4118" spans="17:17" x14ac:dyDescent="0.25">
      <c r="Q4118"/>
    </row>
    <row r="4119" spans="17:17" x14ac:dyDescent="0.25">
      <c r="Q4119"/>
    </row>
    <row r="4120" spans="17:17" x14ac:dyDescent="0.25">
      <c r="Q4120"/>
    </row>
    <row r="4121" spans="17:17" x14ac:dyDescent="0.25">
      <c r="Q4121"/>
    </row>
    <row r="4122" spans="17:17" x14ac:dyDescent="0.25">
      <c r="Q4122"/>
    </row>
    <row r="4123" spans="17:17" x14ac:dyDescent="0.25">
      <c r="Q4123"/>
    </row>
    <row r="4124" spans="17:17" x14ac:dyDescent="0.25">
      <c r="Q4124"/>
    </row>
    <row r="4125" spans="17:17" x14ac:dyDescent="0.25">
      <c r="Q4125"/>
    </row>
    <row r="4126" spans="17:17" x14ac:dyDescent="0.25">
      <c r="Q4126"/>
    </row>
    <row r="4127" spans="17:17" x14ac:dyDescent="0.25">
      <c r="Q4127"/>
    </row>
    <row r="4128" spans="17:17" x14ac:dyDescent="0.25">
      <c r="Q4128"/>
    </row>
    <row r="4129" spans="17:17" x14ac:dyDescent="0.25">
      <c r="Q4129"/>
    </row>
    <row r="4130" spans="17:17" x14ac:dyDescent="0.25">
      <c r="Q4130"/>
    </row>
    <row r="4131" spans="17:17" x14ac:dyDescent="0.25">
      <c r="Q4131"/>
    </row>
    <row r="4132" spans="17:17" x14ac:dyDescent="0.25">
      <c r="Q4132"/>
    </row>
    <row r="4133" spans="17:17" x14ac:dyDescent="0.25">
      <c r="Q4133"/>
    </row>
    <row r="4134" spans="17:17" x14ac:dyDescent="0.25">
      <c r="Q4134"/>
    </row>
    <row r="4135" spans="17:17" x14ac:dyDescent="0.25">
      <c r="Q4135"/>
    </row>
    <row r="4136" spans="17:17" x14ac:dyDescent="0.25">
      <c r="Q4136"/>
    </row>
    <row r="4137" spans="17:17" x14ac:dyDescent="0.25">
      <c r="Q4137"/>
    </row>
    <row r="4138" spans="17:17" x14ac:dyDescent="0.25">
      <c r="Q4138"/>
    </row>
    <row r="4139" spans="17:17" x14ac:dyDescent="0.25">
      <c r="Q4139"/>
    </row>
    <row r="4140" spans="17:17" x14ac:dyDescent="0.25">
      <c r="Q4140"/>
    </row>
    <row r="4141" spans="17:17" x14ac:dyDescent="0.25">
      <c r="Q4141"/>
    </row>
    <row r="4142" spans="17:17" x14ac:dyDescent="0.25">
      <c r="Q4142"/>
    </row>
    <row r="4143" spans="17:17" x14ac:dyDescent="0.25">
      <c r="Q4143"/>
    </row>
    <row r="4144" spans="17:17" x14ac:dyDescent="0.25">
      <c r="Q4144"/>
    </row>
    <row r="4145" spans="17:17" x14ac:dyDescent="0.25">
      <c r="Q4145"/>
    </row>
    <row r="4146" spans="17:17" x14ac:dyDescent="0.25">
      <c r="Q4146"/>
    </row>
    <row r="4147" spans="17:17" x14ac:dyDescent="0.25">
      <c r="Q4147"/>
    </row>
    <row r="4148" spans="17:17" x14ac:dyDescent="0.25">
      <c r="Q4148"/>
    </row>
    <row r="4149" spans="17:17" x14ac:dyDescent="0.25">
      <c r="Q4149"/>
    </row>
    <row r="4150" spans="17:17" x14ac:dyDescent="0.25">
      <c r="Q4150"/>
    </row>
    <row r="4151" spans="17:17" x14ac:dyDescent="0.25">
      <c r="Q4151"/>
    </row>
    <row r="4152" spans="17:17" x14ac:dyDescent="0.25">
      <c r="Q4152"/>
    </row>
    <row r="4153" spans="17:17" x14ac:dyDescent="0.25">
      <c r="Q4153"/>
    </row>
    <row r="4154" spans="17:17" x14ac:dyDescent="0.25">
      <c r="Q4154"/>
    </row>
    <row r="4155" spans="17:17" x14ac:dyDescent="0.25">
      <c r="Q4155"/>
    </row>
    <row r="4156" spans="17:17" x14ac:dyDescent="0.25">
      <c r="Q4156"/>
    </row>
    <row r="4157" spans="17:17" x14ac:dyDescent="0.25">
      <c r="Q4157"/>
    </row>
    <row r="4158" spans="17:17" x14ac:dyDescent="0.25">
      <c r="Q4158"/>
    </row>
    <row r="4159" spans="17:17" x14ac:dyDescent="0.25">
      <c r="Q4159"/>
    </row>
    <row r="4160" spans="17:17" x14ac:dyDescent="0.25">
      <c r="Q4160"/>
    </row>
    <row r="4161" spans="17:17" x14ac:dyDescent="0.25">
      <c r="Q4161"/>
    </row>
    <row r="4162" spans="17:17" x14ac:dyDescent="0.25">
      <c r="Q4162"/>
    </row>
    <row r="4163" spans="17:17" x14ac:dyDescent="0.25">
      <c r="Q4163"/>
    </row>
    <row r="4164" spans="17:17" x14ac:dyDescent="0.25">
      <c r="Q4164"/>
    </row>
    <row r="4165" spans="17:17" x14ac:dyDescent="0.25">
      <c r="Q4165"/>
    </row>
    <row r="4166" spans="17:17" x14ac:dyDescent="0.25">
      <c r="Q4166"/>
    </row>
    <row r="4167" spans="17:17" x14ac:dyDescent="0.25">
      <c r="Q4167"/>
    </row>
    <row r="4168" spans="17:17" x14ac:dyDescent="0.25">
      <c r="Q4168"/>
    </row>
    <row r="4169" spans="17:17" x14ac:dyDescent="0.25">
      <c r="Q4169"/>
    </row>
    <row r="4170" spans="17:17" x14ac:dyDescent="0.25">
      <c r="Q4170"/>
    </row>
    <row r="4171" spans="17:17" x14ac:dyDescent="0.25">
      <c r="Q4171"/>
    </row>
    <row r="4172" spans="17:17" x14ac:dyDescent="0.25">
      <c r="Q4172"/>
    </row>
    <row r="4173" spans="17:17" x14ac:dyDescent="0.25">
      <c r="Q4173"/>
    </row>
    <row r="4174" spans="17:17" x14ac:dyDescent="0.25">
      <c r="Q4174"/>
    </row>
    <row r="4175" spans="17:17" x14ac:dyDescent="0.25">
      <c r="Q4175"/>
    </row>
    <row r="4176" spans="17:17" x14ac:dyDescent="0.25">
      <c r="Q4176"/>
    </row>
    <row r="4177" spans="17:17" x14ac:dyDescent="0.25">
      <c r="Q4177"/>
    </row>
    <row r="4178" spans="17:17" x14ac:dyDescent="0.25">
      <c r="Q4178"/>
    </row>
    <row r="4179" spans="17:17" x14ac:dyDescent="0.25">
      <c r="Q4179"/>
    </row>
    <row r="4180" spans="17:17" x14ac:dyDescent="0.25">
      <c r="Q4180"/>
    </row>
    <row r="4181" spans="17:17" x14ac:dyDescent="0.25">
      <c r="Q4181"/>
    </row>
    <row r="4182" spans="17:17" x14ac:dyDescent="0.25">
      <c r="Q4182"/>
    </row>
    <row r="4183" spans="17:17" x14ac:dyDescent="0.25">
      <c r="Q4183"/>
    </row>
    <row r="4184" spans="17:17" x14ac:dyDescent="0.25">
      <c r="Q4184"/>
    </row>
    <row r="4185" spans="17:17" x14ac:dyDescent="0.25">
      <c r="Q4185"/>
    </row>
    <row r="4186" spans="17:17" x14ac:dyDescent="0.25">
      <c r="Q4186"/>
    </row>
    <row r="4187" spans="17:17" x14ac:dyDescent="0.25">
      <c r="Q4187"/>
    </row>
    <row r="4188" spans="17:17" x14ac:dyDescent="0.25">
      <c r="Q4188"/>
    </row>
    <row r="4189" spans="17:17" x14ac:dyDescent="0.25">
      <c r="Q4189"/>
    </row>
    <row r="4190" spans="17:17" x14ac:dyDescent="0.25">
      <c r="Q4190"/>
    </row>
    <row r="4191" spans="17:17" x14ac:dyDescent="0.25">
      <c r="Q4191"/>
    </row>
    <row r="4192" spans="17:17" x14ac:dyDescent="0.25">
      <c r="Q4192"/>
    </row>
    <row r="4193" spans="17:17" x14ac:dyDescent="0.25">
      <c r="Q4193"/>
    </row>
    <row r="4194" spans="17:17" x14ac:dyDescent="0.25">
      <c r="Q4194"/>
    </row>
    <row r="4195" spans="17:17" x14ac:dyDescent="0.25">
      <c r="Q4195"/>
    </row>
    <row r="4196" spans="17:17" x14ac:dyDescent="0.25">
      <c r="Q4196"/>
    </row>
    <row r="4197" spans="17:17" x14ac:dyDescent="0.25">
      <c r="Q4197"/>
    </row>
    <row r="4198" spans="17:17" x14ac:dyDescent="0.25">
      <c r="Q4198"/>
    </row>
    <row r="4199" spans="17:17" x14ac:dyDescent="0.25">
      <c r="Q4199"/>
    </row>
    <row r="4200" spans="17:17" x14ac:dyDescent="0.25">
      <c r="Q4200"/>
    </row>
    <row r="4201" spans="17:17" x14ac:dyDescent="0.25">
      <c r="Q4201"/>
    </row>
    <row r="4202" spans="17:17" x14ac:dyDescent="0.25">
      <c r="Q4202"/>
    </row>
    <row r="4203" spans="17:17" x14ac:dyDescent="0.25">
      <c r="Q4203"/>
    </row>
    <row r="4204" spans="17:17" x14ac:dyDescent="0.25">
      <c r="Q4204"/>
    </row>
    <row r="4205" spans="17:17" x14ac:dyDescent="0.25">
      <c r="Q4205"/>
    </row>
    <row r="4206" spans="17:17" x14ac:dyDescent="0.25">
      <c r="Q4206"/>
    </row>
    <row r="4207" spans="17:17" x14ac:dyDescent="0.25">
      <c r="Q4207"/>
    </row>
    <row r="4208" spans="17:17" x14ac:dyDescent="0.25">
      <c r="Q4208"/>
    </row>
    <row r="4209" spans="17:17" x14ac:dyDescent="0.25">
      <c r="Q4209"/>
    </row>
    <row r="4210" spans="17:17" x14ac:dyDescent="0.25">
      <c r="Q4210"/>
    </row>
    <row r="4211" spans="17:17" x14ac:dyDescent="0.25">
      <c r="Q4211"/>
    </row>
    <row r="4212" spans="17:17" x14ac:dyDescent="0.25">
      <c r="Q4212"/>
    </row>
    <row r="4213" spans="17:17" x14ac:dyDescent="0.25">
      <c r="Q4213"/>
    </row>
    <row r="4214" spans="17:17" x14ac:dyDescent="0.25">
      <c r="Q4214"/>
    </row>
    <row r="4215" spans="17:17" x14ac:dyDescent="0.25">
      <c r="Q4215"/>
    </row>
    <row r="4216" spans="17:17" x14ac:dyDescent="0.25">
      <c r="Q4216"/>
    </row>
    <row r="4217" spans="17:17" x14ac:dyDescent="0.25">
      <c r="Q4217"/>
    </row>
    <row r="4218" spans="17:17" x14ac:dyDescent="0.25">
      <c r="Q4218"/>
    </row>
    <row r="4219" spans="17:17" x14ac:dyDescent="0.25">
      <c r="Q4219"/>
    </row>
    <row r="4220" spans="17:17" x14ac:dyDescent="0.25">
      <c r="Q4220"/>
    </row>
    <row r="4221" spans="17:17" x14ac:dyDescent="0.25">
      <c r="Q4221"/>
    </row>
    <row r="4222" spans="17:17" x14ac:dyDescent="0.25">
      <c r="Q4222"/>
    </row>
    <row r="4223" spans="17:17" x14ac:dyDescent="0.25">
      <c r="Q4223"/>
    </row>
    <row r="4224" spans="17:17" x14ac:dyDescent="0.25">
      <c r="Q4224"/>
    </row>
    <row r="4225" spans="17:17" x14ac:dyDescent="0.25">
      <c r="Q4225"/>
    </row>
    <row r="4226" spans="17:17" x14ac:dyDescent="0.25">
      <c r="Q4226"/>
    </row>
    <row r="4227" spans="17:17" x14ac:dyDescent="0.25">
      <c r="Q4227"/>
    </row>
    <row r="4228" spans="17:17" x14ac:dyDescent="0.25">
      <c r="Q4228"/>
    </row>
    <row r="4229" spans="17:17" x14ac:dyDescent="0.25">
      <c r="Q4229"/>
    </row>
    <row r="4230" spans="17:17" x14ac:dyDescent="0.25">
      <c r="Q4230"/>
    </row>
    <row r="4231" spans="17:17" x14ac:dyDescent="0.25">
      <c r="Q4231"/>
    </row>
    <row r="4232" spans="17:17" x14ac:dyDescent="0.25">
      <c r="Q4232"/>
    </row>
    <row r="4233" spans="17:17" x14ac:dyDescent="0.25">
      <c r="Q4233"/>
    </row>
    <row r="4234" spans="17:17" x14ac:dyDescent="0.25">
      <c r="Q4234"/>
    </row>
    <row r="4235" spans="17:17" x14ac:dyDescent="0.25">
      <c r="Q4235"/>
    </row>
    <row r="4236" spans="17:17" x14ac:dyDescent="0.25">
      <c r="Q4236"/>
    </row>
    <row r="4237" spans="17:17" x14ac:dyDescent="0.25">
      <c r="Q4237"/>
    </row>
    <row r="4238" spans="17:17" x14ac:dyDescent="0.25">
      <c r="Q4238"/>
    </row>
    <row r="4239" spans="17:17" x14ac:dyDescent="0.25">
      <c r="Q4239"/>
    </row>
    <row r="4240" spans="17:17" x14ac:dyDescent="0.25">
      <c r="Q4240"/>
    </row>
    <row r="4241" spans="17:17" x14ac:dyDescent="0.25">
      <c r="Q4241"/>
    </row>
    <row r="4242" spans="17:17" x14ac:dyDescent="0.25">
      <c r="Q4242"/>
    </row>
    <row r="4243" spans="17:17" x14ac:dyDescent="0.25">
      <c r="Q4243"/>
    </row>
    <row r="4244" spans="17:17" x14ac:dyDescent="0.25">
      <c r="Q4244"/>
    </row>
    <row r="4245" spans="17:17" x14ac:dyDescent="0.25">
      <c r="Q4245"/>
    </row>
    <row r="4246" spans="17:17" x14ac:dyDescent="0.25">
      <c r="Q4246"/>
    </row>
    <row r="4247" spans="17:17" x14ac:dyDescent="0.25">
      <c r="Q4247"/>
    </row>
    <row r="4248" spans="17:17" x14ac:dyDescent="0.25">
      <c r="Q4248"/>
    </row>
    <row r="4249" spans="17:17" x14ac:dyDescent="0.25">
      <c r="Q4249"/>
    </row>
    <row r="4250" spans="17:17" x14ac:dyDescent="0.25">
      <c r="Q4250"/>
    </row>
    <row r="4251" spans="17:17" x14ac:dyDescent="0.25">
      <c r="Q4251"/>
    </row>
    <row r="4252" spans="17:17" x14ac:dyDescent="0.25">
      <c r="Q4252"/>
    </row>
    <row r="4253" spans="17:17" x14ac:dyDescent="0.25">
      <c r="Q4253"/>
    </row>
    <row r="4254" spans="17:17" x14ac:dyDescent="0.25">
      <c r="Q4254"/>
    </row>
    <row r="4255" spans="17:17" x14ac:dyDescent="0.25">
      <c r="Q4255"/>
    </row>
    <row r="4256" spans="17:17" x14ac:dyDescent="0.25">
      <c r="Q4256"/>
    </row>
    <row r="4257" spans="17:17" x14ac:dyDescent="0.25">
      <c r="Q4257"/>
    </row>
    <row r="4258" spans="17:17" x14ac:dyDescent="0.25">
      <c r="Q4258"/>
    </row>
    <row r="4259" spans="17:17" x14ac:dyDescent="0.25">
      <c r="Q4259"/>
    </row>
    <row r="4260" spans="17:17" x14ac:dyDescent="0.25">
      <c r="Q4260"/>
    </row>
    <row r="4261" spans="17:17" x14ac:dyDescent="0.25">
      <c r="Q4261"/>
    </row>
    <row r="4262" spans="17:17" x14ac:dyDescent="0.25">
      <c r="Q4262"/>
    </row>
    <row r="4263" spans="17:17" x14ac:dyDescent="0.25">
      <c r="Q4263"/>
    </row>
    <row r="4264" spans="17:17" x14ac:dyDescent="0.25">
      <c r="Q4264"/>
    </row>
    <row r="4265" spans="17:17" x14ac:dyDescent="0.25">
      <c r="Q4265"/>
    </row>
    <row r="4266" spans="17:17" x14ac:dyDescent="0.25">
      <c r="Q4266"/>
    </row>
    <row r="4267" spans="17:17" x14ac:dyDescent="0.25">
      <c r="Q4267"/>
    </row>
    <row r="4268" spans="17:17" x14ac:dyDescent="0.25">
      <c r="Q4268"/>
    </row>
    <row r="4269" spans="17:17" x14ac:dyDescent="0.25">
      <c r="Q4269"/>
    </row>
    <row r="4270" spans="17:17" x14ac:dyDescent="0.25">
      <c r="Q4270"/>
    </row>
    <row r="4271" spans="17:17" x14ac:dyDescent="0.25">
      <c r="Q4271"/>
    </row>
    <row r="4272" spans="17:17" x14ac:dyDescent="0.25">
      <c r="Q4272"/>
    </row>
    <row r="4273" spans="17:17" x14ac:dyDescent="0.25">
      <c r="Q4273"/>
    </row>
    <row r="4274" spans="17:17" x14ac:dyDescent="0.25">
      <c r="Q4274"/>
    </row>
    <row r="4275" spans="17:17" x14ac:dyDescent="0.25">
      <c r="Q4275"/>
    </row>
    <row r="4276" spans="17:17" x14ac:dyDescent="0.25">
      <c r="Q4276"/>
    </row>
    <row r="4277" spans="17:17" x14ac:dyDescent="0.25">
      <c r="Q4277"/>
    </row>
    <row r="4278" spans="17:17" x14ac:dyDescent="0.25">
      <c r="Q4278"/>
    </row>
    <row r="4279" spans="17:17" x14ac:dyDescent="0.25">
      <c r="Q4279"/>
    </row>
    <row r="4280" spans="17:17" x14ac:dyDescent="0.25">
      <c r="Q4280"/>
    </row>
    <row r="4281" spans="17:17" x14ac:dyDescent="0.25">
      <c r="Q4281"/>
    </row>
    <row r="4282" spans="17:17" x14ac:dyDescent="0.25">
      <c r="Q4282"/>
    </row>
    <row r="4283" spans="17:17" x14ac:dyDescent="0.25">
      <c r="Q4283"/>
    </row>
    <row r="4284" spans="17:17" x14ac:dyDescent="0.25">
      <c r="Q4284"/>
    </row>
    <row r="4285" spans="17:17" x14ac:dyDescent="0.25">
      <c r="Q4285"/>
    </row>
    <row r="4286" spans="17:17" x14ac:dyDescent="0.25">
      <c r="Q4286"/>
    </row>
    <row r="4287" spans="17:17" x14ac:dyDescent="0.25">
      <c r="Q4287"/>
    </row>
    <row r="4288" spans="17:17" x14ac:dyDescent="0.25">
      <c r="Q4288"/>
    </row>
    <row r="4289" spans="17:17" x14ac:dyDescent="0.25">
      <c r="Q4289"/>
    </row>
    <row r="4290" spans="17:17" x14ac:dyDescent="0.25">
      <c r="Q4290"/>
    </row>
    <row r="4291" spans="17:17" x14ac:dyDescent="0.25">
      <c r="Q4291"/>
    </row>
    <row r="4292" spans="17:17" x14ac:dyDescent="0.25">
      <c r="Q4292"/>
    </row>
    <row r="4293" spans="17:17" x14ac:dyDescent="0.25">
      <c r="Q4293"/>
    </row>
    <row r="4294" spans="17:17" x14ac:dyDescent="0.25">
      <c r="Q4294"/>
    </row>
    <row r="4295" spans="17:17" x14ac:dyDescent="0.25">
      <c r="Q4295"/>
    </row>
    <row r="4296" spans="17:17" x14ac:dyDescent="0.25">
      <c r="Q4296"/>
    </row>
    <row r="4297" spans="17:17" x14ac:dyDescent="0.25">
      <c r="Q4297"/>
    </row>
    <row r="4298" spans="17:17" x14ac:dyDescent="0.25">
      <c r="Q4298"/>
    </row>
    <row r="4299" spans="17:17" x14ac:dyDescent="0.25">
      <c r="Q4299"/>
    </row>
    <row r="4300" spans="17:17" x14ac:dyDescent="0.25">
      <c r="Q4300"/>
    </row>
    <row r="4301" spans="17:17" x14ac:dyDescent="0.25">
      <c r="Q4301"/>
    </row>
    <row r="4302" spans="17:17" x14ac:dyDescent="0.25">
      <c r="Q4302"/>
    </row>
    <row r="4303" spans="17:17" x14ac:dyDescent="0.25">
      <c r="Q4303"/>
    </row>
    <row r="4304" spans="17:17" x14ac:dyDescent="0.25">
      <c r="Q4304"/>
    </row>
    <row r="4305" spans="17:17" x14ac:dyDescent="0.25">
      <c r="Q4305"/>
    </row>
    <row r="4306" spans="17:17" x14ac:dyDescent="0.25">
      <c r="Q4306"/>
    </row>
    <row r="4307" spans="17:17" x14ac:dyDescent="0.25">
      <c r="Q4307"/>
    </row>
    <row r="4308" spans="17:17" x14ac:dyDescent="0.25">
      <c r="Q4308"/>
    </row>
    <row r="4309" spans="17:17" x14ac:dyDescent="0.25">
      <c r="Q4309"/>
    </row>
    <row r="4310" spans="17:17" x14ac:dyDescent="0.25">
      <c r="Q4310"/>
    </row>
    <row r="4311" spans="17:17" x14ac:dyDescent="0.25">
      <c r="Q4311"/>
    </row>
    <row r="4312" spans="17:17" x14ac:dyDescent="0.25">
      <c r="Q4312"/>
    </row>
    <row r="4313" spans="17:17" x14ac:dyDescent="0.25">
      <c r="Q4313"/>
    </row>
    <row r="4314" spans="17:17" x14ac:dyDescent="0.25">
      <c r="Q4314"/>
    </row>
    <row r="4315" spans="17:17" x14ac:dyDescent="0.25">
      <c r="Q4315"/>
    </row>
    <row r="4316" spans="17:17" x14ac:dyDescent="0.25">
      <c r="Q4316"/>
    </row>
    <row r="4317" spans="17:17" x14ac:dyDescent="0.25">
      <c r="Q4317"/>
    </row>
    <row r="4318" spans="17:17" x14ac:dyDescent="0.25">
      <c r="Q4318"/>
    </row>
    <row r="4319" spans="17:17" x14ac:dyDescent="0.25">
      <c r="Q4319"/>
    </row>
    <row r="4320" spans="17:17" x14ac:dyDescent="0.25">
      <c r="Q4320"/>
    </row>
    <row r="4321" spans="17:17" x14ac:dyDescent="0.25">
      <c r="Q4321"/>
    </row>
    <row r="4322" spans="17:17" x14ac:dyDescent="0.25">
      <c r="Q4322"/>
    </row>
    <row r="4323" spans="17:17" x14ac:dyDescent="0.25">
      <c r="Q4323"/>
    </row>
    <row r="4324" spans="17:17" x14ac:dyDescent="0.25">
      <c r="Q4324"/>
    </row>
    <row r="4325" spans="17:17" x14ac:dyDescent="0.25">
      <c r="Q4325"/>
    </row>
    <row r="4326" spans="17:17" x14ac:dyDescent="0.25">
      <c r="Q4326"/>
    </row>
    <row r="4327" spans="17:17" x14ac:dyDescent="0.25">
      <c r="Q4327"/>
    </row>
    <row r="4328" spans="17:17" x14ac:dyDescent="0.25">
      <c r="Q4328"/>
    </row>
    <row r="4329" spans="17:17" x14ac:dyDescent="0.25">
      <c r="Q4329"/>
    </row>
    <row r="4330" spans="17:17" x14ac:dyDescent="0.25">
      <c r="Q4330"/>
    </row>
    <row r="4331" spans="17:17" x14ac:dyDescent="0.25">
      <c r="Q4331"/>
    </row>
    <row r="4332" spans="17:17" x14ac:dyDescent="0.25">
      <c r="Q4332"/>
    </row>
    <row r="4333" spans="17:17" x14ac:dyDescent="0.25">
      <c r="Q4333"/>
    </row>
    <row r="4334" spans="17:17" x14ac:dyDescent="0.25">
      <c r="Q4334"/>
    </row>
    <row r="4335" spans="17:17" x14ac:dyDescent="0.25">
      <c r="Q4335"/>
    </row>
    <row r="4336" spans="17:17" x14ac:dyDescent="0.25">
      <c r="Q4336"/>
    </row>
    <row r="4337" spans="17:17" x14ac:dyDescent="0.25">
      <c r="Q4337"/>
    </row>
    <row r="4338" spans="17:17" x14ac:dyDescent="0.25">
      <c r="Q4338"/>
    </row>
    <row r="4339" spans="17:17" x14ac:dyDescent="0.25">
      <c r="Q4339"/>
    </row>
    <row r="4340" spans="17:17" x14ac:dyDescent="0.25">
      <c r="Q4340"/>
    </row>
    <row r="4341" spans="17:17" x14ac:dyDescent="0.25">
      <c r="Q4341"/>
    </row>
    <row r="4342" spans="17:17" x14ac:dyDescent="0.25">
      <c r="Q4342"/>
    </row>
    <row r="4343" spans="17:17" x14ac:dyDescent="0.25">
      <c r="Q4343"/>
    </row>
    <row r="4344" spans="17:17" x14ac:dyDescent="0.25">
      <c r="Q4344"/>
    </row>
    <row r="4345" spans="17:17" x14ac:dyDescent="0.25">
      <c r="Q4345"/>
    </row>
    <row r="4346" spans="17:17" x14ac:dyDescent="0.25">
      <c r="Q4346"/>
    </row>
    <row r="4347" spans="17:17" x14ac:dyDescent="0.25">
      <c r="Q4347"/>
    </row>
    <row r="4348" spans="17:17" x14ac:dyDescent="0.25">
      <c r="Q4348"/>
    </row>
    <row r="4349" spans="17:17" x14ac:dyDescent="0.25">
      <c r="Q4349"/>
    </row>
    <row r="4350" spans="17:17" x14ac:dyDescent="0.25">
      <c r="Q4350"/>
    </row>
    <row r="4351" spans="17:17" x14ac:dyDescent="0.25">
      <c r="Q4351"/>
    </row>
    <row r="4352" spans="17:17" x14ac:dyDescent="0.25">
      <c r="Q4352"/>
    </row>
    <row r="4353" spans="17:17" x14ac:dyDescent="0.25">
      <c r="Q4353"/>
    </row>
    <row r="4354" spans="17:17" x14ac:dyDescent="0.25">
      <c r="Q4354"/>
    </row>
    <row r="4355" spans="17:17" x14ac:dyDescent="0.25">
      <c r="Q4355"/>
    </row>
    <row r="4356" spans="17:17" x14ac:dyDescent="0.25">
      <c r="Q4356"/>
    </row>
    <row r="4357" spans="17:17" x14ac:dyDescent="0.25">
      <c r="Q4357"/>
    </row>
    <row r="4358" spans="17:17" x14ac:dyDescent="0.25">
      <c r="Q4358"/>
    </row>
    <row r="4359" spans="17:17" x14ac:dyDescent="0.25">
      <c r="Q4359"/>
    </row>
    <row r="4360" spans="17:17" x14ac:dyDescent="0.25">
      <c r="Q4360"/>
    </row>
    <row r="4361" spans="17:17" x14ac:dyDescent="0.25">
      <c r="Q4361"/>
    </row>
    <row r="4362" spans="17:17" x14ac:dyDescent="0.25">
      <c r="Q4362"/>
    </row>
    <row r="4363" spans="17:17" x14ac:dyDescent="0.25">
      <c r="Q4363"/>
    </row>
    <row r="4364" spans="17:17" x14ac:dyDescent="0.25">
      <c r="Q4364"/>
    </row>
    <row r="4365" spans="17:17" x14ac:dyDescent="0.25">
      <c r="Q4365"/>
    </row>
    <row r="4366" spans="17:17" x14ac:dyDescent="0.25">
      <c r="Q4366"/>
    </row>
    <row r="4367" spans="17:17" x14ac:dyDescent="0.25">
      <c r="Q4367"/>
    </row>
    <row r="4368" spans="17:17" x14ac:dyDescent="0.25">
      <c r="Q4368"/>
    </row>
    <row r="4369" spans="17:17" x14ac:dyDescent="0.25">
      <c r="Q4369"/>
    </row>
    <row r="4370" spans="17:17" x14ac:dyDescent="0.25">
      <c r="Q4370"/>
    </row>
    <row r="4371" spans="17:17" x14ac:dyDescent="0.25">
      <c r="Q4371"/>
    </row>
    <row r="4372" spans="17:17" x14ac:dyDescent="0.25">
      <c r="Q4372"/>
    </row>
    <row r="4373" spans="17:17" x14ac:dyDescent="0.25">
      <c r="Q4373"/>
    </row>
    <row r="4374" spans="17:17" x14ac:dyDescent="0.25">
      <c r="Q4374"/>
    </row>
    <row r="4375" spans="17:17" x14ac:dyDescent="0.25">
      <c r="Q4375"/>
    </row>
    <row r="4376" spans="17:17" x14ac:dyDescent="0.25">
      <c r="Q4376"/>
    </row>
    <row r="4377" spans="17:17" x14ac:dyDescent="0.25">
      <c r="Q4377"/>
    </row>
    <row r="4378" spans="17:17" x14ac:dyDescent="0.25">
      <c r="Q4378"/>
    </row>
    <row r="4379" spans="17:17" x14ac:dyDescent="0.25">
      <c r="Q4379"/>
    </row>
    <row r="4380" spans="17:17" x14ac:dyDescent="0.25">
      <c r="Q4380"/>
    </row>
    <row r="4381" spans="17:17" x14ac:dyDescent="0.25">
      <c r="Q4381"/>
    </row>
    <row r="4382" spans="17:17" x14ac:dyDescent="0.25">
      <c r="Q4382"/>
    </row>
    <row r="4383" spans="17:17" x14ac:dyDescent="0.25">
      <c r="Q4383"/>
    </row>
    <row r="4384" spans="17:17" x14ac:dyDescent="0.25">
      <c r="Q4384"/>
    </row>
    <row r="4385" spans="17:17" x14ac:dyDescent="0.25">
      <c r="Q4385"/>
    </row>
    <row r="4386" spans="17:17" x14ac:dyDescent="0.25">
      <c r="Q4386"/>
    </row>
    <row r="4387" spans="17:17" x14ac:dyDescent="0.25">
      <c r="Q4387"/>
    </row>
    <row r="4388" spans="17:17" x14ac:dyDescent="0.25">
      <c r="Q4388"/>
    </row>
    <row r="4389" spans="17:17" x14ac:dyDescent="0.25">
      <c r="Q4389"/>
    </row>
    <row r="4390" spans="17:17" x14ac:dyDescent="0.25">
      <c r="Q4390"/>
    </row>
    <row r="4391" spans="17:17" x14ac:dyDescent="0.25">
      <c r="Q4391"/>
    </row>
    <row r="4392" spans="17:17" x14ac:dyDescent="0.25">
      <c r="Q4392"/>
    </row>
    <row r="4393" spans="17:17" x14ac:dyDescent="0.25">
      <c r="Q4393"/>
    </row>
    <row r="4394" spans="17:17" x14ac:dyDescent="0.25">
      <c r="Q4394"/>
    </row>
    <row r="4395" spans="17:17" x14ac:dyDescent="0.25">
      <c r="Q4395"/>
    </row>
    <row r="4396" spans="17:17" x14ac:dyDescent="0.25">
      <c r="Q4396"/>
    </row>
    <row r="4397" spans="17:17" x14ac:dyDescent="0.25">
      <c r="Q4397"/>
    </row>
    <row r="4398" spans="17:17" x14ac:dyDescent="0.25">
      <c r="Q4398"/>
    </row>
    <row r="4399" spans="17:17" x14ac:dyDescent="0.25">
      <c r="Q4399"/>
    </row>
    <row r="4400" spans="17:17" x14ac:dyDescent="0.25">
      <c r="Q4400"/>
    </row>
    <row r="4401" spans="17:17" x14ac:dyDescent="0.25">
      <c r="Q4401"/>
    </row>
    <row r="4402" spans="17:17" x14ac:dyDescent="0.25">
      <c r="Q4402"/>
    </row>
    <row r="4403" spans="17:17" x14ac:dyDescent="0.25">
      <c r="Q4403"/>
    </row>
    <row r="4404" spans="17:17" x14ac:dyDescent="0.25">
      <c r="Q4404"/>
    </row>
    <row r="4405" spans="17:17" x14ac:dyDescent="0.25">
      <c r="Q4405"/>
    </row>
    <row r="4406" spans="17:17" x14ac:dyDescent="0.25">
      <c r="Q4406"/>
    </row>
    <row r="4407" spans="17:17" x14ac:dyDescent="0.25">
      <c r="Q4407"/>
    </row>
    <row r="4408" spans="17:17" x14ac:dyDescent="0.25">
      <c r="Q4408"/>
    </row>
    <row r="4409" spans="17:17" x14ac:dyDescent="0.25">
      <c r="Q4409"/>
    </row>
    <row r="4410" spans="17:17" x14ac:dyDescent="0.25">
      <c r="Q4410"/>
    </row>
    <row r="4411" spans="17:17" x14ac:dyDescent="0.25">
      <c r="Q4411"/>
    </row>
    <row r="4412" spans="17:17" x14ac:dyDescent="0.25">
      <c r="Q4412"/>
    </row>
    <row r="4413" spans="17:17" x14ac:dyDescent="0.25">
      <c r="Q4413"/>
    </row>
    <row r="4414" spans="17:17" x14ac:dyDescent="0.25">
      <c r="Q4414"/>
    </row>
    <row r="4415" spans="17:17" x14ac:dyDescent="0.25">
      <c r="Q4415"/>
    </row>
    <row r="4416" spans="17:17" x14ac:dyDescent="0.25">
      <c r="Q4416"/>
    </row>
    <row r="4417" spans="17:17" x14ac:dyDescent="0.25">
      <c r="Q4417"/>
    </row>
    <row r="4418" spans="17:17" x14ac:dyDescent="0.25">
      <c r="Q4418"/>
    </row>
    <row r="4419" spans="17:17" x14ac:dyDescent="0.25">
      <c r="Q4419"/>
    </row>
    <row r="4420" spans="17:17" x14ac:dyDescent="0.25">
      <c r="Q4420"/>
    </row>
    <row r="4421" spans="17:17" x14ac:dyDescent="0.25">
      <c r="Q4421"/>
    </row>
    <row r="4422" spans="17:17" x14ac:dyDescent="0.25">
      <c r="Q4422"/>
    </row>
    <row r="4423" spans="17:17" x14ac:dyDescent="0.25">
      <c r="Q4423"/>
    </row>
    <row r="4424" spans="17:17" x14ac:dyDescent="0.25">
      <c r="Q4424"/>
    </row>
    <row r="4425" spans="17:17" x14ac:dyDescent="0.25">
      <c r="Q4425"/>
    </row>
    <row r="4426" spans="17:17" x14ac:dyDescent="0.25">
      <c r="Q4426"/>
    </row>
    <row r="4427" spans="17:17" x14ac:dyDescent="0.25">
      <c r="Q4427"/>
    </row>
    <row r="4428" spans="17:17" x14ac:dyDescent="0.25">
      <c r="Q4428"/>
    </row>
    <row r="4429" spans="17:17" x14ac:dyDescent="0.25">
      <c r="Q4429"/>
    </row>
    <row r="4430" spans="17:17" x14ac:dyDescent="0.25">
      <c r="Q4430"/>
    </row>
    <row r="4431" spans="17:17" x14ac:dyDescent="0.25">
      <c r="Q4431"/>
    </row>
    <row r="4432" spans="17:17" x14ac:dyDescent="0.25">
      <c r="Q4432"/>
    </row>
    <row r="4433" spans="17:17" x14ac:dyDescent="0.25">
      <c r="Q4433"/>
    </row>
    <row r="4434" spans="17:17" x14ac:dyDescent="0.25">
      <c r="Q4434"/>
    </row>
    <row r="4435" spans="17:17" x14ac:dyDescent="0.25">
      <c r="Q4435"/>
    </row>
    <row r="4436" spans="17:17" x14ac:dyDescent="0.25">
      <c r="Q4436"/>
    </row>
    <row r="4437" spans="17:17" x14ac:dyDescent="0.25">
      <c r="Q4437"/>
    </row>
    <row r="4438" spans="17:17" x14ac:dyDescent="0.25">
      <c r="Q4438"/>
    </row>
    <row r="4439" spans="17:17" x14ac:dyDescent="0.25">
      <c r="Q4439"/>
    </row>
    <row r="4440" spans="17:17" x14ac:dyDescent="0.25">
      <c r="Q4440"/>
    </row>
    <row r="4441" spans="17:17" x14ac:dyDescent="0.25">
      <c r="Q4441"/>
    </row>
    <row r="4442" spans="17:17" x14ac:dyDescent="0.25">
      <c r="Q4442"/>
    </row>
    <row r="4443" spans="17:17" x14ac:dyDescent="0.25">
      <c r="Q4443"/>
    </row>
    <row r="4444" spans="17:17" x14ac:dyDescent="0.25">
      <c r="Q4444"/>
    </row>
    <row r="4445" spans="17:17" x14ac:dyDescent="0.25">
      <c r="Q4445"/>
    </row>
    <row r="4446" spans="17:17" x14ac:dyDescent="0.25">
      <c r="Q4446"/>
    </row>
    <row r="4447" spans="17:17" x14ac:dyDescent="0.25">
      <c r="Q4447"/>
    </row>
    <row r="4448" spans="17:17" x14ac:dyDescent="0.25">
      <c r="Q4448"/>
    </row>
    <row r="4449" spans="17:17" x14ac:dyDescent="0.25">
      <c r="Q4449"/>
    </row>
    <row r="4450" spans="17:17" x14ac:dyDescent="0.25">
      <c r="Q4450"/>
    </row>
    <row r="4451" spans="17:17" x14ac:dyDescent="0.25">
      <c r="Q4451"/>
    </row>
    <row r="4452" spans="17:17" x14ac:dyDescent="0.25">
      <c r="Q4452"/>
    </row>
    <row r="4453" spans="17:17" x14ac:dyDescent="0.25">
      <c r="Q4453"/>
    </row>
    <row r="4454" spans="17:17" x14ac:dyDescent="0.25">
      <c r="Q4454"/>
    </row>
    <row r="4455" spans="17:17" x14ac:dyDescent="0.25">
      <c r="Q4455"/>
    </row>
    <row r="4456" spans="17:17" x14ac:dyDescent="0.25">
      <c r="Q4456"/>
    </row>
    <row r="4457" spans="17:17" x14ac:dyDescent="0.25">
      <c r="Q4457"/>
    </row>
    <row r="4458" spans="17:17" x14ac:dyDescent="0.25">
      <c r="Q4458"/>
    </row>
    <row r="4459" spans="17:17" x14ac:dyDescent="0.25">
      <c r="Q4459"/>
    </row>
    <row r="4460" spans="17:17" x14ac:dyDescent="0.25">
      <c r="Q4460"/>
    </row>
    <row r="4461" spans="17:17" x14ac:dyDescent="0.25">
      <c r="Q4461"/>
    </row>
    <row r="4462" spans="17:17" x14ac:dyDescent="0.25">
      <c r="Q4462"/>
    </row>
    <row r="4463" spans="17:17" x14ac:dyDescent="0.25">
      <c r="Q4463"/>
    </row>
    <row r="4464" spans="17:17" x14ac:dyDescent="0.25">
      <c r="Q4464"/>
    </row>
    <row r="4465" spans="17:17" x14ac:dyDescent="0.25">
      <c r="Q4465"/>
    </row>
    <row r="4466" spans="17:17" x14ac:dyDescent="0.25">
      <c r="Q4466"/>
    </row>
    <row r="4467" spans="17:17" x14ac:dyDescent="0.25">
      <c r="Q4467"/>
    </row>
    <row r="4468" spans="17:17" x14ac:dyDescent="0.25">
      <c r="Q4468"/>
    </row>
    <row r="4469" spans="17:17" x14ac:dyDescent="0.25">
      <c r="Q4469"/>
    </row>
    <row r="4470" spans="17:17" x14ac:dyDescent="0.25">
      <c r="Q4470"/>
    </row>
    <row r="4471" spans="17:17" x14ac:dyDescent="0.25">
      <c r="Q4471"/>
    </row>
    <row r="4472" spans="17:17" x14ac:dyDescent="0.25">
      <c r="Q4472"/>
    </row>
    <row r="4473" spans="17:17" x14ac:dyDescent="0.25">
      <c r="Q4473"/>
    </row>
    <row r="4474" spans="17:17" x14ac:dyDescent="0.25">
      <c r="Q4474"/>
    </row>
    <row r="4475" spans="17:17" x14ac:dyDescent="0.25">
      <c r="Q4475"/>
    </row>
    <row r="4476" spans="17:17" x14ac:dyDescent="0.25">
      <c r="Q4476"/>
    </row>
    <row r="4477" spans="17:17" x14ac:dyDescent="0.25">
      <c r="Q4477"/>
    </row>
    <row r="4478" spans="17:17" x14ac:dyDescent="0.25">
      <c r="Q4478"/>
    </row>
    <row r="4479" spans="17:17" x14ac:dyDescent="0.25">
      <c r="Q4479"/>
    </row>
    <row r="4480" spans="17:17" x14ac:dyDescent="0.25">
      <c r="Q4480"/>
    </row>
    <row r="4481" spans="17:17" x14ac:dyDescent="0.25">
      <c r="Q4481"/>
    </row>
    <row r="4482" spans="17:17" x14ac:dyDescent="0.25">
      <c r="Q4482"/>
    </row>
    <row r="4483" spans="17:17" x14ac:dyDescent="0.25">
      <c r="Q4483"/>
    </row>
    <row r="4484" spans="17:17" x14ac:dyDescent="0.25">
      <c r="Q4484"/>
    </row>
    <row r="4485" spans="17:17" x14ac:dyDescent="0.25">
      <c r="Q4485"/>
    </row>
    <row r="4486" spans="17:17" x14ac:dyDescent="0.25">
      <c r="Q4486"/>
    </row>
    <row r="4487" spans="17:17" x14ac:dyDescent="0.25">
      <c r="Q4487"/>
    </row>
    <row r="4488" spans="17:17" x14ac:dyDescent="0.25">
      <c r="Q4488"/>
    </row>
    <row r="4489" spans="17:17" x14ac:dyDescent="0.25">
      <c r="Q4489"/>
    </row>
    <row r="4490" spans="17:17" x14ac:dyDescent="0.25">
      <c r="Q4490"/>
    </row>
    <row r="4491" spans="17:17" x14ac:dyDescent="0.25">
      <c r="Q4491"/>
    </row>
    <row r="4492" spans="17:17" x14ac:dyDescent="0.25">
      <c r="Q4492"/>
    </row>
    <row r="4493" spans="17:17" x14ac:dyDescent="0.25">
      <c r="Q4493"/>
    </row>
    <row r="4494" spans="17:17" x14ac:dyDescent="0.25">
      <c r="Q4494"/>
    </row>
    <row r="4495" spans="17:17" x14ac:dyDescent="0.25">
      <c r="Q4495"/>
    </row>
    <row r="4496" spans="17:17" x14ac:dyDescent="0.25">
      <c r="Q4496"/>
    </row>
    <row r="4497" spans="17:17" x14ac:dyDescent="0.25">
      <c r="Q4497"/>
    </row>
    <row r="4498" spans="17:17" x14ac:dyDescent="0.25">
      <c r="Q4498"/>
    </row>
    <row r="4499" spans="17:17" x14ac:dyDescent="0.25">
      <c r="Q4499"/>
    </row>
    <row r="4500" spans="17:17" x14ac:dyDescent="0.25">
      <c r="Q4500"/>
    </row>
    <row r="4501" spans="17:17" x14ac:dyDescent="0.25">
      <c r="Q4501"/>
    </row>
    <row r="4502" spans="17:17" x14ac:dyDescent="0.25">
      <c r="Q4502"/>
    </row>
    <row r="4503" spans="17:17" x14ac:dyDescent="0.25">
      <c r="Q4503"/>
    </row>
    <row r="4504" spans="17:17" x14ac:dyDescent="0.25">
      <c r="Q4504"/>
    </row>
    <row r="4505" spans="17:17" x14ac:dyDescent="0.25">
      <c r="Q4505"/>
    </row>
    <row r="4506" spans="17:17" x14ac:dyDescent="0.25">
      <c r="Q4506"/>
    </row>
    <row r="4507" spans="17:17" x14ac:dyDescent="0.25">
      <c r="Q4507"/>
    </row>
    <row r="4508" spans="17:17" x14ac:dyDescent="0.25">
      <c r="Q4508"/>
    </row>
    <row r="4509" spans="17:17" x14ac:dyDescent="0.25">
      <c r="Q4509"/>
    </row>
    <row r="4510" spans="17:17" x14ac:dyDescent="0.25">
      <c r="Q4510"/>
    </row>
    <row r="4511" spans="17:17" x14ac:dyDescent="0.25">
      <c r="Q4511"/>
    </row>
    <row r="4512" spans="17:17" x14ac:dyDescent="0.25">
      <c r="Q4512"/>
    </row>
    <row r="4513" spans="17:17" x14ac:dyDescent="0.25">
      <c r="Q4513"/>
    </row>
    <row r="4514" spans="17:17" x14ac:dyDescent="0.25">
      <c r="Q4514"/>
    </row>
    <row r="4515" spans="17:17" x14ac:dyDescent="0.25">
      <c r="Q4515"/>
    </row>
    <row r="4516" spans="17:17" x14ac:dyDescent="0.25">
      <c r="Q4516"/>
    </row>
    <row r="4517" spans="17:17" x14ac:dyDescent="0.25">
      <c r="Q4517"/>
    </row>
    <row r="4518" spans="17:17" x14ac:dyDescent="0.25">
      <c r="Q4518"/>
    </row>
    <row r="4519" spans="17:17" x14ac:dyDescent="0.25">
      <c r="Q4519"/>
    </row>
    <row r="4520" spans="17:17" x14ac:dyDescent="0.25">
      <c r="Q4520"/>
    </row>
    <row r="4521" spans="17:17" x14ac:dyDescent="0.25">
      <c r="Q4521"/>
    </row>
    <row r="4522" spans="17:17" x14ac:dyDescent="0.25">
      <c r="Q4522"/>
    </row>
    <row r="4523" spans="17:17" x14ac:dyDescent="0.25">
      <c r="Q4523"/>
    </row>
    <row r="4524" spans="17:17" x14ac:dyDescent="0.25">
      <c r="Q4524"/>
    </row>
    <row r="4525" spans="17:17" x14ac:dyDescent="0.25">
      <c r="Q4525"/>
    </row>
    <row r="4526" spans="17:17" x14ac:dyDescent="0.25">
      <c r="Q4526"/>
    </row>
    <row r="4527" spans="17:17" x14ac:dyDescent="0.25">
      <c r="Q4527"/>
    </row>
    <row r="4528" spans="17:17" x14ac:dyDescent="0.25">
      <c r="Q4528"/>
    </row>
    <row r="4529" spans="17:17" x14ac:dyDescent="0.25">
      <c r="Q4529"/>
    </row>
    <row r="4530" spans="17:17" x14ac:dyDescent="0.25">
      <c r="Q4530"/>
    </row>
    <row r="4531" spans="17:17" x14ac:dyDescent="0.25">
      <c r="Q4531"/>
    </row>
    <row r="4532" spans="17:17" x14ac:dyDescent="0.25">
      <c r="Q4532"/>
    </row>
    <row r="4533" spans="17:17" x14ac:dyDescent="0.25">
      <c r="Q4533"/>
    </row>
    <row r="4534" spans="17:17" x14ac:dyDescent="0.25">
      <c r="Q4534"/>
    </row>
    <row r="4535" spans="17:17" x14ac:dyDescent="0.25">
      <c r="Q4535"/>
    </row>
    <row r="4536" spans="17:17" x14ac:dyDescent="0.25">
      <c r="Q4536"/>
    </row>
    <row r="4537" spans="17:17" x14ac:dyDescent="0.25">
      <c r="Q4537"/>
    </row>
    <row r="4538" spans="17:17" x14ac:dyDescent="0.25">
      <c r="Q4538"/>
    </row>
    <row r="4539" spans="17:17" x14ac:dyDescent="0.25">
      <c r="Q4539"/>
    </row>
    <row r="4540" spans="17:17" x14ac:dyDescent="0.25">
      <c r="Q4540"/>
    </row>
    <row r="4541" spans="17:17" x14ac:dyDescent="0.25">
      <c r="Q4541"/>
    </row>
    <row r="4542" spans="17:17" x14ac:dyDescent="0.25">
      <c r="Q4542"/>
    </row>
    <row r="4543" spans="17:17" x14ac:dyDescent="0.25">
      <c r="Q4543"/>
    </row>
    <row r="4544" spans="17:17" x14ac:dyDescent="0.25">
      <c r="Q4544"/>
    </row>
    <row r="4545" spans="17:17" x14ac:dyDescent="0.25">
      <c r="Q4545"/>
    </row>
    <row r="4546" spans="17:17" x14ac:dyDescent="0.25">
      <c r="Q4546"/>
    </row>
    <row r="4547" spans="17:17" x14ac:dyDescent="0.25">
      <c r="Q4547"/>
    </row>
    <row r="4548" spans="17:17" x14ac:dyDescent="0.25">
      <c r="Q4548"/>
    </row>
    <row r="4549" spans="17:17" x14ac:dyDescent="0.25">
      <c r="Q4549"/>
    </row>
    <row r="4550" spans="17:17" x14ac:dyDescent="0.25">
      <c r="Q4550"/>
    </row>
    <row r="4551" spans="17:17" x14ac:dyDescent="0.25">
      <c r="Q4551"/>
    </row>
    <row r="4552" spans="17:17" x14ac:dyDescent="0.25">
      <c r="Q4552"/>
    </row>
    <row r="4553" spans="17:17" x14ac:dyDescent="0.25">
      <c r="Q4553"/>
    </row>
    <row r="4554" spans="17:17" x14ac:dyDescent="0.25">
      <c r="Q4554"/>
    </row>
    <row r="4555" spans="17:17" x14ac:dyDescent="0.25">
      <c r="Q4555"/>
    </row>
    <row r="4556" spans="17:17" x14ac:dyDescent="0.25">
      <c r="Q4556"/>
    </row>
    <row r="4557" spans="17:17" x14ac:dyDescent="0.25">
      <c r="Q4557"/>
    </row>
    <row r="4558" spans="17:17" x14ac:dyDescent="0.25">
      <c r="Q4558"/>
    </row>
    <row r="4559" spans="17:17" x14ac:dyDescent="0.25">
      <c r="Q4559"/>
    </row>
    <row r="4560" spans="17:17" x14ac:dyDescent="0.25">
      <c r="Q4560"/>
    </row>
    <row r="4561" spans="17:17" x14ac:dyDescent="0.25">
      <c r="Q4561"/>
    </row>
    <row r="4562" spans="17:17" x14ac:dyDescent="0.25">
      <c r="Q4562"/>
    </row>
    <row r="4563" spans="17:17" x14ac:dyDescent="0.25">
      <c r="Q4563"/>
    </row>
    <row r="4564" spans="17:17" x14ac:dyDescent="0.25">
      <c r="Q4564"/>
    </row>
    <row r="4565" spans="17:17" x14ac:dyDescent="0.25">
      <c r="Q4565"/>
    </row>
    <row r="4566" spans="17:17" x14ac:dyDescent="0.25">
      <c r="Q4566"/>
    </row>
    <row r="4567" spans="17:17" x14ac:dyDescent="0.25">
      <c r="Q4567"/>
    </row>
    <row r="4568" spans="17:17" x14ac:dyDescent="0.25">
      <c r="Q4568"/>
    </row>
    <row r="4569" spans="17:17" x14ac:dyDescent="0.25">
      <c r="Q4569"/>
    </row>
    <row r="4570" spans="17:17" x14ac:dyDescent="0.25">
      <c r="Q4570"/>
    </row>
    <row r="4571" spans="17:17" x14ac:dyDescent="0.25">
      <c r="Q4571"/>
    </row>
    <row r="4572" spans="17:17" x14ac:dyDescent="0.25">
      <c r="Q4572"/>
    </row>
    <row r="4573" spans="17:17" x14ac:dyDescent="0.25">
      <c r="Q4573"/>
    </row>
    <row r="4574" spans="17:17" x14ac:dyDescent="0.25">
      <c r="Q4574"/>
    </row>
    <row r="4575" spans="17:17" x14ac:dyDescent="0.25">
      <c r="Q4575"/>
    </row>
    <row r="4576" spans="17:17" x14ac:dyDescent="0.25">
      <c r="Q4576"/>
    </row>
    <row r="4577" spans="17:17" x14ac:dyDescent="0.25">
      <c r="Q4577"/>
    </row>
    <row r="4578" spans="17:17" x14ac:dyDescent="0.25">
      <c r="Q4578"/>
    </row>
    <row r="4579" spans="17:17" x14ac:dyDescent="0.25">
      <c r="Q4579"/>
    </row>
    <row r="4580" spans="17:17" x14ac:dyDescent="0.25">
      <c r="Q4580"/>
    </row>
    <row r="4581" spans="17:17" x14ac:dyDescent="0.25">
      <c r="Q4581"/>
    </row>
    <row r="4582" spans="17:17" x14ac:dyDescent="0.25">
      <c r="Q4582"/>
    </row>
    <row r="4583" spans="17:17" x14ac:dyDescent="0.25">
      <c r="Q4583"/>
    </row>
    <row r="4584" spans="17:17" x14ac:dyDescent="0.25">
      <c r="Q4584"/>
    </row>
    <row r="4585" spans="17:17" x14ac:dyDescent="0.25">
      <c r="Q4585"/>
    </row>
    <row r="4586" spans="17:17" x14ac:dyDescent="0.25">
      <c r="Q4586"/>
    </row>
    <row r="4587" spans="17:17" x14ac:dyDescent="0.25">
      <c r="Q4587"/>
    </row>
    <row r="4588" spans="17:17" x14ac:dyDescent="0.25">
      <c r="Q4588"/>
    </row>
    <row r="4589" spans="17:17" x14ac:dyDescent="0.25">
      <c r="Q4589"/>
    </row>
    <row r="4590" spans="17:17" x14ac:dyDescent="0.25">
      <c r="Q4590"/>
    </row>
    <row r="4591" spans="17:17" x14ac:dyDescent="0.25">
      <c r="Q4591"/>
    </row>
    <row r="4592" spans="17:17" x14ac:dyDescent="0.25">
      <c r="Q4592"/>
    </row>
    <row r="4593" spans="17:17" x14ac:dyDescent="0.25">
      <c r="Q4593"/>
    </row>
    <row r="4594" spans="17:17" x14ac:dyDescent="0.25">
      <c r="Q4594"/>
    </row>
    <row r="4595" spans="17:17" x14ac:dyDescent="0.25">
      <c r="Q4595"/>
    </row>
    <row r="4596" spans="17:17" x14ac:dyDescent="0.25">
      <c r="Q4596"/>
    </row>
    <row r="4597" spans="17:17" x14ac:dyDescent="0.25">
      <c r="Q4597"/>
    </row>
    <row r="4598" spans="17:17" x14ac:dyDescent="0.25">
      <c r="Q4598"/>
    </row>
    <row r="4599" spans="17:17" x14ac:dyDescent="0.25">
      <c r="Q4599"/>
    </row>
    <row r="4600" spans="17:17" x14ac:dyDescent="0.25">
      <c r="Q4600"/>
    </row>
    <row r="4601" spans="17:17" x14ac:dyDescent="0.25">
      <c r="Q4601"/>
    </row>
    <row r="4602" spans="17:17" x14ac:dyDescent="0.25">
      <c r="Q4602"/>
    </row>
    <row r="4603" spans="17:17" x14ac:dyDescent="0.25">
      <c r="Q4603"/>
    </row>
    <row r="4604" spans="17:17" x14ac:dyDescent="0.25">
      <c r="Q4604"/>
    </row>
    <row r="4605" spans="17:17" x14ac:dyDescent="0.25">
      <c r="Q4605"/>
    </row>
    <row r="4606" spans="17:17" x14ac:dyDescent="0.25">
      <c r="Q4606"/>
    </row>
    <row r="4607" spans="17:17" x14ac:dyDescent="0.25">
      <c r="Q4607"/>
    </row>
    <row r="4608" spans="17:17" x14ac:dyDescent="0.25">
      <c r="Q4608"/>
    </row>
    <row r="4609" spans="17:17" x14ac:dyDescent="0.25">
      <c r="Q4609"/>
    </row>
    <row r="4610" spans="17:17" x14ac:dyDescent="0.25">
      <c r="Q4610"/>
    </row>
    <row r="4611" spans="17:17" x14ac:dyDescent="0.25">
      <c r="Q4611"/>
    </row>
    <row r="4612" spans="17:17" x14ac:dyDescent="0.25">
      <c r="Q4612"/>
    </row>
    <row r="4613" spans="17:17" x14ac:dyDescent="0.25">
      <c r="Q4613"/>
    </row>
    <row r="4614" spans="17:17" x14ac:dyDescent="0.25">
      <c r="Q4614"/>
    </row>
    <row r="4615" spans="17:17" x14ac:dyDescent="0.25">
      <c r="Q4615"/>
    </row>
    <row r="4616" spans="17:17" x14ac:dyDescent="0.25">
      <c r="Q4616"/>
    </row>
    <row r="4617" spans="17:17" x14ac:dyDescent="0.25">
      <c r="Q4617"/>
    </row>
    <row r="4618" spans="17:17" x14ac:dyDescent="0.25">
      <c r="Q4618"/>
    </row>
    <row r="4619" spans="17:17" x14ac:dyDescent="0.25">
      <c r="Q4619"/>
    </row>
    <row r="4620" spans="17:17" x14ac:dyDescent="0.25">
      <c r="Q4620"/>
    </row>
    <row r="4621" spans="17:17" x14ac:dyDescent="0.25">
      <c r="Q4621"/>
    </row>
    <row r="4622" spans="17:17" x14ac:dyDescent="0.25">
      <c r="Q4622"/>
    </row>
    <row r="4623" spans="17:17" x14ac:dyDescent="0.25">
      <c r="Q4623"/>
    </row>
    <row r="4624" spans="17:17" x14ac:dyDescent="0.25">
      <c r="Q4624"/>
    </row>
    <row r="4625" spans="17:17" x14ac:dyDescent="0.25">
      <c r="Q4625"/>
    </row>
    <row r="4626" spans="17:17" x14ac:dyDescent="0.25">
      <c r="Q4626"/>
    </row>
    <row r="4627" spans="17:17" x14ac:dyDescent="0.25">
      <c r="Q4627"/>
    </row>
    <row r="4628" spans="17:17" x14ac:dyDescent="0.25">
      <c r="Q4628"/>
    </row>
    <row r="4629" spans="17:17" x14ac:dyDescent="0.25">
      <c r="Q4629"/>
    </row>
    <row r="4630" spans="17:17" x14ac:dyDescent="0.25">
      <c r="Q4630"/>
    </row>
    <row r="4631" spans="17:17" x14ac:dyDescent="0.25">
      <c r="Q4631"/>
    </row>
    <row r="4632" spans="17:17" x14ac:dyDescent="0.25">
      <c r="Q4632"/>
    </row>
    <row r="4633" spans="17:17" x14ac:dyDescent="0.25">
      <c r="Q4633"/>
    </row>
    <row r="4634" spans="17:17" x14ac:dyDescent="0.25">
      <c r="Q4634"/>
    </row>
    <row r="4635" spans="17:17" x14ac:dyDescent="0.25">
      <c r="Q4635"/>
    </row>
    <row r="4636" spans="17:17" x14ac:dyDescent="0.25">
      <c r="Q4636"/>
    </row>
    <row r="4637" spans="17:17" x14ac:dyDescent="0.25">
      <c r="Q4637"/>
    </row>
    <row r="4638" spans="17:17" x14ac:dyDescent="0.25">
      <c r="Q4638"/>
    </row>
    <row r="4639" spans="17:17" x14ac:dyDescent="0.25">
      <c r="Q4639"/>
    </row>
    <row r="4640" spans="17:17" x14ac:dyDescent="0.25">
      <c r="Q4640"/>
    </row>
    <row r="4641" spans="17:17" x14ac:dyDescent="0.25">
      <c r="Q4641"/>
    </row>
    <row r="4642" spans="17:17" x14ac:dyDescent="0.25">
      <c r="Q4642"/>
    </row>
    <row r="4643" spans="17:17" x14ac:dyDescent="0.25">
      <c r="Q4643"/>
    </row>
    <row r="4644" spans="17:17" x14ac:dyDescent="0.25">
      <c r="Q4644"/>
    </row>
    <row r="4645" spans="17:17" x14ac:dyDescent="0.25">
      <c r="Q4645"/>
    </row>
    <row r="4646" spans="17:17" x14ac:dyDescent="0.25">
      <c r="Q4646"/>
    </row>
    <row r="4647" spans="17:17" x14ac:dyDescent="0.25">
      <c r="Q4647"/>
    </row>
    <row r="4648" spans="17:17" x14ac:dyDescent="0.25">
      <c r="Q4648"/>
    </row>
    <row r="4649" spans="17:17" x14ac:dyDescent="0.25">
      <c r="Q4649"/>
    </row>
    <row r="4650" spans="17:17" x14ac:dyDescent="0.25">
      <c r="Q4650"/>
    </row>
    <row r="4651" spans="17:17" x14ac:dyDescent="0.25">
      <c r="Q4651"/>
    </row>
    <row r="4652" spans="17:17" x14ac:dyDescent="0.25">
      <c r="Q4652"/>
    </row>
    <row r="4653" spans="17:17" x14ac:dyDescent="0.25">
      <c r="Q4653"/>
    </row>
    <row r="4654" spans="17:17" x14ac:dyDescent="0.25">
      <c r="Q4654"/>
    </row>
    <row r="4655" spans="17:17" x14ac:dyDescent="0.25">
      <c r="Q4655"/>
    </row>
    <row r="4656" spans="17:17" x14ac:dyDescent="0.25">
      <c r="Q4656"/>
    </row>
    <row r="4657" spans="17:17" x14ac:dyDescent="0.25">
      <c r="Q4657"/>
    </row>
    <row r="4658" spans="17:17" x14ac:dyDescent="0.25">
      <c r="Q4658"/>
    </row>
    <row r="4659" spans="17:17" x14ac:dyDescent="0.25">
      <c r="Q4659"/>
    </row>
    <row r="4660" spans="17:17" x14ac:dyDescent="0.25">
      <c r="Q4660"/>
    </row>
    <row r="4661" spans="17:17" x14ac:dyDescent="0.25">
      <c r="Q4661"/>
    </row>
    <row r="4662" spans="17:17" x14ac:dyDescent="0.25">
      <c r="Q4662"/>
    </row>
    <row r="4663" spans="17:17" x14ac:dyDescent="0.25">
      <c r="Q4663"/>
    </row>
    <row r="4664" spans="17:17" x14ac:dyDescent="0.25">
      <c r="Q4664"/>
    </row>
    <row r="4665" spans="17:17" x14ac:dyDescent="0.25">
      <c r="Q4665"/>
    </row>
    <row r="4666" spans="17:17" x14ac:dyDescent="0.25">
      <c r="Q4666"/>
    </row>
    <row r="4667" spans="17:17" x14ac:dyDescent="0.25">
      <c r="Q4667"/>
    </row>
    <row r="4668" spans="17:17" x14ac:dyDescent="0.25">
      <c r="Q4668"/>
    </row>
    <row r="4669" spans="17:17" x14ac:dyDescent="0.25">
      <c r="Q4669"/>
    </row>
    <row r="4670" spans="17:17" x14ac:dyDescent="0.25">
      <c r="Q4670"/>
    </row>
    <row r="4671" spans="17:17" x14ac:dyDescent="0.25">
      <c r="Q4671"/>
    </row>
    <row r="4672" spans="17:17" x14ac:dyDescent="0.25">
      <c r="Q4672"/>
    </row>
    <row r="4673" spans="17:17" x14ac:dyDescent="0.25">
      <c r="Q4673"/>
    </row>
    <row r="4674" spans="17:17" x14ac:dyDescent="0.25">
      <c r="Q4674"/>
    </row>
    <row r="4675" spans="17:17" x14ac:dyDescent="0.25">
      <c r="Q4675"/>
    </row>
    <row r="4676" spans="17:17" x14ac:dyDescent="0.25">
      <c r="Q4676"/>
    </row>
    <row r="4677" spans="17:17" x14ac:dyDescent="0.25">
      <c r="Q4677"/>
    </row>
    <row r="4678" spans="17:17" x14ac:dyDescent="0.25">
      <c r="Q4678"/>
    </row>
    <row r="4679" spans="17:17" x14ac:dyDescent="0.25">
      <c r="Q4679"/>
    </row>
    <row r="4680" spans="17:17" x14ac:dyDescent="0.25">
      <c r="Q4680"/>
    </row>
    <row r="4681" spans="17:17" x14ac:dyDescent="0.25">
      <c r="Q4681"/>
    </row>
    <row r="4682" spans="17:17" x14ac:dyDescent="0.25">
      <c r="Q4682"/>
    </row>
    <row r="4683" spans="17:17" x14ac:dyDescent="0.25">
      <c r="Q4683"/>
    </row>
    <row r="4684" spans="17:17" x14ac:dyDescent="0.25">
      <c r="Q4684"/>
    </row>
    <row r="4685" spans="17:17" x14ac:dyDescent="0.25">
      <c r="Q4685"/>
    </row>
    <row r="4686" spans="17:17" x14ac:dyDescent="0.25">
      <c r="Q4686"/>
    </row>
    <row r="4687" spans="17:17" x14ac:dyDescent="0.25">
      <c r="Q4687"/>
    </row>
    <row r="4688" spans="17:17" x14ac:dyDescent="0.25">
      <c r="Q4688"/>
    </row>
    <row r="4689" spans="17:17" x14ac:dyDescent="0.25">
      <c r="Q4689"/>
    </row>
    <row r="4690" spans="17:17" x14ac:dyDescent="0.25">
      <c r="Q4690"/>
    </row>
    <row r="4691" spans="17:17" x14ac:dyDescent="0.25">
      <c r="Q4691"/>
    </row>
    <row r="4692" spans="17:17" x14ac:dyDescent="0.25">
      <c r="Q4692"/>
    </row>
    <row r="4693" spans="17:17" x14ac:dyDescent="0.25">
      <c r="Q4693"/>
    </row>
    <row r="4694" spans="17:17" x14ac:dyDescent="0.25">
      <c r="Q4694"/>
    </row>
    <row r="4695" spans="17:17" x14ac:dyDescent="0.25">
      <c r="Q4695"/>
    </row>
    <row r="4696" spans="17:17" x14ac:dyDescent="0.25">
      <c r="Q4696"/>
    </row>
    <row r="4697" spans="17:17" x14ac:dyDescent="0.25">
      <c r="Q4697"/>
    </row>
    <row r="4698" spans="17:17" x14ac:dyDescent="0.25">
      <c r="Q4698"/>
    </row>
    <row r="4699" spans="17:17" x14ac:dyDescent="0.25">
      <c r="Q4699"/>
    </row>
    <row r="4700" spans="17:17" x14ac:dyDescent="0.25">
      <c r="Q4700"/>
    </row>
    <row r="4701" spans="17:17" x14ac:dyDescent="0.25">
      <c r="Q4701"/>
    </row>
    <row r="4702" spans="17:17" x14ac:dyDescent="0.25">
      <c r="Q4702"/>
    </row>
    <row r="4703" spans="17:17" x14ac:dyDescent="0.25">
      <c r="Q4703"/>
    </row>
    <row r="4704" spans="17:17" x14ac:dyDescent="0.25">
      <c r="Q4704"/>
    </row>
    <row r="4705" spans="17:17" x14ac:dyDescent="0.25">
      <c r="Q4705"/>
    </row>
    <row r="4706" spans="17:17" x14ac:dyDescent="0.25">
      <c r="Q4706"/>
    </row>
    <row r="4707" spans="17:17" x14ac:dyDescent="0.25">
      <c r="Q4707"/>
    </row>
    <row r="4708" spans="17:17" x14ac:dyDescent="0.25">
      <c r="Q4708"/>
    </row>
    <row r="4709" spans="17:17" x14ac:dyDescent="0.25">
      <c r="Q4709"/>
    </row>
    <row r="4710" spans="17:17" x14ac:dyDescent="0.25">
      <c r="Q4710"/>
    </row>
    <row r="4711" spans="17:17" x14ac:dyDescent="0.25">
      <c r="Q4711"/>
    </row>
    <row r="4712" spans="17:17" x14ac:dyDescent="0.25">
      <c r="Q4712"/>
    </row>
    <row r="4713" spans="17:17" x14ac:dyDescent="0.25">
      <c r="Q4713"/>
    </row>
    <row r="4714" spans="17:17" x14ac:dyDescent="0.25">
      <c r="Q4714"/>
    </row>
    <row r="4715" spans="17:17" x14ac:dyDescent="0.25">
      <c r="Q4715"/>
    </row>
    <row r="4716" spans="17:17" x14ac:dyDescent="0.25">
      <c r="Q4716"/>
    </row>
    <row r="4717" spans="17:17" x14ac:dyDescent="0.25">
      <c r="Q4717"/>
    </row>
    <row r="4718" spans="17:17" x14ac:dyDescent="0.25">
      <c r="Q4718"/>
    </row>
    <row r="4719" spans="17:17" x14ac:dyDescent="0.25">
      <c r="Q4719"/>
    </row>
    <row r="4720" spans="17:17" x14ac:dyDescent="0.25">
      <c r="Q4720"/>
    </row>
    <row r="4721" spans="17:17" x14ac:dyDescent="0.25">
      <c r="Q4721"/>
    </row>
    <row r="4722" spans="17:17" x14ac:dyDescent="0.25">
      <c r="Q4722"/>
    </row>
    <row r="4723" spans="17:17" x14ac:dyDescent="0.25">
      <c r="Q4723"/>
    </row>
    <row r="4724" spans="17:17" x14ac:dyDescent="0.25">
      <c r="Q4724"/>
    </row>
    <row r="4725" spans="17:17" x14ac:dyDescent="0.25">
      <c r="Q4725"/>
    </row>
    <row r="4726" spans="17:17" x14ac:dyDescent="0.25">
      <c r="Q4726"/>
    </row>
    <row r="4727" spans="17:17" x14ac:dyDescent="0.25">
      <c r="Q4727"/>
    </row>
    <row r="4728" spans="17:17" x14ac:dyDescent="0.25">
      <c r="Q4728"/>
    </row>
    <row r="4729" spans="17:17" x14ac:dyDescent="0.25">
      <c r="Q4729"/>
    </row>
    <row r="4730" spans="17:17" x14ac:dyDescent="0.25">
      <c r="Q4730"/>
    </row>
    <row r="4731" spans="17:17" x14ac:dyDescent="0.25">
      <c r="Q4731"/>
    </row>
    <row r="4732" spans="17:17" x14ac:dyDescent="0.25">
      <c r="Q4732"/>
    </row>
    <row r="4733" spans="17:17" x14ac:dyDescent="0.25">
      <c r="Q4733"/>
    </row>
    <row r="4734" spans="17:17" x14ac:dyDescent="0.25">
      <c r="Q4734"/>
    </row>
    <row r="4735" spans="17:17" x14ac:dyDescent="0.25">
      <c r="Q4735"/>
    </row>
    <row r="4736" spans="17:17" x14ac:dyDescent="0.25">
      <c r="Q4736"/>
    </row>
    <row r="4737" spans="17:17" x14ac:dyDescent="0.25">
      <c r="Q4737"/>
    </row>
    <row r="4738" spans="17:17" x14ac:dyDescent="0.25">
      <c r="Q4738"/>
    </row>
    <row r="4739" spans="17:17" x14ac:dyDescent="0.25">
      <c r="Q4739"/>
    </row>
    <row r="4740" spans="17:17" x14ac:dyDescent="0.25">
      <c r="Q4740"/>
    </row>
    <row r="4741" spans="17:17" x14ac:dyDescent="0.25">
      <c r="Q4741"/>
    </row>
    <row r="4742" spans="17:17" x14ac:dyDescent="0.25">
      <c r="Q4742"/>
    </row>
    <row r="4743" spans="17:17" x14ac:dyDescent="0.25">
      <c r="Q4743"/>
    </row>
    <row r="4744" spans="17:17" x14ac:dyDescent="0.25">
      <c r="Q4744"/>
    </row>
    <row r="4745" spans="17:17" x14ac:dyDescent="0.25">
      <c r="Q4745"/>
    </row>
    <row r="4746" spans="17:17" x14ac:dyDescent="0.25">
      <c r="Q4746"/>
    </row>
    <row r="4747" spans="17:17" x14ac:dyDescent="0.25">
      <c r="Q4747"/>
    </row>
    <row r="4748" spans="17:17" x14ac:dyDescent="0.25">
      <c r="Q4748"/>
    </row>
    <row r="4749" spans="17:17" x14ac:dyDescent="0.25">
      <c r="Q4749"/>
    </row>
    <row r="4750" spans="17:17" x14ac:dyDescent="0.25">
      <c r="Q4750"/>
    </row>
    <row r="4751" spans="17:17" x14ac:dyDescent="0.25">
      <c r="Q4751"/>
    </row>
    <row r="4752" spans="17:17" x14ac:dyDescent="0.25">
      <c r="Q4752"/>
    </row>
    <row r="4753" spans="17:17" x14ac:dyDescent="0.25">
      <c r="Q4753"/>
    </row>
    <row r="4754" spans="17:17" x14ac:dyDescent="0.25">
      <c r="Q4754"/>
    </row>
    <row r="4755" spans="17:17" x14ac:dyDescent="0.25">
      <c r="Q4755"/>
    </row>
    <row r="4756" spans="17:17" x14ac:dyDescent="0.25">
      <c r="Q4756"/>
    </row>
    <row r="4757" spans="17:17" x14ac:dyDescent="0.25">
      <c r="Q4757"/>
    </row>
    <row r="4758" spans="17:17" x14ac:dyDescent="0.25">
      <c r="Q4758"/>
    </row>
    <row r="4759" spans="17:17" x14ac:dyDescent="0.25">
      <c r="Q4759"/>
    </row>
    <row r="4760" spans="17:17" x14ac:dyDescent="0.25">
      <c r="Q4760"/>
    </row>
    <row r="4761" spans="17:17" x14ac:dyDescent="0.25">
      <c r="Q4761"/>
    </row>
    <row r="4762" spans="17:17" x14ac:dyDescent="0.25">
      <c r="Q4762"/>
    </row>
    <row r="4763" spans="17:17" x14ac:dyDescent="0.25">
      <c r="Q4763"/>
    </row>
    <row r="4764" spans="17:17" x14ac:dyDescent="0.25">
      <c r="Q4764"/>
    </row>
    <row r="4765" spans="17:17" x14ac:dyDescent="0.25">
      <c r="Q4765"/>
    </row>
    <row r="4766" spans="17:17" x14ac:dyDescent="0.25">
      <c r="Q4766"/>
    </row>
    <row r="4767" spans="17:17" x14ac:dyDescent="0.25">
      <c r="Q4767"/>
    </row>
    <row r="4768" spans="17:17" x14ac:dyDescent="0.25">
      <c r="Q4768"/>
    </row>
    <row r="4769" spans="17:17" x14ac:dyDescent="0.25">
      <c r="Q4769"/>
    </row>
    <row r="4770" spans="17:17" x14ac:dyDescent="0.25">
      <c r="Q4770"/>
    </row>
    <row r="4771" spans="17:17" x14ac:dyDescent="0.25">
      <c r="Q4771"/>
    </row>
    <row r="4772" spans="17:17" x14ac:dyDescent="0.25">
      <c r="Q4772"/>
    </row>
    <row r="4773" spans="17:17" x14ac:dyDescent="0.25">
      <c r="Q4773"/>
    </row>
    <row r="4774" spans="17:17" x14ac:dyDescent="0.25">
      <c r="Q4774"/>
    </row>
    <row r="4775" spans="17:17" x14ac:dyDescent="0.25">
      <c r="Q4775"/>
    </row>
    <row r="4776" spans="17:17" x14ac:dyDescent="0.25">
      <c r="Q4776"/>
    </row>
    <row r="4777" spans="17:17" x14ac:dyDescent="0.25">
      <c r="Q4777"/>
    </row>
    <row r="4778" spans="17:17" x14ac:dyDescent="0.25">
      <c r="Q4778"/>
    </row>
    <row r="4779" spans="17:17" x14ac:dyDescent="0.25">
      <c r="Q4779"/>
    </row>
    <row r="4780" spans="17:17" x14ac:dyDescent="0.25">
      <c r="Q4780"/>
    </row>
    <row r="4781" spans="17:17" x14ac:dyDescent="0.25">
      <c r="Q4781"/>
    </row>
    <row r="4782" spans="17:17" x14ac:dyDescent="0.25">
      <c r="Q4782"/>
    </row>
    <row r="4783" spans="17:17" x14ac:dyDescent="0.25">
      <c r="Q4783"/>
    </row>
    <row r="4784" spans="17:17" x14ac:dyDescent="0.25">
      <c r="Q4784"/>
    </row>
    <row r="4785" spans="17:17" x14ac:dyDescent="0.25">
      <c r="Q4785"/>
    </row>
    <row r="4786" spans="17:17" x14ac:dyDescent="0.25">
      <c r="Q4786"/>
    </row>
    <row r="4787" spans="17:17" x14ac:dyDescent="0.25">
      <c r="Q4787"/>
    </row>
    <row r="4788" spans="17:17" x14ac:dyDescent="0.25">
      <c r="Q4788"/>
    </row>
    <row r="4789" spans="17:17" x14ac:dyDescent="0.25">
      <c r="Q4789"/>
    </row>
    <row r="4790" spans="17:17" x14ac:dyDescent="0.25">
      <c r="Q4790"/>
    </row>
    <row r="4791" spans="17:17" x14ac:dyDescent="0.25">
      <c r="Q4791"/>
    </row>
    <row r="4792" spans="17:17" x14ac:dyDescent="0.25">
      <c r="Q4792"/>
    </row>
    <row r="4793" spans="17:17" x14ac:dyDescent="0.25">
      <c r="Q4793"/>
    </row>
    <row r="4794" spans="17:17" x14ac:dyDescent="0.25">
      <c r="Q4794"/>
    </row>
    <row r="4795" spans="17:17" x14ac:dyDescent="0.25">
      <c r="Q4795"/>
    </row>
    <row r="4796" spans="17:17" x14ac:dyDescent="0.25">
      <c r="Q4796"/>
    </row>
    <row r="4797" spans="17:17" x14ac:dyDescent="0.25">
      <c r="Q4797"/>
    </row>
    <row r="4798" spans="17:17" x14ac:dyDescent="0.25">
      <c r="Q4798"/>
    </row>
    <row r="4799" spans="17:17" x14ac:dyDescent="0.25">
      <c r="Q4799"/>
    </row>
    <row r="4800" spans="17:17" x14ac:dyDescent="0.25">
      <c r="Q4800"/>
    </row>
    <row r="4801" spans="17:17" x14ac:dyDescent="0.25">
      <c r="Q4801"/>
    </row>
    <row r="4802" spans="17:17" x14ac:dyDescent="0.25">
      <c r="Q4802"/>
    </row>
    <row r="4803" spans="17:17" x14ac:dyDescent="0.25">
      <c r="Q4803"/>
    </row>
    <row r="4804" spans="17:17" x14ac:dyDescent="0.25">
      <c r="Q4804"/>
    </row>
    <row r="4805" spans="17:17" x14ac:dyDescent="0.25">
      <c r="Q4805"/>
    </row>
    <row r="4806" spans="17:17" x14ac:dyDescent="0.25">
      <c r="Q4806"/>
    </row>
    <row r="4807" spans="17:17" x14ac:dyDescent="0.25">
      <c r="Q4807"/>
    </row>
    <row r="4808" spans="17:17" x14ac:dyDescent="0.25">
      <c r="Q4808"/>
    </row>
    <row r="4809" spans="17:17" x14ac:dyDescent="0.25">
      <c r="Q4809"/>
    </row>
    <row r="4810" spans="17:17" x14ac:dyDescent="0.25">
      <c r="Q4810"/>
    </row>
    <row r="4811" spans="17:17" x14ac:dyDescent="0.25">
      <c r="Q4811"/>
    </row>
    <row r="4812" spans="17:17" x14ac:dyDescent="0.25">
      <c r="Q4812"/>
    </row>
    <row r="4813" spans="17:17" x14ac:dyDescent="0.25">
      <c r="Q4813"/>
    </row>
    <row r="4814" spans="17:17" x14ac:dyDescent="0.25">
      <c r="Q4814"/>
    </row>
    <row r="4815" spans="17:17" x14ac:dyDescent="0.25">
      <c r="Q4815"/>
    </row>
    <row r="4816" spans="17:17" x14ac:dyDescent="0.25">
      <c r="Q4816"/>
    </row>
    <row r="4817" spans="17:17" x14ac:dyDescent="0.25">
      <c r="Q4817"/>
    </row>
    <row r="4818" spans="17:17" x14ac:dyDescent="0.25">
      <c r="Q4818"/>
    </row>
    <row r="4819" spans="17:17" x14ac:dyDescent="0.25">
      <c r="Q4819"/>
    </row>
    <row r="4820" spans="17:17" x14ac:dyDescent="0.25">
      <c r="Q4820"/>
    </row>
    <row r="4821" spans="17:17" x14ac:dyDescent="0.25">
      <c r="Q4821"/>
    </row>
    <row r="4822" spans="17:17" x14ac:dyDescent="0.25">
      <c r="Q4822"/>
    </row>
    <row r="4823" spans="17:17" x14ac:dyDescent="0.25">
      <c r="Q4823"/>
    </row>
    <row r="4824" spans="17:17" x14ac:dyDescent="0.25">
      <c r="Q4824"/>
    </row>
    <row r="4825" spans="17:17" x14ac:dyDescent="0.25">
      <c r="Q4825"/>
    </row>
    <row r="4826" spans="17:17" x14ac:dyDescent="0.25">
      <c r="Q4826"/>
    </row>
    <row r="4827" spans="17:17" x14ac:dyDescent="0.25">
      <c r="Q4827"/>
    </row>
    <row r="4828" spans="17:17" x14ac:dyDescent="0.25">
      <c r="Q4828"/>
    </row>
    <row r="4829" spans="17:17" x14ac:dyDescent="0.25">
      <c r="Q4829"/>
    </row>
    <row r="4830" spans="17:17" x14ac:dyDescent="0.25">
      <c r="Q4830"/>
    </row>
    <row r="4831" spans="17:17" x14ac:dyDescent="0.25">
      <c r="Q4831"/>
    </row>
    <row r="4832" spans="17:17" x14ac:dyDescent="0.25">
      <c r="Q4832"/>
    </row>
    <row r="4833" spans="17:17" x14ac:dyDescent="0.25">
      <c r="Q4833"/>
    </row>
    <row r="4834" spans="17:17" x14ac:dyDescent="0.25">
      <c r="Q4834"/>
    </row>
    <row r="4835" spans="17:17" x14ac:dyDescent="0.25">
      <c r="Q4835"/>
    </row>
    <row r="4836" spans="17:17" x14ac:dyDescent="0.25">
      <c r="Q4836"/>
    </row>
    <row r="4837" spans="17:17" x14ac:dyDescent="0.25">
      <c r="Q4837"/>
    </row>
    <row r="4838" spans="17:17" x14ac:dyDescent="0.25">
      <c r="Q4838"/>
    </row>
    <row r="4839" spans="17:17" x14ac:dyDescent="0.25">
      <c r="Q4839"/>
    </row>
    <row r="4840" spans="17:17" x14ac:dyDescent="0.25">
      <c r="Q4840"/>
    </row>
    <row r="4841" spans="17:17" x14ac:dyDescent="0.25">
      <c r="Q4841"/>
    </row>
    <row r="4842" spans="17:17" x14ac:dyDescent="0.25">
      <c r="Q4842"/>
    </row>
    <row r="4843" spans="17:17" x14ac:dyDescent="0.25">
      <c r="Q4843"/>
    </row>
    <row r="4844" spans="17:17" x14ac:dyDescent="0.25">
      <c r="Q4844"/>
    </row>
    <row r="4845" spans="17:17" x14ac:dyDescent="0.25">
      <c r="Q4845"/>
    </row>
    <row r="4846" spans="17:17" x14ac:dyDescent="0.25">
      <c r="Q4846"/>
    </row>
    <row r="4847" spans="17:17" x14ac:dyDescent="0.25">
      <c r="Q4847"/>
    </row>
    <row r="4848" spans="17:17" x14ac:dyDescent="0.25">
      <c r="Q4848"/>
    </row>
    <row r="4849" spans="17:17" x14ac:dyDescent="0.25">
      <c r="Q4849"/>
    </row>
    <row r="4850" spans="17:17" x14ac:dyDescent="0.25">
      <c r="Q4850"/>
    </row>
    <row r="4851" spans="17:17" x14ac:dyDescent="0.25">
      <c r="Q4851"/>
    </row>
    <row r="4852" spans="17:17" x14ac:dyDescent="0.25">
      <c r="Q4852"/>
    </row>
    <row r="4853" spans="17:17" x14ac:dyDescent="0.25">
      <c r="Q4853"/>
    </row>
    <row r="4854" spans="17:17" x14ac:dyDescent="0.25">
      <c r="Q4854"/>
    </row>
    <row r="4855" spans="17:17" x14ac:dyDescent="0.25">
      <c r="Q4855"/>
    </row>
    <row r="4856" spans="17:17" x14ac:dyDescent="0.25">
      <c r="Q4856"/>
    </row>
    <row r="4857" spans="17:17" x14ac:dyDescent="0.25">
      <c r="Q4857"/>
    </row>
    <row r="4858" spans="17:17" x14ac:dyDescent="0.25">
      <c r="Q4858"/>
    </row>
    <row r="4859" spans="17:17" x14ac:dyDescent="0.25">
      <c r="Q4859"/>
    </row>
    <row r="4860" spans="17:17" x14ac:dyDescent="0.25">
      <c r="Q4860"/>
    </row>
    <row r="4861" spans="17:17" x14ac:dyDescent="0.25">
      <c r="Q4861"/>
    </row>
    <row r="4862" spans="17:17" x14ac:dyDescent="0.25">
      <c r="Q4862"/>
    </row>
    <row r="4863" spans="17:17" x14ac:dyDescent="0.25">
      <c r="Q4863"/>
    </row>
    <row r="4864" spans="17:17" x14ac:dyDescent="0.25">
      <c r="Q4864"/>
    </row>
    <row r="4865" spans="17:17" x14ac:dyDescent="0.25">
      <c r="Q4865"/>
    </row>
    <row r="4866" spans="17:17" x14ac:dyDescent="0.25">
      <c r="Q4866"/>
    </row>
    <row r="4867" spans="17:17" x14ac:dyDescent="0.25">
      <c r="Q4867"/>
    </row>
    <row r="4868" spans="17:17" x14ac:dyDescent="0.25">
      <c r="Q4868"/>
    </row>
    <row r="4869" spans="17:17" x14ac:dyDescent="0.25">
      <c r="Q4869"/>
    </row>
    <row r="4870" spans="17:17" x14ac:dyDescent="0.25">
      <c r="Q4870"/>
    </row>
    <row r="4871" spans="17:17" x14ac:dyDescent="0.25">
      <c r="Q4871"/>
    </row>
    <row r="4872" spans="17:17" x14ac:dyDescent="0.25">
      <c r="Q4872"/>
    </row>
    <row r="4873" spans="17:17" x14ac:dyDescent="0.25">
      <c r="Q4873"/>
    </row>
    <row r="4874" spans="17:17" x14ac:dyDescent="0.25">
      <c r="Q4874"/>
    </row>
    <row r="4875" spans="17:17" x14ac:dyDescent="0.25">
      <c r="Q4875"/>
    </row>
    <row r="4876" spans="17:17" x14ac:dyDescent="0.25">
      <c r="Q4876"/>
    </row>
    <row r="4877" spans="17:17" x14ac:dyDescent="0.25">
      <c r="Q4877"/>
    </row>
    <row r="4878" spans="17:17" x14ac:dyDescent="0.25">
      <c r="Q4878"/>
    </row>
    <row r="4879" spans="17:17" x14ac:dyDescent="0.25">
      <c r="Q4879"/>
    </row>
    <row r="4880" spans="17:17" x14ac:dyDescent="0.25">
      <c r="Q4880"/>
    </row>
    <row r="4881" spans="17:17" x14ac:dyDescent="0.25">
      <c r="Q4881"/>
    </row>
    <row r="4882" spans="17:17" x14ac:dyDescent="0.25">
      <c r="Q4882"/>
    </row>
    <row r="4883" spans="17:17" x14ac:dyDescent="0.25">
      <c r="Q4883"/>
    </row>
    <row r="4884" spans="17:17" x14ac:dyDescent="0.25">
      <c r="Q4884"/>
    </row>
    <row r="4885" spans="17:17" x14ac:dyDescent="0.25">
      <c r="Q4885"/>
    </row>
    <row r="4886" spans="17:17" x14ac:dyDescent="0.25">
      <c r="Q4886"/>
    </row>
    <row r="4887" spans="17:17" x14ac:dyDescent="0.25">
      <c r="Q4887"/>
    </row>
    <row r="4888" spans="17:17" x14ac:dyDescent="0.25">
      <c r="Q4888"/>
    </row>
    <row r="4889" spans="17:17" x14ac:dyDescent="0.25">
      <c r="Q4889"/>
    </row>
    <row r="4890" spans="17:17" x14ac:dyDescent="0.25">
      <c r="Q4890"/>
    </row>
    <row r="4891" spans="17:17" x14ac:dyDescent="0.25">
      <c r="Q4891"/>
    </row>
    <row r="4892" spans="17:17" x14ac:dyDescent="0.25">
      <c r="Q4892"/>
    </row>
    <row r="4893" spans="17:17" x14ac:dyDescent="0.25">
      <c r="Q4893"/>
    </row>
    <row r="4894" spans="17:17" x14ac:dyDescent="0.25">
      <c r="Q4894"/>
    </row>
    <row r="4895" spans="17:17" x14ac:dyDescent="0.25">
      <c r="Q4895"/>
    </row>
    <row r="4896" spans="17:17" x14ac:dyDescent="0.25">
      <c r="Q4896"/>
    </row>
    <row r="4897" spans="17:17" x14ac:dyDescent="0.25">
      <c r="Q4897"/>
    </row>
    <row r="4898" spans="17:17" x14ac:dyDescent="0.25">
      <c r="Q4898"/>
    </row>
    <row r="4899" spans="17:17" x14ac:dyDescent="0.25">
      <c r="Q4899"/>
    </row>
    <row r="4900" spans="17:17" x14ac:dyDescent="0.25">
      <c r="Q4900"/>
    </row>
    <row r="4901" spans="17:17" x14ac:dyDescent="0.25">
      <c r="Q4901"/>
    </row>
    <row r="4902" spans="17:17" x14ac:dyDescent="0.25">
      <c r="Q4902"/>
    </row>
    <row r="4903" spans="17:17" x14ac:dyDescent="0.25">
      <c r="Q4903"/>
    </row>
    <row r="4904" spans="17:17" x14ac:dyDescent="0.25">
      <c r="Q4904"/>
    </row>
    <row r="4905" spans="17:17" x14ac:dyDescent="0.25">
      <c r="Q4905"/>
    </row>
    <row r="4906" spans="17:17" x14ac:dyDescent="0.25">
      <c r="Q4906"/>
    </row>
    <row r="4907" spans="17:17" x14ac:dyDescent="0.25">
      <c r="Q4907"/>
    </row>
    <row r="4908" spans="17:17" x14ac:dyDescent="0.25">
      <c r="Q4908"/>
    </row>
    <row r="4909" spans="17:17" x14ac:dyDescent="0.25">
      <c r="Q4909"/>
    </row>
    <row r="4910" spans="17:17" x14ac:dyDescent="0.25">
      <c r="Q4910"/>
    </row>
    <row r="4911" spans="17:17" x14ac:dyDescent="0.25">
      <c r="Q4911"/>
    </row>
    <row r="4912" spans="17:17" x14ac:dyDescent="0.25">
      <c r="Q4912"/>
    </row>
    <row r="4913" spans="17:17" x14ac:dyDescent="0.25">
      <c r="Q4913"/>
    </row>
    <row r="4914" spans="17:17" x14ac:dyDescent="0.25">
      <c r="Q4914"/>
    </row>
    <row r="4915" spans="17:17" x14ac:dyDescent="0.25">
      <c r="Q4915"/>
    </row>
    <row r="4916" spans="17:17" x14ac:dyDescent="0.25">
      <c r="Q4916"/>
    </row>
    <row r="4917" spans="17:17" x14ac:dyDescent="0.25">
      <c r="Q4917"/>
    </row>
    <row r="4918" spans="17:17" x14ac:dyDescent="0.25">
      <c r="Q4918"/>
    </row>
    <row r="4919" spans="17:17" x14ac:dyDescent="0.25">
      <c r="Q4919"/>
    </row>
    <row r="4920" spans="17:17" x14ac:dyDescent="0.25">
      <c r="Q4920"/>
    </row>
    <row r="4921" spans="17:17" x14ac:dyDescent="0.25">
      <c r="Q4921"/>
    </row>
    <row r="4922" spans="17:17" x14ac:dyDescent="0.25">
      <c r="Q4922"/>
    </row>
    <row r="4923" spans="17:17" x14ac:dyDescent="0.25">
      <c r="Q4923"/>
    </row>
    <row r="4924" spans="17:17" x14ac:dyDescent="0.25">
      <c r="Q4924"/>
    </row>
    <row r="4925" spans="17:17" x14ac:dyDescent="0.25">
      <c r="Q4925"/>
    </row>
    <row r="4926" spans="17:17" x14ac:dyDescent="0.25">
      <c r="Q4926"/>
    </row>
    <row r="4927" spans="17:17" x14ac:dyDescent="0.25">
      <c r="Q4927"/>
    </row>
    <row r="4928" spans="17:17" x14ac:dyDescent="0.25">
      <c r="Q4928"/>
    </row>
    <row r="4929" spans="17:17" x14ac:dyDescent="0.25">
      <c r="Q4929"/>
    </row>
    <row r="4930" spans="17:17" x14ac:dyDescent="0.25">
      <c r="Q4930"/>
    </row>
    <row r="4931" spans="17:17" x14ac:dyDescent="0.25">
      <c r="Q4931"/>
    </row>
    <row r="4932" spans="17:17" x14ac:dyDescent="0.25">
      <c r="Q4932"/>
    </row>
    <row r="4933" spans="17:17" x14ac:dyDescent="0.25">
      <c r="Q4933"/>
    </row>
    <row r="4934" spans="17:17" x14ac:dyDescent="0.25">
      <c r="Q4934"/>
    </row>
    <row r="4935" spans="17:17" x14ac:dyDescent="0.25">
      <c r="Q4935"/>
    </row>
    <row r="4936" spans="17:17" x14ac:dyDescent="0.25">
      <c r="Q4936"/>
    </row>
    <row r="4937" spans="17:17" x14ac:dyDescent="0.25">
      <c r="Q4937"/>
    </row>
    <row r="4938" spans="17:17" x14ac:dyDescent="0.25">
      <c r="Q4938"/>
    </row>
    <row r="4939" spans="17:17" x14ac:dyDescent="0.25">
      <c r="Q4939"/>
    </row>
    <row r="4940" spans="17:17" x14ac:dyDescent="0.25">
      <c r="Q4940"/>
    </row>
    <row r="4941" spans="17:17" x14ac:dyDescent="0.25">
      <c r="Q4941"/>
    </row>
    <row r="4942" spans="17:17" x14ac:dyDescent="0.25">
      <c r="Q4942"/>
    </row>
    <row r="4943" spans="17:17" x14ac:dyDescent="0.25">
      <c r="Q4943"/>
    </row>
    <row r="4944" spans="17:17" x14ac:dyDescent="0.25">
      <c r="Q4944"/>
    </row>
    <row r="4945" spans="17:17" x14ac:dyDescent="0.25">
      <c r="Q4945"/>
    </row>
    <row r="4946" spans="17:17" x14ac:dyDescent="0.25">
      <c r="Q4946"/>
    </row>
    <row r="4947" spans="17:17" x14ac:dyDescent="0.25">
      <c r="Q4947"/>
    </row>
    <row r="4948" spans="17:17" x14ac:dyDescent="0.25">
      <c r="Q4948"/>
    </row>
    <row r="4949" spans="17:17" x14ac:dyDescent="0.25">
      <c r="Q4949"/>
    </row>
    <row r="4950" spans="17:17" x14ac:dyDescent="0.25">
      <c r="Q4950"/>
    </row>
    <row r="4951" spans="17:17" x14ac:dyDescent="0.25">
      <c r="Q4951"/>
    </row>
    <row r="4952" spans="17:17" x14ac:dyDescent="0.25">
      <c r="Q4952"/>
    </row>
    <row r="4953" spans="17:17" x14ac:dyDescent="0.25">
      <c r="Q4953"/>
    </row>
    <row r="4954" spans="17:17" x14ac:dyDescent="0.25">
      <c r="Q4954"/>
    </row>
    <row r="4955" spans="17:17" x14ac:dyDescent="0.25">
      <c r="Q4955"/>
    </row>
    <row r="4956" spans="17:17" x14ac:dyDescent="0.25">
      <c r="Q4956"/>
    </row>
    <row r="4957" spans="17:17" x14ac:dyDescent="0.25">
      <c r="Q4957"/>
    </row>
    <row r="4958" spans="17:17" x14ac:dyDescent="0.25">
      <c r="Q4958"/>
    </row>
    <row r="4959" spans="17:17" x14ac:dyDescent="0.25">
      <c r="Q4959"/>
    </row>
    <row r="4960" spans="17:17" x14ac:dyDescent="0.25">
      <c r="Q4960"/>
    </row>
    <row r="4961" spans="17:17" x14ac:dyDescent="0.25">
      <c r="Q4961"/>
    </row>
    <row r="4962" spans="17:17" x14ac:dyDescent="0.25">
      <c r="Q4962"/>
    </row>
    <row r="4963" spans="17:17" x14ac:dyDescent="0.25">
      <c r="Q4963"/>
    </row>
    <row r="4964" spans="17:17" x14ac:dyDescent="0.25">
      <c r="Q4964"/>
    </row>
    <row r="4965" spans="17:17" x14ac:dyDescent="0.25">
      <c r="Q4965"/>
    </row>
    <row r="4966" spans="17:17" x14ac:dyDescent="0.25">
      <c r="Q4966"/>
    </row>
    <row r="4967" spans="17:17" x14ac:dyDescent="0.25">
      <c r="Q4967"/>
    </row>
    <row r="4968" spans="17:17" x14ac:dyDescent="0.25">
      <c r="Q4968"/>
    </row>
    <row r="4969" spans="17:17" x14ac:dyDescent="0.25">
      <c r="Q4969"/>
    </row>
    <row r="4970" spans="17:17" x14ac:dyDescent="0.25">
      <c r="Q4970"/>
    </row>
    <row r="4971" spans="17:17" x14ac:dyDescent="0.25">
      <c r="Q4971"/>
    </row>
    <row r="4972" spans="17:17" x14ac:dyDescent="0.25">
      <c r="Q4972"/>
    </row>
    <row r="4973" spans="17:17" x14ac:dyDescent="0.25">
      <c r="Q4973"/>
    </row>
    <row r="4974" spans="17:17" x14ac:dyDescent="0.25">
      <c r="Q4974"/>
    </row>
    <row r="4975" spans="17:17" x14ac:dyDescent="0.25">
      <c r="Q4975"/>
    </row>
    <row r="4976" spans="17:17" x14ac:dyDescent="0.25">
      <c r="Q4976"/>
    </row>
    <row r="4977" spans="17:17" x14ac:dyDescent="0.25">
      <c r="Q4977"/>
    </row>
    <row r="4978" spans="17:17" x14ac:dyDescent="0.25">
      <c r="Q4978"/>
    </row>
    <row r="4979" spans="17:17" x14ac:dyDescent="0.25">
      <c r="Q4979"/>
    </row>
    <row r="4980" spans="17:17" x14ac:dyDescent="0.25">
      <c r="Q4980"/>
    </row>
    <row r="4981" spans="17:17" x14ac:dyDescent="0.25">
      <c r="Q4981"/>
    </row>
    <row r="4982" spans="17:17" x14ac:dyDescent="0.25">
      <c r="Q4982"/>
    </row>
    <row r="4983" spans="17:17" x14ac:dyDescent="0.25">
      <c r="Q4983"/>
    </row>
    <row r="4984" spans="17:17" x14ac:dyDescent="0.25">
      <c r="Q4984"/>
    </row>
    <row r="4985" spans="17:17" x14ac:dyDescent="0.25">
      <c r="Q4985"/>
    </row>
    <row r="4986" spans="17:17" x14ac:dyDescent="0.25">
      <c r="Q4986"/>
    </row>
    <row r="4987" spans="17:17" x14ac:dyDescent="0.25">
      <c r="Q4987"/>
    </row>
    <row r="4988" spans="17:17" x14ac:dyDescent="0.25">
      <c r="Q4988"/>
    </row>
    <row r="4989" spans="17:17" x14ac:dyDescent="0.25">
      <c r="Q4989"/>
    </row>
    <row r="4990" spans="17:17" x14ac:dyDescent="0.25">
      <c r="Q4990"/>
    </row>
    <row r="4991" spans="17:17" x14ac:dyDescent="0.25">
      <c r="Q4991"/>
    </row>
    <row r="4992" spans="17:17" x14ac:dyDescent="0.25">
      <c r="Q4992"/>
    </row>
    <row r="4993" spans="17:17" x14ac:dyDescent="0.25">
      <c r="Q4993"/>
    </row>
    <row r="4994" spans="17:17" x14ac:dyDescent="0.25">
      <c r="Q4994"/>
    </row>
    <row r="4995" spans="17:17" x14ac:dyDescent="0.25">
      <c r="Q4995"/>
    </row>
    <row r="4996" spans="17:17" x14ac:dyDescent="0.25">
      <c r="Q4996"/>
    </row>
    <row r="4997" spans="17:17" x14ac:dyDescent="0.25">
      <c r="Q4997"/>
    </row>
    <row r="4998" spans="17:17" x14ac:dyDescent="0.25">
      <c r="Q4998"/>
    </row>
    <row r="4999" spans="17:17" x14ac:dyDescent="0.25">
      <c r="Q4999"/>
    </row>
    <row r="5000" spans="17:17" x14ac:dyDescent="0.25">
      <c r="Q5000"/>
    </row>
    <row r="5001" spans="17:17" x14ac:dyDescent="0.25">
      <c r="Q5001"/>
    </row>
    <row r="5002" spans="17:17" x14ac:dyDescent="0.25">
      <c r="Q5002"/>
    </row>
    <row r="5003" spans="17:17" x14ac:dyDescent="0.25">
      <c r="Q5003"/>
    </row>
    <row r="5004" spans="17:17" x14ac:dyDescent="0.25">
      <c r="Q5004"/>
    </row>
    <row r="5005" spans="17:17" x14ac:dyDescent="0.25">
      <c r="Q5005"/>
    </row>
    <row r="5006" spans="17:17" x14ac:dyDescent="0.25">
      <c r="Q5006"/>
    </row>
    <row r="5007" spans="17:17" x14ac:dyDescent="0.25">
      <c r="Q5007"/>
    </row>
    <row r="5008" spans="17:17" x14ac:dyDescent="0.25">
      <c r="Q5008"/>
    </row>
    <row r="5009" spans="17:17" x14ac:dyDescent="0.25">
      <c r="Q5009"/>
    </row>
    <row r="5010" spans="17:17" x14ac:dyDescent="0.25">
      <c r="Q5010"/>
    </row>
    <row r="5011" spans="17:17" x14ac:dyDescent="0.25">
      <c r="Q5011"/>
    </row>
    <row r="5012" spans="17:17" x14ac:dyDescent="0.25">
      <c r="Q5012"/>
    </row>
    <row r="5013" spans="17:17" x14ac:dyDescent="0.25">
      <c r="Q5013"/>
    </row>
    <row r="5014" spans="17:17" x14ac:dyDescent="0.25">
      <c r="Q5014"/>
    </row>
    <row r="5015" spans="17:17" x14ac:dyDescent="0.25">
      <c r="Q5015"/>
    </row>
    <row r="5016" spans="17:17" x14ac:dyDescent="0.25">
      <c r="Q5016"/>
    </row>
    <row r="5017" spans="17:17" x14ac:dyDescent="0.25">
      <c r="Q5017"/>
    </row>
    <row r="5018" spans="17:17" x14ac:dyDescent="0.25">
      <c r="Q5018"/>
    </row>
    <row r="5019" spans="17:17" x14ac:dyDescent="0.25">
      <c r="Q5019"/>
    </row>
    <row r="5020" spans="17:17" x14ac:dyDescent="0.25">
      <c r="Q5020"/>
    </row>
    <row r="5021" spans="17:17" x14ac:dyDescent="0.25">
      <c r="Q5021"/>
    </row>
    <row r="5022" spans="17:17" x14ac:dyDescent="0.25">
      <c r="Q5022"/>
    </row>
    <row r="5023" spans="17:17" x14ac:dyDescent="0.25">
      <c r="Q5023"/>
    </row>
    <row r="5024" spans="17:17" x14ac:dyDescent="0.25">
      <c r="Q5024"/>
    </row>
    <row r="5025" spans="17:17" x14ac:dyDescent="0.25">
      <c r="Q5025"/>
    </row>
    <row r="5026" spans="17:17" x14ac:dyDescent="0.25">
      <c r="Q5026"/>
    </row>
    <row r="5027" spans="17:17" x14ac:dyDescent="0.25">
      <c r="Q5027"/>
    </row>
    <row r="5028" spans="17:17" x14ac:dyDescent="0.25">
      <c r="Q5028"/>
    </row>
    <row r="5029" spans="17:17" x14ac:dyDescent="0.25">
      <c r="Q5029"/>
    </row>
    <row r="5030" spans="17:17" x14ac:dyDescent="0.25">
      <c r="Q5030"/>
    </row>
    <row r="5031" spans="17:17" x14ac:dyDescent="0.25">
      <c r="Q5031"/>
    </row>
    <row r="5032" spans="17:17" x14ac:dyDescent="0.25">
      <c r="Q5032"/>
    </row>
    <row r="5033" spans="17:17" x14ac:dyDescent="0.25">
      <c r="Q5033"/>
    </row>
    <row r="5034" spans="17:17" x14ac:dyDescent="0.25">
      <c r="Q5034"/>
    </row>
    <row r="5035" spans="17:17" x14ac:dyDescent="0.25">
      <c r="Q5035"/>
    </row>
    <row r="5036" spans="17:17" x14ac:dyDescent="0.25">
      <c r="Q5036"/>
    </row>
    <row r="5037" spans="17:17" x14ac:dyDescent="0.25">
      <c r="Q5037"/>
    </row>
    <row r="5038" spans="17:17" x14ac:dyDescent="0.25">
      <c r="Q5038"/>
    </row>
    <row r="5039" spans="17:17" x14ac:dyDescent="0.25">
      <c r="Q5039"/>
    </row>
    <row r="5040" spans="17:17" x14ac:dyDescent="0.25">
      <c r="Q5040"/>
    </row>
    <row r="5041" spans="17:17" x14ac:dyDescent="0.25">
      <c r="Q5041"/>
    </row>
    <row r="5042" spans="17:17" x14ac:dyDescent="0.25">
      <c r="Q5042"/>
    </row>
    <row r="5043" spans="17:17" x14ac:dyDescent="0.25">
      <c r="Q5043"/>
    </row>
    <row r="5044" spans="17:17" x14ac:dyDescent="0.25">
      <c r="Q5044"/>
    </row>
    <row r="5045" spans="17:17" x14ac:dyDescent="0.25">
      <c r="Q5045"/>
    </row>
    <row r="5046" spans="17:17" x14ac:dyDescent="0.25">
      <c r="Q5046"/>
    </row>
    <row r="5047" spans="17:17" x14ac:dyDescent="0.25">
      <c r="Q5047"/>
    </row>
    <row r="5048" spans="17:17" x14ac:dyDescent="0.25">
      <c r="Q5048"/>
    </row>
    <row r="5049" spans="17:17" x14ac:dyDescent="0.25">
      <c r="Q5049"/>
    </row>
    <row r="5050" spans="17:17" x14ac:dyDescent="0.25">
      <c r="Q5050"/>
    </row>
    <row r="5051" spans="17:17" x14ac:dyDescent="0.25">
      <c r="Q5051"/>
    </row>
    <row r="5052" spans="17:17" x14ac:dyDescent="0.25">
      <c r="Q5052"/>
    </row>
    <row r="5053" spans="17:17" x14ac:dyDescent="0.25">
      <c r="Q5053"/>
    </row>
    <row r="5054" spans="17:17" x14ac:dyDescent="0.25">
      <c r="Q5054"/>
    </row>
    <row r="5055" spans="17:17" x14ac:dyDescent="0.25">
      <c r="Q5055"/>
    </row>
    <row r="5056" spans="17:17" x14ac:dyDescent="0.25">
      <c r="Q5056"/>
    </row>
    <row r="5057" spans="17:17" x14ac:dyDescent="0.25">
      <c r="Q5057"/>
    </row>
    <row r="5058" spans="17:17" x14ac:dyDescent="0.25">
      <c r="Q5058"/>
    </row>
    <row r="5059" spans="17:17" x14ac:dyDescent="0.25">
      <c r="Q5059"/>
    </row>
    <row r="5060" spans="17:17" x14ac:dyDescent="0.25">
      <c r="Q5060"/>
    </row>
    <row r="5061" spans="17:17" x14ac:dyDescent="0.25">
      <c r="Q5061"/>
    </row>
    <row r="5062" spans="17:17" x14ac:dyDescent="0.25">
      <c r="Q5062"/>
    </row>
    <row r="5063" spans="17:17" x14ac:dyDescent="0.25">
      <c r="Q5063"/>
    </row>
    <row r="5064" spans="17:17" x14ac:dyDescent="0.25">
      <c r="Q5064"/>
    </row>
    <row r="5065" spans="17:17" x14ac:dyDescent="0.25">
      <c r="Q5065"/>
    </row>
    <row r="5066" spans="17:17" x14ac:dyDescent="0.25">
      <c r="Q5066"/>
    </row>
    <row r="5067" spans="17:17" x14ac:dyDescent="0.25">
      <c r="Q5067"/>
    </row>
    <row r="5068" spans="17:17" x14ac:dyDescent="0.25">
      <c r="Q5068"/>
    </row>
    <row r="5069" spans="17:17" x14ac:dyDescent="0.25">
      <c r="Q5069"/>
    </row>
    <row r="5070" spans="17:17" x14ac:dyDescent="0.25">
      <c r="Q5070"/>
    </row>
    <row r="5071" spans="17:17" x14ac:dyDescent="0.25">
      <c r="Q5071"/>
    </row>
    <row r="5072" spans="17:17" x14ac:dyDescent="0.25">
      <c r="Q5072"/>
    </row>
    <row r="5073" spans="17:17" x14ac:dyDescent="0.25">
      <c r="Q5073"/>
    </row>
    <row r="5074" spans="17:17" x14ac:dyDescent="0.25">
      <c r="Q5074"/>
    </row>
    <row r="5075" spans="17:17" x14ac:dyDescent="0.25">
      <c r="Q5075"/>
    </row>
    <row r="5076" spans="17:17" x14ac:dyDescent="0.25">
      <c r="Q5076"/>
    </row>
    <row r="5077" spans="17:17" x14ac:dyDescent="0.25">
      <c r="Q5077"/>
    </row>
    <row r="5078" spans="17:17" x14ac:dyDescent="0.25">
      <c r="Q5078"/>
    </row>
    <row r="5079" spans="17:17" x14ac:dyDescent="0.25">
      <c r="Q5079"/>
    </row>
    <row r="5080" spans="17:17" x14ac:dyDescent="0.25">
      <c r="Q5080"/>
    </row>
    <row r="5081" spans="17:17" x14ac:dyDescent="0.25">
      <c r="Q5081"/>
    </row>
    <row r="5082" spans="17:17" x14ac:dyDescent="0.25">
      <c r="Q5082"/>
    </row>
    <row r="5083" spans="17:17" x14ac:dyDescent="0.25">
      <c r="Q5083"/>
    </row>
    <row r="5084" spans="17:17" x14ac:dyDescent="0.25">
      <c r="Q5084"/>
    </row>
    <row r="5085" spans="17:17" x14ac:dyDescent="0.25">
      <c r="Q5085"/>
    </row>
  </sheetData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6E9EF1-8ABC-4F11-82A3-1B71DAE78543}">
  <sheetPr codeName="Sheet2"/>
  <dimension ref="A1:B8"/>
  <sheetViews>
    <sheetView workbookViewId="0">
      <selection activeCell="A7" sqref="A7"/>
    </sheetView>
  </sheetViews>
  <sheetFormatPr defaultRowHeight="15" x14ac:dyDescent="0.25"/>
  <cols>
    <col min="1" max="1" width="19.7109375" bestFit="1" customWidth="1"/>
    <col min="2" max="2" width="12.28515625" bestFit="1" customWidth="1"/>
  </cols>
  <sheetData>
    <row r="1" spans="1:2" x14ac:dyDescent="0.25">
      <c r="A1" t="s">
        <v>3606</v>
      </c>
      <c r="B1" s="6">
        <f>SUBTOTAL(109,Raw_Data!K:K)</f>
        <v>36123829.040000044</v>
      </c>
    </row>
    <row r="2" spans="1:2" x14ac:dyDescent="0.25">
      <c r="A2" t="s">
        <v>3607</v>
      </c>
      <c r="B2">
        <f>COUNTA(Table1[Order ID])</f>
        <v>2553</v>
      </c>
    </row>
    <row r="3" spans="1:2" x14ac:dyDescent="0.25">
      <c r="A3" t="s">
        <v>3608</v>
      </c>
      <c r="B3">
        <f>SUBTOTAL(109,Raw_Data!J:J)</f>
        <v>13916</v>
      </c>
    </row>
    <row r="4" spans="1:2" x14ac:dyDescent="0.25">
      <c r="A4" t="s">
        <v>3609</v>
      </c>
      <c r="B4" s="5">
        <f>B1/B2</f>
        <v>14149.56092440268</v>
      </c>
    </row>
    <row r="5" spans="1:2" x14ac:dyDescent="0.25">
      <c r="A5" t="s">
        <v>3610</v>
      </c>
      <c r="B5">
        <f>COUNTA(_xlfn.UNIQUE(Table1[Customer ID]))</f>
        <v>851</v>
      </c>
    </row>
    <row r="6" spans="1:2" x14ac:dyDescent="0.25">
      <c r="A6" t="s">
        <v>3611</v>
      </c>
      <c r="B6" s="7">
        <f>SUBTOTAL(1,Raw_Data!L:L)</f>
        <v>10.111100614076523</v>
      </c>
    </row>
    <row r="7" spans="1:2" x14ac:dyDescent="0.25">
      <c r="A7" t="s">
        <v>3612</v>
      </c>
      <c r="B7" s="6">
        <f>SUBTOTAL(4,Raw_Data!K:K)</f>
        <v>49831.62</v>
      </c>
    </row>
    <row r="8" spans="1:2" x14ac:dyDescent="0.25">
      <c r="A8" t="s">
        <v>3613</v>
      </c>
      <c r="B8">
        <f>SUBTOTAL(5,Raw_Data!K:K)</f>
        <v>145.29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F38D0-6360-4E45-B2B7-BE870AE80A3D}">
  <sheetPr codeName="Sheet3"/>
  <dimension ref="A1:K28"/>
  <sheetViews>
    <sheetView topLeftCell="A28" workbookViewId="0">
      <selection activeCell="E25" sqref="E25"/>
    </sheetView>
  </sheetViews>
  <sheetFormatPr defaultRowHeight="15" x14ac:dyDescent="0.25"/>
  <cols>
    <col min="1" max="1" width="12.5703125" bestFit="1" customWidth="1"/>
    <col min="2" max="2" width="12.140625" bestFit="1" customWidth="1"/>
    <col min="4" max="4" width="18.5703125" bestFit="1" customWidth="1"/>
    <col min="5" max="5" width="15.42578125" bestFit="1" customWidth="1"/>
    <col min="7" max="7" width="17" bestFit="1" customWidth="1"/>
    <col min="8" max="8" width="16.5703125" bestFit="1" customWidth="1"/>
    <col min="10" max="10" width="11.28515625" bestFit="1" customWidth="1"/>
    <col min="11" max="11" width="12.140625" bestFit="1" customWidth="1"/>
    <col min="13" max="13" width="11.28515625" bestFit="1" customWidth="1"/>
    <col min="14" max="14" width="12.140625" bestFit="1" customWidth="1"/>
  </cols>
  <sheetData>
    <row r="1" spans="1:11" x14ac:dyDescent="0.25">
      <c r="A1" s="21" t="s">
        <v>3616</v>
      </c>
      <c r="B1" t="s">
        <v>3615</v>
      </c>
      <c r="D1" s="21" t="s">
        <v>3617</v>
      </c>
      <c r="E1" t="s">
        <v>3615</v>
      </c>
      <c r="G1" s="21" t="s">
        <v>3635</v>
      </c>
      <c r="H1" t="s">
        <v>3632</v>
      </c>
      <c r="J1" s="21" t="s">
        <v>3636</v>
      </c>
      <c r="K1" t="s">
        <v>3615</v>
      </c>
    </row>
    <row r="2" spans="1:11" x14ac:dyDescent="0.25">
      <c r="A2" s="22" t="s">
        <v>59</v>
      </c>
      <c r="B2" s="8">
        <v>5915188.0299999947</v>
      </c>
      <c r="D2" s="22" t="s">
        <v>83</v>
      </c>
      <c r="E2" s="8">
        <v>5803073.6399999987</v>
      </c>
      <c r="G2" s="22" t="s">
        <v>45</v>
      </c>
      <c r="H2" s="23">
        <v>434</v>
      </c>
      <c r="J2" s="22" t="s">
        <v>3618</v>
      </c>
      <c r="K2" s="8">
        <v>18097833.579999998</v>
      </c>
    </row>
    <row r="3" spans="1:11" x14ac:dyDescent="0.25">
      <c r="A3" s="22" t="s">
        <v>34</v>
      </c>
      <c r="B3" s="8">
        <v>5658606.0199999986</v>
      </c>
      <c r="D3" s="22" t="s">
        <v>42</v>
      </c>
      <c r="E3" s="8">
        <v>11004290.420000004</v>
      </c>
      <c r="G3" s="22" t="s">
        <v>37</v>
      </c>
      <c r="H3" s="23">
        <v>876</v>
      </c>
      <c r="J3" s="24" t="s">
        <v>3619</v>
      </c>
      <c r="K3" s="8">
        <v>1493959.8199999994</v>
      </c>
    </row>
    <row r="4" spans="1:11" x14ac:dyDescent="0.25">
      <c r="A4" s="22" t="s">
        <v>27</v>
      </c>
      <c r="B4" s="8">
        <v>6341415.9799999967</v>
      </c>
      <c r="D4" s="22" t="s">
        <v>19</v>
      </c>
      <c r="E4" s="8">
        <v>13731450.909999982</v>
      </c>
      <c r="G4" s="22" t="s">
        <v>31</v>
      </c>
      <c r="H4" s="23">
        <v>419</v>
      </c>
      <c r="J4" s="24" t="s">
        <v>3620</v>
      </c>
      <c r="K4" s="8">
        <v>1319335.4700000007</v>
      </c>
    </row>
    <row r="5" spans="1:11" x14ac:dyDescent="0.25">
      <c r="A5" s="22" t="s">
        <v>17</v>
      </c>
      <c r="B5" s="8">
        <v>12457538.320000015</v>
      </c>
      <c r="D5" s="22" t="s">
        <v>53</v>
      </c>
      <c r="E5" s="8">
        <v>5585014.069999991</v>
      </c>
      <c r="G5" s="22" t="s">
        <v>23</v>
      </c>
      <c r="H5" s="23">
        <v>824</v>
      </c>
      <c r="J5" s="24" t="s">
        <v>3621</v>
      </c>
      <c r="K5" s="8">
        <v>1455985.3899999994</v>
      </c>
    </row>
    <row r="6" spans="1:11" x14ac:dyDescent="0.25">
      <c r="A6" s="22" t="s">
        <v>41</v>
      </c>
      <c r="B6" s="8">
        <v>5751080.6900000004</v>
      </c>
      <c r="D6" s="22" t="s">
        <v>3614</v>
      </c>
      <c r="E6" s="8">
        <v>36123829.039999977</v>
      </c>
      <c r="G6" s="22" t="s">
        <v>3614</v>
      </c>
      <c r="H6" s="23">
        <v>2553</v>
      </c>
      <c r="J6" s="24" t="s">
        <v>3622</v>
      </c>
      <c r="K6" s="8">
        <v>1386527.0100000002</v>
      </c>
    </row>
    <row r="7" spans="1:11" x14ac:dyDescent="0.25">
      <c r="A7" s="22" t="s">
        <v>3614</v>
      </c>
      <c r="B7" s="8">
        <v>36123829.040000007</v>
      </c>
      <c r="J7" s="24" t="s">
        <v>3623</v>
      </c>
      <c r="K7" s="8">
        <v>1481027.8100000003</v>
      </c>
    </row>
    <row r="8" spans="1:11" x14ac:dyDescent="0.25">
      <c r="J8" s="24" t="s">
        <v>3624</v>
      </c>
      <c r="K8" s="8">
        <v>1566484.8900000004</v>
      </c>
    </row>
    <row r="9" spans="1:11" x14ac:dyDescent="0.25">
      <c r="J9" s="24" t="s">
        <v>3625</v>
      </c>
      <c r="K9" s="8">
        <v>1427390.7200000007</v>
      </c>
    </row>
    <row r="10" spans="1:11" x14ac:dyDescent="0.25">
      <c r="A10" s="21" t="s">
        <v>3634</v>
      </c>
      <c r="B10" t="s">
        <v>3615</v>
      </c>
      <c r="D10" s="21" t="s">
        <v>3617</v>
      </c>
      <c r="E10" t="s">
        <v>3633</v>
      </c>
      <c r="J10" s="24" t="s">
        <v>3626</v>
      </c>
      <c r="K10" s="8">
        <v>1617663.1599999997</v>
      </c>
    </row>
    <row r="11" spans="1:11" x14ac:dyDescent="0.25">
      <c r="A11" s="22" t="s">
        <v>63</v>
      </c>
      <c r="B11" s="8">
        <v>5142791.5999999996</v>
      </c>
      <c r="D11" s="22" t="s">
        <v>83</v>
      </c>
      <c r="E11" s="23">
        <v>2234</v>
      </c>
      <c r="J11" s="24" t="s">
        <v>3627</v>
      </c>
      <c r="K11" s="8">
        <v>1757326.709999999</v>
      </c>
    </row>
    <row r="12" spans="1:11" x14ac:dyDescent="0.25">
      <c r="A12" s="22" t="s">
        <v>69</v>
      </c>
      <c r="B12" s="8">
        <v>6115267.6999999974</v>
      </c>
      <c r="D12" s="22" t="s">
        <v>42</v>
      </c>
      <c r="E12" s="23">
        <v>4267</v>
      </c>
      <c r="J12" s="24" t="s">
        <v>3628</v>
      </c>
      <c r="K12" s="8">
        <v>1431980.29</v>
      </c>
    </row>
    <row r="13" spans="1:11" x14ac:dyDescent="0.25">
      <c r="A13" s="22" t="s">
        <v>22</v>
      </c>
      <c r="B13" s="8">
        <v>6617376.2399999956</v>
      </c>
      <c r="D13" s="22" t="s">
        <v>19</v>
      </c>
      <c r="E13" s="23">
        <v>5182</v>
      </c>
      <c r="J13" s="24" t="s">
        <v>3629</v>
      </c>
      <c r="K13" s="8">
        <v>1363782.8500000003</v>
      </c>
    </row>
    <row r="14" spans="1:11" x14ac:dyDescent="0.25">
      <c r="A14" s="22" t="s">
        <v>93</v>
      </c>
      <c r="B14" s="8">
        <v>6043433.2600000016</v>
      </c>
      <c r="D14" s="22" t="s">
        <v>53</v>
      </c>
      <c r="E14" s="23">
        <v>2233</v>
      </c>
      <c r="J14" s="24" t="s">
        <v>3630</v>
      </c>
      <c r="K14" s="8">
        <v>1796369.4600000002</v>
      </c>
    </row>
    <row r="15" spans="1:11" x14ac:dyDescent="0.25">
      <c r="A15" s="22" t="s">
        <v>56</v>
      </c>
      <c r="B15" s="8">
        <v>5943616.6499999901</v>
      </c>
      <c r="D15" s="22" t="s">
        <v>3614</v>
      </c>
      <c r="E15" s="23">
        <v>13916</v>
      </c>
      <c r="J15" s="22" t="s">
        <v>3631</v>
      </c>
      <c r="K15" s="8">
        <v>18025995.459999997</v>
      </c>
    </row>
    <row r="16" spans="1:11" x14ac:dyDescent="0.25">
      <c r="A16" s="22" t="s">
        <v>36</v>
      </c>
      <c r="B16" s="8">
        <v>6261343.589999998</v>
      </c>
      <c r="J16" s="24" t="s">
        <v>3619</v>
      </c>
      <c r="K16" s="8">
        <v>1447106.5600000003</v>
      </c>
    </row>
    <row r="17" spans="1:11" x14ac:dyDescent="0.25">
      <c r="A17" s="22" t="s">
        <v>3614</v>
      </c>
      <c r="B17" s="8">
        <v>36123829.039999984</v>
      </c>
      <c r="J17" s="24" t="s">
        <v>3620</v>
      </c>
      <c r="K17" s="8">
        <v>1687126.5300000005</v>
      </c>
    </row>
    <row r="18" spans="1:11" x14ac:dyDescent="0.25">
      <c r="J18" s="24" t="s">
        <v>3621</v>
      </c>
      <c r="K18" s="8">
        <v>1597041.05</v>
      </c>
    </row>
    <row r="19" spans="1:11" x14ac:dyDescent="0.25">
      <c r="J19" s="24" t="s">
        <v>3622</v>
      </c>
      <c r="K19" s="8">
        <v>1667966.2699999996</v>
      </c>
    </row>
    <row r="20" spans="1:11" x14ac:dyDescent="0.25">
      <c r="J20" s="24" t="s">
        <v>3623</v>
      </c>
      <c r="K20" s="8">
        <v>1352174.7900000003</v>
      </c>
    </row>
    <row r="21" spans="1:11" x14ac:dyDescent="0.25">
      <c r="J21" s="24" t="s">
        <v>3624</v>
      </c>
      <c r="K21" s="8">
        <v>1575589.7899999991</v>
      </c>
    </row>
    <row r="22" spans="1:11" x14ac:dyDescent="0.25">
      <c r="J22" s="24" t="s">
        <v>3625</v>
      </c>
      <c r="K22" s="8">
        <v>1676700.149999999</v>
      </c>
    </row>
    <row r="23" spans="1:11" x14ac:dyDescent="0.25">
      <c r="J23" s="24" t="s">
        <v>3626</v>
      </c>
      <c r="K23" s="8">
        <v>1290056.9999999998</v>
      </c>
    </row>
    <row r="24" spans="1:11" x14ac:dyDescent="0.25">
      <c r="J24" s="24" t="s">
        <v>3627</v>
      </c>
      <c r="K24" s="8">
        <v>1535783.3199999998</v>
      </c>
    </row>
    <row r="25" spans="1:11" x14ac:dyDescent="0.25">
      <c r="J25" s="24" t="s">
        <v>3628</v>
      </c>
      <c r="K25" s="8">
        <v>1500660.6099999999</v>
      </c>
    </row>
    <row r="26" spans="1:11" x14ac:dyDescent="0.25">
      <c r="J26" s="24" t="s">
        <v>3629</v>
      </c>
      <c r="K26" s="8">
        <v>1260170.8800000001</v>
      </c>
    </row>
    <row r="27" spans="1:11" x14ac:dyDescent="0.25">
      <c r="J27" s="24" t="s">
        <v>3630</v>
      </c>
      <c r="K27" s="8">
        <v>1435618.5100000009</v>
      </c>
    </row>
    <row r="28" spans="1:11" x14ac:dyDescent="0.25">
      <c r="J28" s="22" t="s">
        <v>3614</v>
      </c>
      <c r="K28" s="8">
        <v>36123829.039999992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DASHBOARD</vt:lpstr>
      <vt:lpstr>Raw_Data</vt:lpstr>
      <vt:lpstr>Metrics</vt:lpstr>
      <vt:lpstr>Pivots</vt:lpstr>
      <vt:lpstr>DATA1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yash khichi</cp:lastModifiedBy>
  <dcterms:created xsi:type="dcterms:W3CDTF">2026-07-10T16:04:44Z</dcterms:created>
  <dcterms:modified xsi:type="dcterms:W3CDTF">2026-07-11T06:47:18Z</dcterms:modified>
</cp:coreProperties>
</file>