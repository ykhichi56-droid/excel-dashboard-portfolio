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ykhic\Documents\"/>
    </mc:Choice>
  </mc:AlternateContent>
  <xr:revisionPtr revIDLastSave="0" documentId="13_ncr:1_{CA593B40-5D17-44BB-90C4-C52C836C1AFF}" xr6:coauthVersionLast="36" xr6:coauthVersionMax="36" xr10:uidLastSave="{00000000-0000-0000-0000-000000000000}"/>
  <bookViews>
    <workbookView xWindow="0" yWindow="0" windowWidth="20490" windowHeight="7545" xr2:uid="{41CA3598-D6A2-49AC-A4CA-659BD08B4485}"/>
  </bookViews>
  <sheets>
    <sheet name="Dashboard" sheetId="13" r:id="rId1"/>
    <sheet name="Sales Data" sheetId="1" r:id="rId2"/>
    <sheet name="Employee Master" sheetId="2" state="hidden" r:id="rId3"/>
    <sheet name="Product Master" sheetId="3" state="hidden" r:id="rId4"/>
    <sheet name="Customer Master" sheetId="4" state="hidden" r:id="rId5"/>
    <sheet name="Report Data" sheetId="5" r:id="rId6"/>
    <sheet name="Pivot table 1 (Revenue)" sheetId="7" state="hidden" r:id="rId7"/>
    <sheet name="Pivot 2 (Order)" sheetId="10" state="hidden" r:id="rId8"/>
    <sheet name="Pivot3 (Revenue by date)" sheetId="11" state="hidden" r:id="rId9"/>
    <sheet name="Pivot4 (Revenue by product)" sheetId="12" state="hidden" r:id="rId10"/>
    <sheet name="Pivot sheet for KPI" sheetId="14" state="hidden" r:id="rId11"/>
  </sheets>
  <definedNames>
    <definedName name="Slicer_Employee_Name">#N/A</definedName>
    <definedName name="Slicer_Months">#N/A</definedName>
    <definedName name="Slicer_Product_Name">#N/A</definedName>
    <definedName name="Slicer_Stat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1" i="14" l="1"/>
  <c r="J20" i="5" l="1"/>
  <c r="I20" i="5"/>
  <c r="H20" i="5"/>
  <c r="G20" i="5"/>
  <c r="F20" i="5"/>
  <c r="E20" i="5"/>
  <c r="D20" i="5"/>
  <c r="C20" i="5"/>
  <c r="J19" i="5"/>
  <c r="I19" i="5"/>
  <c r="H19" i="5"/>
  <c r="G19" i="5"/>
  <c r="F19" i="5"/>
  <c r="E19" i="5"/>
  <c r="D19" i="5"/>
  <c r="C19" i="5"/>
  <c r="J18" i="5"/>
  <c r="I18" i="5"/>
  <c r="H18" i="5"/>
  <c r="G18" i="5"/>
  <c r="F18" i="5"/>
  <c r="E18" i="5"/>
  <c r="D18" i="5"/>
  <c r="C18" i="5"/>
  <c r="J17" i="5"/>
  <c r="I17" i="5"/>
  <c r="H17" i="5"/>
  <c r="G17" i="5"/>
  <c r="F17" i="5"/>
  <c r="E17" i="5"/>
  <c r="D17" i="5"/>
  <c r="C17" i="5"/>
  <c r="J16" i="5"/>
  <c r="I16" i="5"/>
  <c r="H16" i="5"/>
  <c r="G16" i="5"/>
  <c r="F16" i="5"/>
  <c r="E16" i="5"/>
  <c r="D16" i="5"/>
  <c r="C16" i="5"/>
  <c r="J15" i="5"/>
  <c r="I15" i="5"/>
  <c r="H15" i="5"/>
  <c r="G15" i="5"/>
  <c r="F15" i="5"/>
  <c r="E15" i="5"/>
  <c r="D15" i="5"/>
  <c r="C15" i="5"/>
  <c r="J14" i="5"/>
  <c r="I14" i="5"/>
  <c r="H14" i="5"/>
  <c r="G14" i="5"/>
  <c r="F14" i="5"/>
  <c r="E14" i="5"/>
  <c r="D14" i="5"/>
  <c r="C14" i="5"/>
  <c r="J13" i="5"/>
  <c r="I13" i="5"/>
  <c r="H13" i="5"/>
  <c r="G13" i="5"/>
  <c r="F13" i="5"/>
  <c r="E13" i="5"/>
  <c r="D13" i="5"/>
  <c r="C13" i="5"/>
  <c r="J12" i="5"/>
  <c r="I12" i="5"/>
  <c r="H12" i="5"/>
  <c r="G12" i="5"/>
  <c r="F12" i="5"/>
  <c r="E12" i="5"/>
  <c r="D12" i="5"/>
  <c r="C12" i="5"/>
  <c r="J11" i="5"/>
  <c r="I11" i="5"/>
  <c r="H11" i="5"/>
  <c r="G11" i="5"/>
  <c r="F11" i="5"/>
  <c r="E11" i="5"/>
  <c r="D11" i="5"/>
  <c r="C11" i="5"/>
  <c r="J10" i="5"/>
  <c r="I10" i="5"/>
  <c r="H10" i="5"/>
  <c r="G10" i="5"/>
  <c r="F10" i="5"/>
  <c r="E10" i="5"/>
  <c r="D10" i="5"/>
  <c r="C10" i="5"/>
  <c r="J9" i="5"/>
  <c r="I9" i="5"/>
  <c r="H9" i="5"/>
  <c r="G9" i="5"/>
  <c r="F9" i="5"/>
  <c r="E9" i="5"/>
  <c r="D9" i="5"/>
  <c r="C9" i="5"/>
  <c r="H4" i="5"/>
  <c r="F4" i="5"/>
  <c r="D4" i="5"/>
  <c r="B4" i="5"/>
  <c r="Z3" i="13"/>
  <c r="Z2" i="13"/>
  <c r="Z1" i="13"/>
  <c r="AB2" i="13" l="1"/>
</calcChain>
</file>

<file path=xl/sharedStrings.xml><?xml version="1.0" encoding="utf-8"?>
<sst xmlns="http://schemas.openxmlformats.org/spreadsheetml/2006/main" count="194" uniqueCount="90">
  <si>
    <t>Invoice ID</t>
  </si>
  <si>
    <t>Emp ID</t>
  </si>
  <si>
    <t>Product ID</t>
  </si>
  <si>
    <t>Customer ID</t>
  </si>
  <si>
    <t>Qty</t>
  </si>
  <si>
    <t>INV101</t>
  </si>
  <si>
    <t>E101</t>
  </si>
  <si>
    <t>P101</t>
  </si>
  <si>
    <t>C101</t>
  </si>
  <si>
    <t>INV102</t>
  </si>
  <si>
    <t>E103</t>
  </si>
  <si>
    <t>P104</t>
  </si>
  <si>
    <t>C103</t>
  </si>
  <si>
    <t>INV103</t>
  </si>
  <si>
    <t>E105</t>
  </si>
  <si>
    <t>P102</t>
  </si>
  <si>
    <t>C104</t>
  </si>
  <si>
    <t>INV104</t>
  </si>
  <si>
    <t>E102</t>
  </si>
  <si>
    <t>P103</t>
  </si>
  <si>
    <t>INV105</t>
  </si>
  <si>
    <t>E104</t>
  </si>
  <si>
    <t>P105</t>
  </si>
  <si>
    <t>C102</t>
  </si>
  <si>
    <t>INV106</t>
  </si>
  <si>
    <t>E106</t>
  </si>
  <si>
    <t>C105</t>
  </si>
  <si>
    <t>INV107</t>
  </si>
  <si>
    <t>INV108</t>
  </si>
  <si>
    <t>E107</t>
  </si>
  <si>
    <t>INV109</t>
  </si>
  <si>
    <t>INV110</t>
  </si>
  <si>
    <t>Employee Name</t>
  </si>
  <si>
    <t>Department</t>
  </si>
  <si>
    <t>City</t>
  </si>
  <si>
    <t>Rahul</t>
  </si>
  <si>
    <t>Sales</t>
  </si>
  <si>
    <t>Delhi</t>
  </si>
  <si>
    <t>Priya</t>
  </si>
  <si>
    <t>HR</t>
  </si>
  <si>
    <t>Mumbai</t>
  </si>
  <si>
    <t>Aman</t>
  </si>
  <si>
    <t>Finance</t>
  </si>
  <si>
    <t>Jaipur</t>
  </si>
  <si>
    <t>Neha</t>
  </si>
  <si>
    <t>Marketing</t>
  </si>
  <si>
    <t>Pune</t>
  </si>
  <si>
    <t>Rohit</t>
  </si>
  <si>
    <t>Chennai</t>
  </si>
  <si>
    <t>Kavita</t>
  </si>
  <si>
    <t>Arjun</t>
  </si>
  <si>
    <t>Product Name</t>
  </si>
  <si>
    <t>Price</t>
  </si>
  <si>
    <t>Laptop</t>
  </si>
  <si>
    <t>Mobile</t>
  </si>
  <si>
    <t>Tablet</t>
  </si>
  <si>
    <t>Printer</t>
  </si>
  <si>
    <t>Monitor</t>
  </si>
  <si>
    <t>Customer Name</t>
  </si>
  <si>
    <t>State</t>
  </si>
  <si>
    <t>ABC Traders</t>
  </si>
  <si>
    <t>XYZ Enterprises</t>
  </si>
  <si>
    <t>PQR Solutions</t>
  </si>
  <si>
    <t>LMN Stores</t>
  </si>
  <si>
    <t>Bright Tech</t>
  </si>
  <si>
    <t>Amount</t>
  </si>
  <si>
    <t>SALES DASHBOARD</t>
  </si>
  <si>
    <r>
      <rPr>
        <b/>
        <sz val="12"/>
        <color theme="1"/>
        <rFont val="Calibri"/>
        <family val="2"/>
        <scheme val="minor"/>
      </rPr>
      <t>TOTAL ORDERS</t>
    </r>
    <r>
      <rPr>
        <b/>
        <sz val="14"/>
        <color theme="1"/>
        <rFont val="Calibri"/>
        <family val="2"/>
        <scheme val="minor"/>
      </rPr>
      <t xml:space="preserve">
</t>
    </r>
    <r>
      <rPr>
        <sz val="18"/>
        <color theme="1"/>
        <rFont val="Calibri"/>
        <family val="2"/>
        <scheme val="minor"/>
      </rPr>
      <t>0</t>
    </r>
    <r>
      <rPr>
        <b/>
        <sz val="14"/>
        <color theme="1"/>
        <rFont val="Calibri"/>
        <family val="2"/>
        <scheme val="minor"/>
      </rPr>
      <t xml:space="preserve">
</t>
    </r>
  </si>
  <si>
    <r>
      <rPr>
        <b/>
        <sz val="12"/>
        <color theme="1"/>
        <rFont val="Calibri"/>
        <family val="2"/>
        <scheme val="minor"/>
      </rPr>
      <t>TOTAL QUANTITY</t>
    </r>
    <r>
      <rPr>
        <b/>
        <sz val="14"/>
        <color theme="1"/>
        <rFont val="Calibri"/>
        <family val="2"/>
        <scheme val="minor"/>
      </rPr>
      <t xml:space="preserve">
</t>
    </r>
    <r>
      <rPr>
        <sz val="18"/>
        <color theme="1"/>
        <rFont val="Calibri"/>
        <family val="2"/>
        <scheme val="minor"/>
      </rPr>
      <t>0</t>
    </r>
  </si>
  <si>
    <r>
      <rPr>
        <b/>
        <sz val="12"/>
        <color theme="1"/>
        <rFont val="Calibri"/>
        <family val="2"/>
        <scheme val="minor"/>
      </rPr>
      <t>AVERAGE ORDER VALUE</t>
    </r>
    <r>
      <rPr>
        <b/>
        <sz val="14"/>
        <color theme="1"/>
        <rFont val="Calibri"/>
        <family val="2"/>
        <scheme val="minor"/>
      </rPr>
      <t xml:space="preserve">
</t>
    </r>
    <r>
      <rPr>
        <sz val="18"/>
        <color theme="1"/>
        <rFont val="Calibri"/>
        <family val="2"/>
        <scheme val="minor"/>
      </rPr>
      <t>0</t>
    </r>
  </si>
  <si>
    <r>
      <rPr>
        <b/>
        <sz val="12"/>
        <color theme="1"/>
        <rFont val="Calibri"/>
        <family val="2"/>
        <scheme val="minor"/>
      </rPr>
      <t>TOTAL REVENUE</t>
    </r>
    <r>
      <rPr>
        <sz val="11"/>
        <color theme="1"/>
        <rFont val="Calibri"/>
        <family val="2"/>
        <scheme val="minor"/>
      </rPr>
      <t xml:space="preserve">
=sum(                      </t>
    </r>
  </si>
  <si>
    <t>INV111</t>
  </si>
  <si>
    <t>SOHAN</t>
  </si>
  <si>
    <t>C106</t>
  </si>
  <si>
    <t>E108</t>
  </si>
  <si>
    <t>DELHI</t>
  </si>
  <si>
    <t>P106</t>
  </si>
  <si>
    <t>Tech Sol</t>
  </si>
  <si>
    <t>INV112</t>
  </si>
  <si>
    <t>C107</t>
  </si>
  <si>
    <t>Electro Centre</t>
  </si>
  <si>
    <t>Date</t>
  </si>
  <si>
    <t>Row Labels</t>
  </si>
  <si>
    <t>Grand Total</t>
  </si>
  <si>
    <t>Sum of Amount</t>
  </si>
  <si>
    <t>Count of Invoice ID</t>
  </si>
  <si>
    <t>Jan</t>
  </si>
  <si>
    <t>Feb</t>
  </si>
  <si>
    <t>Mar</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</si>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</sst>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0">
    <font>
      <sz val="11"/>
      <color theme="1"/>
      <name val="Calibri"/>
      <family val="2"/>
      <scheme val="minor"/>
    </font>
    <font>
      <b/>
      <sz val="11"/>
      <color rgb="FF000000"/>
      <name val="Aptos Narrow"/>
      <family val="2"/>
    </font>
    <font>
      <sz val="11"/>
      <color rgb="FF000000"/>
      <name val="Aptos Narrow"/>
      <family val="2"/>
    </font>
    <font>
      <b/>
      <u val="double"/>
      <sz val="22"/>
      <color theme="0"/>
      <name val="Bahnschrift SemiLight"/>
      <family val="2"/>
    </font>
    <font>
      <u val="double"/>
      <sz val="11"/>
      <color theme="1"/>
      <name val="Calibri"/>
      <family val="2"/>
      <scheme val="minor"/>
    </font>
    <font>
      <b/>
      <sz val="14"/>
      <color theme="1"/>
      <name val="Calibri"/>
      <family val="2"/>
      <scheme val="minor"/>
    </font>
    <font>
      <sz val="14"/>
      <color theme="1"/>
      <name val="Calibri"/>
      <family val="2"/>
      <scheme val="minor"/>
    </font>
    <font>
      <sz val="16"/>
      <color theme="1"/>
      <name val="Calibri"/>
      <family val="2"/>
      <scheme val="minor"/>
    </font>
    <font>
      <b/>
      <sz val="12"/>
      <color theme="1"/>
      <name val="Calibri"/>
      <family val="2"/>
      <scheme val="minor"/>
    </font>
    <font>
      <sz val="18"/>
      <color theme="1"/>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3" tint="0.59999389629810485"/>
        <bgColor indexed="64"/>
      </patternFill>
    </fill>
  </fills>
  <borders count="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indexed="64"/>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3" fillId="2" borderId="0" xfId="0" applyFont="1" applyFill="1" applyAlignment="1">
      <alignment horizontal="center"/>
    </xf>
    <xf numFmtId="0" fontId="4" fillId="2" borderId="0" xfId="0" applyFont="1" applyFill="1" applyAlignment="1">
      <alignment horizontal="center"/>
    </xf>
    <xf numFmtId="0" fontId="0" fillId="3" borderId="1" xfId="0" applyFill="1" applyBorder="1" applyAlignment="1">
      <alignment horizontal="center" vertical="center" wrapText="1"/>
    </xf>
    <xf numFmtId="0" fontId="0" fillId="3" borderId="2" xfId="0" applyFill="1" applyBorder="1" applyAlignment="1">
      <alignment horizontal="center" vertical="center" wrapText="1"/>
    </xf>
    <xf numFmtId="164" fontId="7" fillId="3" borderId="3" xfId="0" applyNumberFormat="1" applyFont="1" applyFill="1" applyBorder="1" applyAlignment="1">
      <alignment horizontal="center" vertical="center" wrapText="1"/>
    </xf>
    <xf numFmtId="164" fontId="7" fillId="3" borderId="4" xfId="0" applyNumberFormat="1" applyFont="1" applyFill="1" applyBorder="1" applyAlignment="1">
      <alignment horizontal="center" vertical="center" wrapText="1"/>
    </xf>
    <xf numFmtId="0" fontId="5" fillId="3" borderId="1" xfId="0" applyFont="1" applyFill="1" applyBorder="1" applyAlignment="1">
      <alignment horizontal="center" vertical="top" wrapText="1"/>
    </xf>
    <xf numFmtId="0" fontId="5" fillId="3" borderId="2" xfId="0" applyFont="1" applyFill="1" applyBorder="1" applyAlignment="1">
      <alignment horizontal="center" vertical="top" wrapText="1"/>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1" xfId="0" applyFont="1" applyFill="1" applyBorder="1" applyAlignment="1">
      <alignment horizontal="center" vertical="top" wrapText="1"/>
    </xf>
    <xf numFmtId="0" fontId="6" fillId="3" borderId="2" xfId="0" applyFont="1" applyFill="1" applyBorder="1" applyAlignment="1">
      <alignment horizontal="center" vertical="top" wrapText="1"/>
    </xf>
    <xf numFmtId="0" fontId="5" fillId="3" borderId="5" xfId="0" applyFont="1" applyFill="1" applyBorder="1" applyAlignment="1">
      <alignment horizontal="center" vertical="top" wrapText="1"/>
    </xf>
    <xf numFmtId="0" fontId="6" fillId="3" borderId="0" xfId="0" applyFont="1" applyFill="1" applyBorder="1" applyAlignment="1">
      <alignment horizontal="center" vertical="center"/>
    </xf>
  </cellXfs>
  <cellStyles count="1">
    <cellStyle name="Normal" xfId="0" builtinId="0"/>
  </cellStyles>
  <dxfs count="31">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rgb="FF000000"/>
        <name val="Aptos Narrow"/>
        <family val="2"/>
        <scheme val="none"/>
      </font>
    </dxf>
    <dxf>
      <numFmt numFmtId="19" formatCode="dd/mm/yyyy"/>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i val="0"/>
        <strike val="0"/>
        <condense val="0"/>
        <extend val="0"/>
        <outline val="0"/>
        <shadow val="0"/>
        <u val="none"/>
        <vertAlign val="baseline"/>
        <sz val="11"/>
        <color rgb="FF000000"/>
        <name val="Aptos Narrow"/>
        <family val="2"/>
        <scheme val="none"/>
      </font>
    </dxf>
  </dxfs>
  <tableStyles count="0" defaultTableStyle="TableStyleMedium2" defaultPivotStyle="PivotStyleLight16"/>
  <colors>
    <mruColors>
      <color rgb="FF1F4E79"/>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1 (Revenue)!PivotTable1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8391426071741032"/>
          <c:y val="0.15484347569136642"/>
          <c:w val="0.71261351706036746"/>
          <c:h val="0.65853091280256637"/>
        </c:manualLayout>
      </c:layout>
      <c:barChart>
        <c:barDir val="col"/>
        <c:grouping val="clustered"/>
        <c:varyColors val="0"/>
        <c:ser>
          <c:idx val="0"/>
          <c:order val="0"/>
          <c:tx>
            <c:strRef>
              <c:f>'Pivot table 1 (Revenue)'!$B$3</c:f>
              <c:strCache>
                <c:ptCount val="1"/>
                <c:pt idx="0">
                  <c:v>Total</c:v>
                </c:pt>
              </c:strCache>
            </c:strRef>
          </c:tx>
          <c:spPr>
            <a:solidFill>
              <a:schemeClr val="accent1"/>
            </a:solidFill>
            <a:ln>
              <a:noFill/>
            </a:ln>
            <a:effectLst/>
          </c:spPr>
          <c:invertIfNegative val="0"/>
          <c:cat>
            <c:strRef>
              <c:f>'Pivot table 1 (Revenue)'!$A$4:$A$12</c:f>
              <c:strCache>
                <c:ptCount val="8"/>
                <c:pt idx="0">
                  <c:v>Kavita</c:v>
                </c:pt>
                <c:pt idx="1">
                  <c:v>SOHAN</c:v>
                </c:pt>
                <c:pt idx="2">
                  <c:v>Rohit</c:v>
                </c:pt>
                <c:pt idx="3">
                  <c:v>Rahul</c:v>
                </c:pt>
                <c:pt idx="4">
                  <c:v>Arjun</c:v>
                </c:pt>
                <c:pt idx="5">
                  <c:v>Priya</c:v>
                </c:pt>
                <c:pt idx="6">
                  <c:v>Aman</c:v>
                </c:pt>
                <c:pt idx="7">
                  <c:v>Neha</c:v>
                </c:pt>
              </c:strCache>
            </c:strRef>
          </c:cat>
          <c:val>
            <c:numRef>
              <c:f>'Pivot table 1 (Revenue)'!$B$4:$B$12</c:f>
              <c:numCache>
                <c:formatCode>General</c:formatCode>
                <c:ptCount val="8"/>
                <c:pt idx="0">
                  <c:v>335000</c:v>
                </c:pt>
                <c:pt idx="1">
                  <c:v>240000</c:v>
                </c:pt>
                <c:pt idx="2">
                  <c:v>147000</c:v>
                </c:pt>
                <c:pt idx="3">
                  <c:v>122000</c:v>
                </c:pt>
                <c:pt idx="4">
                  <c:v>108000</c:v>
                </c:pt>
                <c:pt idx="5">
                  <c:v>75000</c:v>
                </c:pt>
                <c:pt idx="6">
                  <c:v>42000</c:v>
                </c:pt>
                <c:pt idx="7">
                  <c:v>30000</c:v>
                </c:pt>
              </c:numCache>
            </c:numRef>
          </c:val>
          <c:extLst>
            <c:ext xmlns:c16="http://schemas.microsoft.com/office/drawing/2014/chart" uri="{C3380CC4-5D6E-409C-BE32-E72D297353CC}">
              <c16:uniqueId val="{00000000-1887-480B-864A-61DD8828D7FA}"/>
            </c:ext>
          </c:extLst>
        </c:ser>
        <c:dLbls>
          <c:showLegendKey val="0"/>
          <c:showVal val="0"/>
          <c:showCatName val="0"/>
          <c:showSerName val="0"/>
          <c:showPercent val="0"/>
          <c:showBubbleSize val="0"/>
        </c:dLbls>
        <c:gapWidth val="219"/>
        <c:overlap val="-27"/>
        <c:axId val="1508647935"/>
        <c:axId val="1586729967"/>
      </c:barChart>
      <c:catAx>
        <c:axId val="150864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86729967"/>
        <c:crosses val="autoZero"/>
        <c:auto val="1"/>
        <c:lblAlgn val="ctr"/>
        <c:lblOffset val="100"/>
        <c:noMultiLvlLbl val="0"/>
      </c:catAx>
      <c:valAx>
        <c:axId val="158672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0864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Dashboard.xlsx]Pivot3 (Revenue by date)!PivotTable4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r>
              <a:rPr lang="en-US" baseline="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'Pivot3 (Revenue by date)'!$B$3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'Pivot3 (Revenue by date)'!$A$4:$A$7</c:f>
              <c:strCache>
                <c:ptCount val="3"/>
                <c:pt idx="0">
                  <c:v>Jan</c:v>
                </c:pt>
                <c:pt idx="1">
                  <c:v>Feb</c:v>
                </c:pt>
                <c:pt idx="2">
                  <c:v>Mar</c:v>
                </c:pt>
              </c:strCache>
            </c:strRef>
          </c:cat>
          <c:val>
            <c:numRef>
              <c:f>'Pivot3 (Revenue by date)'!$B$4:$B$7</c:f>
              <c:numCache>
                <c:formatCode>General</c:formatCode>
                <c:ptCount val="3"/>
                <c:pt idx="0">
                  <c:v>330000</c:v>
                </c:pt>
                <c:pt idx="1">
                  <c:v>377000</c:v>
                </c:pt>
                <c:pt idx="2">
                  <c:v>392000</c:v>
                </c:pt>
              </c:numCache>
            </c:numRef>
          </c:val>
          <c:smooth val="0"/>
          <c:extLst>
            <c:ext xmlns:c16="http://schemas.microsoft.com/office/drawing/2014/chart" uri="{C3380CC4-5D6E-409C-BE32-E72D297353CC}">
              <c16:uniqueId val="{00000000-4501-46D4-A0E6-56254BEBC1D8}"/>
            </c:ext>
          </c:extLst>
        </c:ser>
        <c:dLbls>
          <c:showLegendKey val="0"/>
          <c:showVal val="0"/>
          <c:showCatName val="0"/>
          <c:showSerName val="0"/>
          <c:showPercent val="0"/>
          <c:showBubbleSize val="0"/>
        </c:dLbls>
        <c:marker val="1"/>
        <c:smooth val="0"/>
        <c:axId val="1589389327"/>
        <c:axId val="1715687391"/>
      </c:lineChart>
      <c:catAx>
        <c:axId val="158938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15687391"/>
        <c:crosses val="autoZero"/>
        <c:auto val="1"/>
        <c:lblAlgn val="ctr"/>
        <c:lblOffset val="100"/>
        <c:noMultiLvlLbl val="0"/>
      </c:catAx>
      <c:valAx>
        <c:axId val="1715687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8938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Dashboard.xlsx]Pivot4 (Revenue by product)!PivotTable5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'Pivot4 (Revenue by product)'!$B$3</c:f>
              <c:strCache>
                <c:ptCount val="1"/>
                <c:pt idx="0">
                  <c:v>Total</c:v>
                </c:pt>
              </c:strCache>
            </c:strRef>
          </c:tx>
          <c:spPr>
            <a:solidFill>
              <a:schemeClr val="accent1"/>
            </a:solidFill>
            <a:ln>
              <a:noFill/>
            </a:ln>
            <a:effectLst/>
            <a:sp3d/>
          </c:spPr>
          <c:invertIfNegative val="0"/>
          <c:cat>
            <c:strRef>
              <c:f>'Pivot4 (Revenue by product)'!$A$4:$A$9</c:f>
              <c:strCache>
                <c:ptCount val="5"/>
                <c:pt idx="0">
                  <c:v>Laptop</c:v>
                </c:pt>
                <c:pt idx="1">
                  <c:v>Mobile</c:v>
                </c:pt>
                <c:pt idx="2">
                  <c:v>Tablet</c:v>
                </c:pt>
                <c:pt idx="3">
                  <c:v>Printer</c:v>
                </c:pt>
                <c:pt idx="4">
                  <c:v>Monitor</c:v>
                </c:pt>
              </c:strCache>
            </c:strRef>
          </c:cat>
          <c:val>
            <c:numRef>
              <c:f>'Pivot4 (Revenue by product)'!$B$4:$B$9</c:f>
              <c:numCache>
                <c:formatCode>General</c:formatCode>
                <c:ptCount val="5"/>
                <c:pt idx="0">
                  <c:v>625000</c:v>
                </c:pt>
                <c:pt idx="1">
                  <c:v>180000</c:v>
                </c:pt>
                <c:pt idx="2">
                  <c:v>150000</c:v>
                </c:pt>
                <c:pt idx="3">
                  <c:v>84000</c:v>
                </c:pt>
                <c:pt idx="4">
                  <c:v>60000</c:v>
                </c:pt>
              </c:numCache>
            </c:numRef>
          </c:val>
          <c:extLst>
            <c:ext xmlns:c16="http://schemas.microsoft.com/office/drawing/2014/chart" uri="{C3380CC4-5D6E-409C-BE32-E72D297353CC}">
              <c16:uniqueId val="{00000000-AE48-48D1-BDA4-4B520E9A0126}"/>
            </c:ext>
          </c:extLst>
        </c:ser>
        <c:dLbls>
          <c:showLegendKey val="0"/>
          <c:showVal val="0"/>
          <c:showCatName val="0"/>
          <c:showSerName val="0"/>
          <c:showPercent val="0"/>
          <c:showBubbleSize val="0"/>
        </c:dLbls>
        <c:gapWidth val="150"/>
        <c:shape val="box"/>
        <c:axId val="1576273055"/>
        <c:axId val="1586729551"/>
        <c:axId val="0"/>
      </c:bar3DChart>
      <c:catAx>
        <c:axId val="1576273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86729551"/>
        <c:crosses val="autoZero"/>
        <c:auto val="1"/>
        <c:lblAlgn val="ctr"/>
        <c:lblOffset val="100"/>
        <c:noMultiLvlLbl val="0"/>
      </c:catAx>
      <c:valAx>
        <c:axId val="1586729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7627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2 (Order)!PivotTable3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BY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2 (Order)'!$B$3</c:f>
              <c:strCache>
                <c:ptCount val="1"/>
                <c:pt idx="0">
                  <c:v>Total</c:v>
                </c:pt>
              </c:strCache>
            </c:strRef>
          </c:tx>
          <c:spPr>
            <a:solidFill>
              <a:schemeClr val="accent1"/>
            </a:solidFill>
            <a:ln>
              <a:noFill/>
            </a:ln>
            <a:effectLst/>
            <a:sp3d/>
          </c:spPr>
          <c:invertIfNegative val="0"/>
          <c:cat>
            <c:strRef>
              <c:f>'Pivot 2 (Order)'!$A$4:$A$12</c:f>
              <c:strCache>
                <c:ptCount val="8"/>
                <c:pt idx="0">
                  <c:v>Rohit</c:v>
                </c:pt>
                <c:pt idx="1">
                  <c:v>Rahul</c:v>
                </c:pt>
                <c:pt idx="2">
                  <c:v>Kavita</c:v>
                </c:pt>
                <c:pt idx="3">
                  <c:v>Aman</c:v>
                </c:pt>
                <c:pt idx="4">
                  <c:v>Priya</c:v>
                </c:pt>
                <c:pt idx="5">
                  <c:v>SOHAN</c:v>
                </c:pt>
                <c:pt idx="6">
                  <c:v>Arjun</c:v>
                </c:pt>
                <c:pt idx="7">
                  <c:v>Neha</c:v>
                </c:pt>
              </c:strCache>
            </c:strRef>
          </c:cat>
          <c:val>
            <c:numRef>
              <c:f>'Pivot 2 (Order)'!$B$4:$B$12</c:f>
              <c:numCache>
                <c:formatCode>General</c:formatCode>
                <c:ptCount val="8"/>
                <c:pt idx="0">
                  <c:v>2</c:v>
                </c:pt>
                <c:pt idx="1">
                  <c:v>2</c:v>
                </c:pt>
                <c:pt idx="2">
                  <c:v>2</c:v>
                </c:pt>
                <c:pt idx="3">
                  <c:v>2</c:v>
                </c:pt>
                <c:pt idx="4">
                  <c:v>1</c:v>
                </c:pt>
                <c:pt idx="5">
                  <c:v>1</c:v>
                </c:pt>
                <c:pt idx="6">
                  <c:v>1</c:v>
                </c:pt>
                <c:pt idx="7">
                  <c:v>1</c:v>
                </c:pt>
              </c:numCache>
            </c:numRef>
          </c:val>
          <c:extLst>
            <c:ext xmlns:c16="http://schemas.microsoft.com/office/drawing/2014/chart" uri="{C3380CC4-5D6E-409C-BE32-E72D297353CC}">
              <c16:uniqueId val="{00000000-01A0-41AC-B66F-B49544ECEAA2}"/>
            </c:ext>
          </c:extLst>
        </c:ser>
        <c:dLbls>
          <c:showLegendKey val="0"/>
          <c:showVal val="0"/>
          <c:showCatName val="0"/>
          <c:showSerName val="0"/>
          <c:showPercent val="0"/>
          <c:showBubbleSize val="0"/>
        </c:dLbls>
        <c:gapWidth val="150"/>
        <c:shape val="box"/>
        <c:axId val="1878326527"/>
        <c:axId val="1944917887"/>
        <c:axId val="0"/>
      </c:bar3DChart>
      <c:catAx>
        <c:axId val="1878326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44917887"/>
        <c:crosses val="autoZero"/>
        <c:auto val="1"/>
        <c:lblAlgn val="ctr"/>
        <c:lblOffset val="100"/>
        <c:noMultiLvlLbl val="0"/>
      </c:catAx>
      <c:valAx>
        <c:axId val="1944917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7832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 1 (Revenue)!PivotTable1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8113648293963258"/>
          <c:y val="0.15042833187518226"/>
          <c:w val="0.71261351706036746"/>
          <c:h val="0.65853091280256637"/>
        </c:manualLayout>
      </c:layout>
      <c:barChart>
        <c:barDir val="col"/>
        <c:grouping val="clustered"/>
        <c:varyColors val="0"/>
        <c:ser>
          <c:idx val="0"/>
          <c:order val="0"/>
          <c:tx>
            <c:strRef>
              <c:f>'Pivot table 1 (Revenue)'!$B$3</c:f>
              <c:strCache>
                <c:ptCount val="1"/>
                <c:pt idx="0">
                  <c:v>Total</c:v>
                </c:pt>
              </c:strCache>
            </c:strRef>
          </c:tx>
          <c:spPr>
            <a:solidFill>
              <a:schemeClr val="accent1"/>
            </a:solidFill>
            <a:ln>
              <a:noFill/>
            </a:ln>
            <a:effectLst/>
          </c:spPr>
          <c:invertIfNegative val="0"/>
          <c:cat>
            <c:strRef>
              <c:f>'Pivot table 1 (Revenue)'!$A$4:$A$12</c:f>
              <c:strCache>
                <c:ptCount val="8"/>
                <c:pt idx="0">
                  <c:v>Kavita</c:v>
                </c:pt>
                <c:pt idx="1">
                  <c:v>SOHAN</c:v>
                </c:pt>
                <c:pt idx="2">
                  <c:v>Rohit</c:v>
                </c:pt>
                <c:pt idx="3">
                  <c:v>Rahul</c:v>
                </c:pt>
                <c:pt idx="4">
                  <c:v>Arjun</c:v>
                </c:pt>
                <c:pt idx="5">
                  <c:v>Priya</c:v>
                </c:pt>
                <c:pt idx="6">
                  <c:v>Aman</c:v>
                </c:pt>
                <c:pt idx="7">
                  <c:v>Neha</c:v>
                </c:pt>
              </c:strCache>
            </c:strRef>
          </c:cat>
          <c:val>
            <c:numRef>
              <c:f>'Pivot table 1 (Revenue)'!$B$4:$B$12</c:f>
              <c:numCache>
                <c:formatCode>General</c:formatCode>
                <c:ptCount val="8"/>
                <c:pt idx="0">
                  <c:v>335000</c:v>
                </c:pt>
                <c:pt idx="1">
                  <c:v>240000</c:v>
                </c:pt>
                <c:pt idx="2">
                  <c:v>147000</c:v>
                </c:pt>
                <c:pt idx="3">
                  <c:v>122000</c:v>
                </c:pt>
                <c:pt idx="4">
                  <c:v>108000</c:v>
                </c:pt>
                <c:pt idx="5">
                  <c:v>75000</c:v>
                </c:pt>
                <c:pt idx="6">
                  <c:v>42000</c:v>
                </c:pt>
                <c:pt idx="7">
                  <c:v>30000</c:v>
                </c:pt>
              </c:numCache>
            </c:numRef>
          </c:val>
          <c:extLst>
            <c:ext xmlns:c16="http://schemas.microsoft.com/office/drawing/2014/chart" uri="{C3380CC4-5D6E-409C-BE32-E72D297353CC}">
              <c16:uniqueId val="{00000000-D7FB-4437-A819-86E2721D5944}"/>
            </c:ext>
          </c:extLst>
        </c:ser>
        <c:dLbls>
          <c:showLegendKey val="0"/>
          <c:showVal val="0"/>
          <c:showCatName val="0"/>
          <c:showSerName val="0"/>
          <c:showPercent val="0"/>
          <c:showBubbleSize val="0"/>
        </c:dLbls>
        <c:gapWidth val="219"/>
        <c:overlap val="-27"/>
        <c:axId val="1508647935"/>
        <c:axId val="1586729967"/>
      </c:barChart>
      <c:catAx>
        <c:axId val="150864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729967"/>
        <c:crosses val="autoZero"/>
        <c:auto val="1"/>
        <c:lblAlgn val="ctr"/>
        <c:lblOffset val="100"/>
        <c:noMultiLvlLbl val="0"/>
      </c:catAx>
      <c:valAx>
        <c:axId val="158672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64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2 (Order)!PivotTable3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2 (Order)'!$B$3</c:f>
              <c:strCache>
                <c:ptCount val="1"/>
                <c:pt idx="0">
                  <c:v>Total</c:v>
                </c:pt>
              </c:strCache>
            </c:strRef>
          </c:tx>
          <c:spPr>
            <a:solidFill>
              <a:schemeClr val="accent1"/>
            </a:solidFill>
            <a:ln>
              <a:noFill/>
            </a:ln>
            <a:effectLst/>
            <a:sp3d/>
          </c:spPr>
          <c:invertIfNegative val="0"/>
          <c:cat>
            <c:strRef>
              <c:f>'Pivot 2 (Order)'!$A$4:$A$12</c:f>
              <c:strCache>
                <c:ptCount val="8"/>
                <c:pt idx="0">
                  <c:v>Rohit</c:v>
                </c:pt>
                <c:pt idx="1">
                  <c:v>Rahul</c:v>
                </c:pt>
                <c:pt idx="2">
                  <c:v>Kavita</c:v>
                </c:pt>
                <c:pt idx="3">
                  <c:v>Aman</c:v>
                </c:pt>
                <c:pt idx="4">
                  <c:v>Priya</c:v>
                </c:pt>
                <c:pt idx="5">
                  <c:v>SOHAN</c:v>
                </c:pt>
                <c:pt idx="6">
                  <c:v>Arjun</c:v>
                </c:pt>
                <c:pt idx="7">
                  <c:v>Neha</c:v>
                </c:pt>
              </c:strCache>
            </c:strRef>
          </c:cat>
          <c:val>
            <c:numRef>
              <c:f>'Pivot 2 (Order)'!$B$4:$B$12</c:f>
              <c:numCache>
                <c:formatCode>General</c:formatCode>
                <c:ptCount val="8"/>
                <c:pt idx="0">
                  <c:v>2</c:v>
                </c:pt>
                <c:pt idx="1">
                  <c:v>2</c:v>
                </c:pt>
                <c:pt idx="2">
                  <c:v>2</c:v>
                </c:pt>
                <c:pt idx="3">
                  <c:v>2</c:v>
                </c:pt>
                <c:pt idx="4">
                  <c:v>1</c:v>
                </c:pt>
                <c:pt idx="5">
                  <c:v>1</c:v>
                </c:pt>
                <c:pt idx="6">
                  <c:v>1</c:v>
                </c:pt>
                <c:pt idx="7">
                  <c:v>1</c:v>
                </c:pt>
              </c:numCache>
            </c:numRef>
          </c:val>
          <c:extLst>
            <c:ext xmlns:c16="http://schemas.microsoft.com/office/drawing/2014/chart" uri="{C3380CC4-5D6E-409C-BE32-E72D297353CC}">
              <c16:uniqueId val="{00000000-EAB7-47F7-8ED8-1661223822DE}"/>
            </c:ext>
          </c:extLst>
        </c:ser>
        <c:dLbls>
          <c:showLegendKey val="0"/>
          <c:showVal val="0"/>
          <c:showCatName val="0"/>
          <c:showSerName val="0"/>
          <c:showPercent val="0"/>
          <c:showBubbleSize val="0"/>
        </c:dLbls>
        <c:gapWidth val="150"/>
        <c:shape val="box"/>
        <c:axId val="1878326527"/>
        <c:axId val="1944917887"/>
        <c:axId val="0"/>
      </c:bar3DChart>
      <c:catAx>
        <c:axId val="18783265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917887"/>
        <c:crosses val="autoZero"/>
        <c:auto val="1"/>
        <c:lblAlgn val="ctr"/>
        <c:lblOffset val="100"/>
        <c:noMultiLvlLbl val="0"/>
      </c:catAx>
      <c:valAx>
        <c:axId val="1944917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32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Dashboard.xlsx]Pivot3 (Revenue by date)!PivotTable4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'Pivot3 (Revenue by date)'!$B$3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'Pivot3 (Revenue by date)'!$A$4:$A$7</c:f>
              <c:strCache>
                <c:ptCount val="3"/>
                <c:pt idx="0">
                  <c:v>Jan</c:v>
                </c:pt>
                <c:pt idx="1">
                  <c:v>Feb</c:v>
                </c:pt>
                <c:pt idx="2">
                  <c:v>Mar</c:v>
                </c:pt>
              </c:strCache>
            </c:strRef>
          </c:cat>
          <c:val>
            <c:numRef>
              <c:f>'Pivot3 (Revenue by date)'!$B$4:$B$7</c:f>
              <c:numCache>
                <c:formatCode>General</c:formatCode>
                <c:ptCount val="3"/>
                <c:pt idx="0">
                  <c:v>330000</c:v>
                </c:pt>
                <c:pt idx="1">
                  <c:v>377000</c:v>
                </c:pt>
                <c:pt idx="2">
                  <c:v>392000</c:v>
                </c:pt>
              </c:numCache>
            </c:numRef>
          </c:val>
          <c:smooth val="0"/>
          <c:extLst>
            <c:ext xmlns:c16="http://schemas.microsoft.com/office/drawing/2014/chart" uri="{C3380CC4-5D6E-409C-BE32-E72D297353CC}">
              <c16:uniqueId val="{00000000-F4EB-4F6A-8FE9-ECF6862004B1}"/>
            </c:ext>
          </c:extLst>
        </c:ser>
        <c:dLbls>
          <c:showLegendKey val="0"/>
          <c:showVal val="0"/>
          <c:showCatName val="0"/>
          <c:showSerName val="0"/>
          <c:showPercent val="0"/>
          <c:showBubbleSize val="0"/>
        </c:dLbls>
        <c:marker val="1"/>
        <c:smooth val="0"/>
        <c:axId val="1589389327"/>
        <c:axId val="1715687391"/>
      </c:lineChart>
      <c:catAx>
        <c:axId val="158938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687391"/>
        <c:crosses val="autoZero"/>
        <c:auto val="1"/>
        <c:lblAlgn val="ctr"/>
        <c:lblOffset val="100"/>
        <c:noMultiLvlLbl val="0"/>
      </c:catAx>
      <c:valAx>
        <c:axId val="1715687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38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Dashboard.xlsx]Pivot4 (Revenue by product)!PivotTable5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'Pivot4 (Revenue by product)'!$B$3</c:f>
              <c:strCache>
                <c:ptCount val="1"/>
                <c:pt idx="0">
                  <c:v>Total</c:v>
                </c:pt>
              </c:strCache>
            </c:strRef>
          </c:tx>
          <c:spPr>
            <a:solidFill>
              <a:schemeClr val="accent1"/>
            </a:solidFill>
            <a:ln>
              <a:noFill/>
            </a:ln>
            <a:effectLst/>
            <a:sp3d/>
          </c:spPr>
          <c:invertIfNegative val="0"/>
          <c:cat>
            <c:strRef>
              <c:f>'Pivot4 (Revenue by product)'!$A$4:$A$9</c:f>
              <c:strCache>
                <c:ptCount val="5"/>
                <c:pt idx="0">
                  <c:v>Laptop</c:v>
                </c:pt>
                <c:pt idx="1">
                  <c:v>Mobile</c:v>
                </c:pt>
                <c:pt idx="2">
                  <c:v>Tablet</c:v>
                </c:pt>
                <c:pt idx="3">
                  <c:v>Printer</c:v>
                </c:pt>
                <c:pt idx="4">
                  <c:v>Monitor</c:v>
                </c:pt>
              </c:strCache>
            </c:strRef>
          </c:cat>
          <c:val>
            <c:numRef>
              <c:f>'Pivot4 (Revenue by product)'!$B$4:$B$9</c:f>
              <c:numCache>
                <c:formatCode>General</c:formatCode>
                <c:ptCount val="5"/>
                <c:pt idx="0">
                  <c:v>625000</c:v>
                </c:pt>
                <c:pt idx="1">
                  <c:v>180000</c:v>
                </c:pt>
                <c:pt idx="2">
                  <c:v>150000</c:v>
                </c:pt>
                <c:pt idx="3">
                  <c:v>84000</c:v>
                </c:pt>
                <c:pt idx="4">
                  <c:v>60000</c:v>
                </c:pt>
              </c:numCache>
            </c:numRef>
          </c:val>
          <c:extLst>
            <c:ext xmlns:c16="http://schemas.microsoft.com/office/drawing/2014/chart" uri="{C3380CC4-5D6E-409C-BE32-E72D297353CC}">
              <c16:uniqueId val="{00000000-32A1-4D1E-A172-0ED2B87CD834}"/>
            </c:ext>
          </c:extLst>
        </c:ser>
        <c:dLbls>
          <c:showLegendKey val="0"/>
          <c:showVal val="0"/>
          <c:showCatName val="0"/>
          <c:showSerName val="0"/>
          <c:showPercent val="0"/>
          <c:showBubbleSize val="0"/>
        </c:dLbls>
        <c:gapWidth val="150"/>
        <c:shape val="box"/>
        <c:axId val="1576273055"/>
        <c:axId val="1586729551"/>
        <c:axId val="0"/>
      </c:bar3DChart>
      <c:catAx>
        <c:axId val="1576273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729551"/>
        <c:crosses val="autoZero"/>
        <c:auto val="1"/>
        <c:lblAlgn val="ctr"/>
        <c:lblOffset val="100"/>
        <c:noMultiLvlLbl val="0"/>
      </c:catAx>
      <c:valAx>
        <c:axId val="1586729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27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28574</xdr:colOff>
      <xdr:row>0</xdr:row>
      <xdr:rowOff>0</xdr:rowOff>
    </xdr:from>
    <xdr:to>
      <xdr:col>15</xdr:col>
      <xdr:colOff>152399</xdr:colOff>
      <xdr:row>51</xdr:row>
      <xdr:rowOff>171450</xdr:rowOff>
    </xdr:to>
    <xdr:sp macro="" textlink="">
      <xdr:nvSpPr>
        <xdr:cNvPr id="25" name="Rectangle 24">
          <a:extLst>
            <a:ext uri="{FF2B5EF4-FFF2-40B4-BE49-F238E27FC236}">
              <a16:creationId xmlns:a16="http://schemas.microsoft.com/office/drawing/2014/main" id="{27650C17-2149-47C7-A9A5-C17F7EBF53D3}"/>
            </a:ext>
          </a:extLst>
        </xdr:cNvPr>
        <xdr:cNvSpPr/>
      </xdr:nvSpPr>
      <xdr:spPr>
        <a:xfrm>
          <a:off x="28574" y="0"/>
          <a:ext cx="12601575" cy="12458700"/>
        </a:xfrm>
        <a:prstGeom prst="rect">
          <a:avLst/>
        </a:prstGeom>
        <a:solidFill>
          <a:srgbClr val="F2F2F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3</xdr:row>
      <xdr:rowOff>19050</xdr:rowOff>
    </xdr:from>
    <xdr:to>
      <xdr:col>3</xdr:col>
      <xdr:colOff>428625</xdr:colOff>
      <xdr:row>6</xdr:row>
      <xdr:rowOff>162375</xdr:rowOff>
    </xdr:to>
    <xdr:sp macro="" textlink="">
      <xdr:nvSpPr>
        <xdr:cNvPr id="3" name="Rectangle: Rounded Corners 2">
          <a:extLst>
            <a:ext uri="{FF2B5EF4-FFF2-40B4-BE49-F238E27FC236}">
              <a16:creationId xmlns:a16="http://schemas.microsoft.com/office/drawing/2014/main" id="{A4E975B5-933F-43B8-8950-2DCC1C6C291D}"/>
            </a:ext>
          </a:extLst>
        </xdr:cNvPr>
        <xdr:cNvSpPr/>
      </xdr:nvSpPr>
      <xdr:spPr>
        <a:xfrm>
          <a:off x="228600" y="847725"/>
          <a:ext cx="2743200" cy="972000"/>
        </a:xfrm>
        <a:prstGeom prst="roundRect">
          <a:avLst/>
        </a:prstGeom>
        <a:ln>
          <a:solidFill>
            <a:schemeClr val="bg2">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644525</xdr:colOff>
      <xdr:row>3</xdr:row>
      <xdr:rowOff>19050</xdr:rowOff>
    </xdr:from>
    <xdr:to>
      <xdr:col>6</xdr:col>
      <xdr:colOff>844550</xdr:colOff>
      <xdr:row>6</xdr:row>
      <xdr:rowOff>162375</xdr:rowOff>
    </xdr:to>
    <xdr:sp macro="" textlink="">
      <xdr:nvSpPr>
        <xdr:cNvPr id="4" name="Rectangle: Rounded Corners 3">
          <a:extLst>
            <a:ext uri="{FF2B5EF4-FFF2-40B4-BE49-F238E27FC236}">
              <a16:creationId xmlns:a16="http://schemas.microsoft.com/office/drawing/2014/main" id="{FBEEA35F-FD7D-4114-96A1-E412C68C09BF}"/>
            </a:ext>
          </a:extLst>
        </xdr:cNvPr>
        <xdr:cNvSpPr/>
      </xdr:nvSpPr>
      <xdr:spPr>
        <a:xfrm>
          <a:off x="3187700" y="847725"/>
          <a:ext cx="2743200" cy="972000"/>
        </a:xfrm>
        <a:prstGeom prst="roundRect">
          <a:avLst/>
        </a:prstGeom>
        <a:ln>
          <a:solidFill>
            <a:schemeClr val="bg2">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212725</xdr:colOff>
      <xdr:row>3</xdr:row>
      <xdr:rowOff>19050</xdr:rowOff>
    </xdr:from>
    <xdr:to>
      <xdr:col>10</xdr:col>
      <xdr:colOff>412750</xdr:colOff>
      <xdr:row>6</xdr:row>
      <xdr:rowOff>162375</xdr:rowOff>
    </xdr:to>
    <xdr:sp macro="" textlink="">
      <xdr:nvSpPr>
        <xdr:cNvPr id="5" name="Rectangle: Rounded Corners 4">
          <a:extLst>
            <a:ext uri="{FF2B5EF4-FFF2-40B4-BE49-F238E27FC236}">
              <a16:creationId xmlns:a16="http://schemas.microsoft.com/office/drawing/2014/main" id="{618D67C2-DD7A-4F73-AB0D-DFA53F8A75B7}"/>
            </a:ext>
          </a:extLst>
        </xdr:cNvPr>
        <xdr:cNvSpPr/>
      </xdr:nvSpPr>
      <xdr:spPr>
        <a:xfrm>
          <a:off x="6146800" y="847725"/>
          <a:ext cx="2743200" cy="972000"/>
        </a:xfrm>
        <a:prstGeom prst="roundRect">
          <a:avLst/>
        </a:prstGeom>
        <a:ln>
          <a:solidFill>
            <a:schemeClr val="bg2">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628650</xdr:colOff>
      <xdr:row>3</xdr:row>
      <xdr:rowOff>19050</xdr:rowOff>
    </xdr:from>
    <xdr:to>
      <xdr:col>13</xdr:col>
      <xdr:colOff>828675</xdr:colOff>
      <xdr:row>6</xdr:row>
      <xdr:rowOff>161925</xdr:rowOff>
    </xdr:to>
    <xdr:sp macro="" textlink="">
      <xdr:nvSpPr>
        <xdr:cNvPr id="6" name="Rectangle: Rounded Corners 5">
          <a:extLst>
            <a:ext uri="{FF2B5EF4-FFF2-40B4-BE49-F238E27FC236}">
              <a16:creationId xmlns:a16="http://schemas.microsoft.com/office/drawing/2014/main" id="{C2714A87-4DED-4C20-905F-F69A27DE6A20}"/>
            </a:ext>
          </a:extLst>
        </xdr:cNvPr>
        <xdr:cNvSpPr/>
      </xdr:nvSpPr>
      <xdr:spPr>
        <a:xfrm>
          <a:off x="9105900" y="847725"/>
          <a:ext cx="2743200" cy="971550"/>
        </a:xfrm>
        <a:prstGeom prst="roundRect">
          <a:avLst/>
        </a:prstGeom>
        <a:ln>
          <a:solidFill>
            <a:schemeClr val="bg2">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514350</xdr:colOff>
      <xdr:row>3</xdr:row>
      <xdr:rowOff>209550</xdr:rowOff>
    </xdr:from>
    <xdr:to>
      <xdr:col>2</xdr:col>
      <xdr:colOff>666750</xdr:colOff>
      <xdr:row>4</xdr:row>
      <xdr:rowOff>238125</xdr:rowOff>
    </xdr:to>
    <xdr:sp macro="" textlink="">
      <xdr:nvSpPr>
        <xdr:cNvPr id="2" name="Rectangle 1">
          <a:extLst>
            <a:ext uri="{FF2B5EF4-FFF2-40B4-BE49-F238E27FC236}">
              <a16:creationId xmlns:a16="http://schemas.microsoft.com/office/drawing/2014/main" id="{7C85FA99-B664-4918-9BA0-7CC1715FD1AC}"/>
            </a:ext>
          </a:extLst>
        </xdr:cNvPr>
        <xdr:cNvSpPr/>
      </xdr:nvSpPr>
      <xdr:spPr>
        <a:xfrm>
          <a:off x="514350" y="1038225"/>
          <a:ext cx="1847850" cy="304800"/>
        </a:xfrm>
        <a:prstGeom prst="rect">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a:solidFill>
                <a:schemeClr val="bg2">
                  <a:lumMod val="10000"/>
                </a:schemeClr>
              </a:solidFill>
            </a:rPr>
            <a:t>TOTAL REVENUE</a:t>
          </a:r>
        </a:p>
      </xdr:txBody>
    </xdr:sp>
    <xdr:clientData/>
  </xdr:twoCellAnchor>
  <xdr:twoCellAnchor>
    <xdr:from>
      <xdr:col>4</xdr:col>
      <xdr:colOff>85725</xdr:colOff>
      <xdr:row>3</xdr:row>
      <xdr:rowOff>209550</xdr:rowOff>
    </xdr:from>
    <xdr:to>
      <xdr:col>6</xdr:col>
      <xdr:colOff>304800</xdr:colOff>
      <xdr:row>4</xdr:row>
      <xdr:rowOff>238125</xdr:rowOff>
    </xdr:to>
    <xdr:sp macro="" textlink="">
      <xdr:nvSpPr>
        <xdr:cNvPr id="8" name="Rectangle 7">
          <a:extLst>
            <a:ext uri="{FF2B5EF4-FFF2-40B4-BE49-F238E27FC236}">
              <a16:creationId xmlns:a16="http://schemas.microsoft.com/office/drawing/2014/main" id="{A3543440-487C-435C-894A-6AD9573B2CB2}"/>
            </a:ext>
          </a:extLst>
        </xdr:cNvPr>
        <xdr:cNvSpPr/>
      </xdr:nvSpPr>
      <xdr:spPr>
        <a:xfrm>
          <a:off x="3476625" y="1038225"/>
          <a:ext cx="1914525" cy="304800"/>
        </a:xfrm>
        <a:prstGeom prst="rect">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a:t>TOTAL ORDERS</a:t>
          </a:r>
        </a:p>
      </xdr:txBody>
    </xdr:sp>
    <xdr:clientData/>
  </xdr:twoCellAnchor>
  <xdr:twoCellAnchor>
    <xdr:from>
      <xdr:col>3</xdr:col>
      <xdr:colOff>819150</xdr:colOff>
      <xdr:row>5</xdr:row>
      <xdr:rowOff>28575</xdr:rowOff>
    </xdr:from>
    <xdr:to>
      <xdr:col>6</xdr:col>
      <xdr:colOff>247650</xdr:colOff>
      <xdr:row>6</xdr:row>
      <xdr:rowOff>85725</xdr:rowOff>
    </xdr:to>
    <xdr:sp macro="" textlink="Z2">
      <xdr:nvSpPr>
        <xdr:cNvPr id="9" name="Rectangle 8">
          <a:extLst>
            <a:ext uri="{FF2B5EF4-FFF2-40B4-BE49-F238E27FC236}">
              <a16:creationId xmlns:a16="http://schemas.microsoft.com/office/drawing/2014/main" id="{499D1A92-D331-45A4-BBB3-A8A112685E37}"/>
            </a:ext>
          </a:extLst>
        </xdr:cNvPr>
        <xdr:cNvSpPr/>
      </xdr:nvSpPr>
      <xdr:spPr>
        <a:xfrm>
          <a:off x="3362325" y="1409700"/>
          <a:ext cx="1971675" cy="333375"/>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392DC820-4684-4472-AB32-D371A9C9ACF2}" type="TxLink">
            <a:rPr lang="en-US" sz="2400" b="1" i="0" u="none" strike="noStrike">
              <a:solidFill>
                <a:srgbClr val="000000"/>
              </a:solidFill>
              <a:latin typeface="Calibri"/>
              <a:cs typeface="Calibri"/>
            </a:rPr>
            <a:pPr algn="ctr"/>
            <a:t>12</a:t>
          </a:fld>
          <a:endParaRPr lang="en-IN" sz="2400" b="1"/>
        </a:p>
      </xdr:txBody>
    </xdr:sp>
    <xdr:clientData/>
  </xdr:twoCellAnchor>
  <xdr:twoCellAnchor>
    <xdr:from>
      <xdr:col>7</xdr:col>
      <xdr:colOff>485775</xdr:colOff>
      <xdr:row>3</xdr:row>
      <xdr:rowOff>200025</xdr:rowOff>
    </xdr:from>
    <xdr:to>
      <xdr:col>9</xdr:col>
      <xdr:colOff>704850</xdr:colOff>
      <xdr:row>4</xdr:row>
      <xdr:rowOff>228600</xdr:rowOff>
    </xdr:to>
    <xdr:sp macro="" textlink="">
      <xdr:nvSpPr>
        <xdr:cNvPr id="10" name="Rectangle 9">
          <a:extLst>
            <a:ext uri="{FF2B5EF4-FFF2-40B4-BE49-F238E27FC236}">
              <a16:creationId xmlns:a16="http://schemas.microsoft.com/office/drawing/2014/main" id="{6DCB62C6-6814-4526-83B1-C7C4897D10A0}"/>
            </a:ext>
          </a:extLst>
        </xdr:cNvPr>
        <xdr:cNvSpPr/>
      </xdr:nvSpPr>
      <xdr:spPr>
        <a:xfrm>
          <a:off x="6419850" y="1028700"/>
          <a:ext cx="1914525" cy="304800"/>
        </a:xfrm>
        <a:prstGeom prst="rect">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a:t>TOTAL QUANTITY</a:t>
          </a:r>
        </a:p>
      </xdr:txBody>
    </xdr:sp>
    <xdr:clientData/>
  </xdr:twoCellAnchor>
  <xdr:twoCellAnchor>
    <xdr:from>
      <xdr:col>7</xdr:col>
      <xdr:colOff>495300</xdr:colOff>
      <xdr:row>5</xdr:row>
      <xdr:rowOff>38100</xdr:rowOff>
    </xdr:from>
    <xdr:to>
      <xdr:col>9</xdr:col>
      <xdr:colOff>771525</xdr:colOff>
      <xdr:row>6</xdr:row>
      <xdr:rowOff>95250</xdr:rowOff>
    </xdr:to>
    <xdr:sp macro="" textlink="Z3">
      <xdr:nvSpPr>
        <xdr:cNvPr id="11" name="Rectangle 10">
          <a:extLst>
            <a:ext uri="{FF2B5EF4-FFF2-40B4-BE49-F238E27FC236}">
              <a16:creationId xmlns:a16="http://schemas.microsoft.com/office/drawing/2014/main" id="{828EAFB8-207B-4759-ADB0-937FAAC30E83}"/>
            </a:ext>
          </a:extLst>
        </xdr:cNvPr>
        <xdr:cNvSpPr/>
      </xdr:nvSpPr>
      <xdr:spPr>
        <a:xfrm>
          <a:off x="6429375" y="1419225"/>
          <a:ext cx="1971675" cy="333375"/>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9A30169-B5E8-46A0-B187-DFD0CA4570A0}" type="TxLink">
            <a:rPr lang="en-US" sz="2400" b="1" i="0" u="none" strike="noStrike">
              <a:solidFill>
                <a:srgbClr val="000000"/>
              </a:solidFill>
              <a:latin typeface="Calibri"/>
              <a:cs typeface="Calibri"/>
            </a:rPr>
            <a:pPr algn="ctr"/>
            <a:t>42</a:t>
          </a:fld>
          <a:endParaRPr lang="en-IN" sz="2400" b="1"/>
        </a:p>
      </xdr:txBody>
    </xdr:sp>
    <xdr:clientData/>
  </xdr:twoCellAnchor>
  <xdr:twoCellAnchor>
    <xdr:from>
      <xdr:col>10</xdr:col>
      <xdr:colOff>638174</xdr:colOff>
      <xdr:row>3</xdr:row>
      <xdr:rowOff>161925</xdr:rowOff>
    </xdr:from>
    <xdr:to>
      <xdr:col>13</xdr:col>
      <xdr:colOff>571500</xdr:colOff>
      <xdr:row>4</xdr:row>
      <xdr:rowOff>190500</xdr:rowOff>
    </xdr:to>
    <xdr:sp macro="" textlink="">
      <xdr:nvSpPr>
        <xdr:cNvPr id="12" name="Rectangle 11">
          <a:extLst>
            <a:ext uri="{FF2B5EF4-FFF2-40B4-BE49-F238E27FC236}">
              <a16:creationId xmlns:a16="http://schemas.microsoft.com/office/drawing/2014/main" id="{D4C370E8-ED76-4240-9CCC-DE861CFFA674}"/>
            </a:ext>
          </a:extLst>
        </xdr:cNvPr>
        <xdr:cNvSpPr/>
      </xdr:nvSpPr>
      <xdr:spPr>
        <a:xfrm>
          <a:off x="9115424" y="990600"/>
          <a:ext cx="2476501" cy="304800"/>
        </a:xfrm>
        <a:prstGeom prst="rect">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a:t>AVERAGE</a:t>
          </a:r>
          <a:r>
            <a:rPr lang="en-IN" sz="1800" baseline="0"/>
            <a:t> ORDER VALUE</a:t>
          </a:r>
          <a:endParaRPr lang="en-IN" sz="1800"/>
        </a:p>
      </xdr:txBody>
    </xdr:sp>
    <xdr:clientData/>
  </xdr:twoCellAnchor>
  <xdr:twoCellAnchor>
    <xdr:from>
      <xdr:col>10</xdr:col>
      <xdr:colOff>638175</xdr:colOff>
      <xdr:row>4</xdr:row>
      <xdr:rowOff>238125</xdr:rowOff>
    </xdr:from>
    <xdr:to>
      <xdr:col>13</xdr:col>
      <xdr:colOff>590550</xdr:colOff>
      <xdr:row>6</xdr:row>
      <xdr:rowOff>66675</xdr:rowOff>
    </xdr:to>
    <xdr:sp macro="" textlink="AB2">
      <xdr:nvSpPr>
        <xdr:cNvPr id="13" name="Rectangle 12">
          <a:extLst>
            <a:ext uri="{FF2B5EF4-FFF2-40B4-BE49-F238E27FC236}">
              <a16:creationId xmlns:a16="http://schemas.microsoft.com/office/drawing/2014/main" id="{6F34FDE5-E160-4F2C-A06E-273E075DDCB1}"/>
            </a:ext>
          </a:extLst>
        </xdr:cNvPr>
        <xdr:cNvSpPr/>
      </xdr:nvSpPr>
      <xdr:spPr>
        <a:xfrm>
          <a:off x="9115425" y="1343025"/>
          <a:ext cx="2495550" cy="38100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A1BE375-59CF-4BC4-AC03-591D5CF8C8EA}" type="TxLink">
            <a:rPr lang="en-US" sz="2400" b="1" i="0" u="none" strike="noStrike">
              <a:solidFill>
                <a:srgbClr val="000000"/>
              </a:solidFill>
              <a:latin typeface="Calibri"/>
              <a:cs typeface="Calibri"/>
            </a:rPr>
            <a:pPr algn="ctr"/>
            <a:t>₹ 91,583.33</a:t>
          </a:fld>
          <a:endParaRPr lang="en-IN" sz="2400" b="1"/>
        </a:p>
      </xdr:txBody>
    </xdr:sp>
    <xdr:clientData/>
  </xdr:twoCellAnchor>
  <xdr:twoCellAnchor>
    <xdr:from>
      <xdr:col>0</xdr:col>
      <xdr:colOff>560615</xdr:colOff>
      <xdr:row>14</xdr:row>
      <xdr:rowOff>261257</xdr:rowOff>
    </xdr:from>
    <xdr:to>
      <xdr:col>6</xdr:col>
      <xdr:colOff>154265</xdr:colOff>
      <xdr:row>25</xdr:row>
      <xdr:rowOff>102782</xdr:rowOff>
    </xdr:to>
    <xdr:graphicFrame macro="">
      <xdr:nvGraphicFramePr>
        <xdr:cNvPr id="14" name="Chart 13">
          <a:extLst>
            <a:ext uri="{FF2B5EF4-FFF2-40B4-BE49-F238E27FC236}">
              <a16:creationId xmlns:a16="http://schemas.microsoft.com/office/drawing/2014/main" id="{22141256-B659-49ED-84F3-01E105BDB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217714</xdr:colOff>
      <xdr:row>14</xdr:row>
      <xdr:rowOff>261257</xdr:rowOff>
    </xdr:from>
    <xdr:to>
      <xdr:col>13</xdr:col>
      <xdr:colOff>659089</xdr:colOff>
      <xdr:row>25</xdr:row>
      <xdr:rowOff>102782</xdr:rowOff>
    </xdr:to>
    <xdr:graphicFrame macro="">
      <xdr:nvGraphicFramePr>
        <xdr:cNvPr id="15" name="Chart 14">
          <a:extLst>
            <a:ext uri="{FF2B5EF4-FFF2-40B4-BE49-F238E27FC236}">
              <a16:creationId xmlns:a16="http://schemas.microsoft.com/office/drawing/2014/main" id="{FF407BB7-62C0-4584-AFF1-4EBEF47AE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489857</xdr:colOff>
      <xdr:row>27</xdr:row>
      <xdr:rowOff>220436</xdr:rowOff>
    </xdr:from>
    <xdr:to>
      <xdr:col>6</xdr:col>
      <xdr:colOff>83507</xdr:colOff>
      <xdr:row>41</xdr:row>
      <xdr:rowOff>176261</xdr:rowOff>
    </xdr:to>
    <xdr:graphicFrame macro="">
      <xdr:nvGraphicFramePr>
        <xdr:cNvPr id="16" name="Chart 15">
          <a:extLst>
            <a:ext uri="{FF2B5EF4-FFF2-40B4-BE49-F238E27FC236}">
              <a16:creationId xmlns:a16="http://schemas.microsoft.com/office/drawing/2014/main" id="{4FD7A38C-C700-448F-A1DB-B36F9402E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95249</xdr:colOff>
      <xdr:row>27</xdr:row>
      <xdr:rowOff>220436</xdr:rowOff>
    </xdr:from>
    <xdr:to>
      <xdr:col>13</xdr:col>
      <xdr:colOff>536624</xdr:colOff>
      <xdr:row>41</xdr:row>
      <xdr:rowOff>176261</xdr:rowOff>
    </xdr:to>
    <xdr:graphicFrame macro="">
      <xdr:nvGraphicFramePr>
        <xdr:cNvPr id="17" name="Chart 16">
          <a:extLst>
            <a:ext uri="{FF2B5EF4-FFF2-40B4-BE49-F238E27FC236}">
              <a16:creationId xmlns:a16="http://schemas.microsoft.com/office/drawing/2014/main" id="{3C351FA5-531A-44EF-B248-FB1D8ABAC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239484</xdr:colOff>
      <xdr:row>8</xdr:row>
      <xdr:rowOff>95249</xdr:rowOff>
    </xdr:from>
    <xdr:to>
      <xdr:col>3</xdr:col>
      <xdr:colOff>439509</xdr:colOff>
      <xdr:row>13</xdr:row>
      <xdr:rowOff>85724</xdr:rowOff>
    </xdr:to>
    <mc:AlternateContent xmlns:mc="http://schemas.openxmlformats.org/markup-compatibility/2006" xmlns:a14="http://schemas.microsoft.com/office/drawing/2010/main">
      <mc:Choice Requires="a14">
        <xdr:graphicFrame macro="">
          <xdr:nvGraphicFramePr>
            <xdr:cNvPr id="18" name="Months 1">
              <a:extLst>
                <a:ext uri="{FF2B5EF4-FFF2-40B4-BE49-F238E27FC236}">
                  <a16:creationId xmlns:a16="http://schemas.microsoft.com/office/drawing/2014/main" id="{A76C6E52-02FE-44A2-AD91-076C5BFB2A6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39484" y="2305049"/>
              <a:ext cx="27432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200025</xdr:colOff>
      <xdr:row>0</xdr:row>
      <xdr:rowOff>54429</xdr:rowOff>
    </xdr:from>
    <xdr:to>
      <xdr:col>13</xdr:col>
      <xdr:colOff>639536</xdr:colOff>
      <xdr:row>2</xdr:row>
      <xdr:rowOff>95250</xdr:rowOff>
    </xdr:to>
    <xdr:sp macro="" textlink="">
      <xdr:nvSpPr>
        <xdr:cNvPr id="19" name="TextBox 18">
          <a:extLst>
            <a:ext uri="{FF2B5EF4-FFF2-40B4-BE49-F238E27FC236}">
              <a16:creationId xmlns:a16="http://schemas.microsoft.com/office/drawing/2014/main" id="{576CD0F0-4383-490A-A85F-6E22F28A09CD}"/>
            </a:ext>
          </a:extLst>
        </xdr:cNvPr>
        <xdr:cNvSpPr txBox="1"/>
      </xdr:nvSpPr>
      <xdr:spPr>
        <a:xfrm>
          <a:off x="200025" y="54429"/>
          <a:ext cx="11459936" cy="593271"/>
        </a:xfrm>
        <a:prstGeom prst="rect">
          <a:avLst/>
        </a:prstGeom>
        <a:solidFill>
          <a:srgbClr val="1F4E7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latin typeface="Bahnschrift Light" panose="020B0502040204020203" pitchFamily="34" charset="0"/>
            </a:rPr>
            <a:t>SALES DASHBOARD</a:t>
          </a:r>
        </a:p>
      </xdr:txBody>
    </xdr:sp>
    <xdr:clientData/>
  </xdr:twoCellAnchor>
  <xdr:twoCellAnchor editAs="oneCell">
    <xdr:from>
      <xdr:col>3</xdr:col>
      <xdr:colOff>721631</xdr:colOff>
      <xdr:row>8</xdr:row>
      <xdr:rowOff>104774</xdr:rowOff>
    </xdr:from>
    <xdr:to>
      <xdr:col>7</xdr:col>
      <xdr:colOff>73931</xdr:colOff>
      <xdr:row>13</xdr:row>
      <xdr:rowOff>95249</xdr:rowOff>
    </xdr:to>
    <mc:AlternateContent xmlns:mc="http://schemas.openxmlformats.org/markup-compatibility/2006" xmlns:a14="http://schemas.microsoft.com/office/drawing/2010/main">
      <mc:Choice Requires="a14">
        <xdr:graphicFrame macro="">
          <xdr:nvGraphicFramePr>
            <xdr:cNvPr id="20" name="Employee Name 1">
              <a:extLst>
                <a:ext uri="{FF2B5EF4-FFF2-40B4-BE49-F238E27FC236}">
                  <a16:creationId xmlns:a16="http://schemas.microsoft.com/office/drawing/2014/main" id="{DC0AF002-E1D6-4868-92EC-C9B326806B85}"/>
                </a:ext>
              </a:extLst>
            </xdr:cNvPr>
            <xdr:cNvGraphicFramePr/>
          </xdr:nvGraphicFramePr>
          <xdr:xfrm>
            <a:off x="0" y="0"/>
            <a:ext cx="0" cy="0"/>
          </xdr:xfrm>
          <a:graphic>
            <a:graphicData uri="http://schemas.microsoft.com/office/drawing/2010/slicer">
              <sle:slicer xmlns:sle="http://schemas.microsoft.com/office/drawing/2010/slicer" name="Employee Name 1"/>
            </a:graphicData>
          </a:graphic>
        </xdr:graphicFrame>
      </mc:Choice>
      <mc:Fallback xmlns="">
        <xdr:sp macro="" textlink="">
          <xdr:nvSpPr>
            <xdr:cNvPr id="0" name=""/>
            <xdr:cNvSpPr>
              <a:spLocks noTextEdit="1"/>
            </xdr:cNvSpPr>
          </xdr:nvSpPr>
          <xdr:spPr>
            <a:xfrm>
              <a:off x="3264806" y="2314574"/>
              <a:ext cx="27432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317953</xdr:colOff>
      <xdr:row>8</xdr:row>
      <xdr:rowOff>104774</xdr:rowOff>
    </xdr:from>
    <xdr:to>
      <xdr:col>10</xdr:col>
      <xdr:colOff>517978</xdr:colOff>
      <xdr:row>13</xdr:row>
      <xdr:rowOff>95249</xdr:rowOff>
    </xdr:to>
    <mc:AlternateContent xmlns:mc="http://schemas.openxmlformats.org/markup-compatibility/2006" xmlns:a14="http://schemas.microsoft.com/office/drawing/2010/main">
      <mc:Choice Requires="a14">
        <xdr:graphicFrame macro="">
          <xdr:nvGraphicFramePr>
            <xdr:cNvPr id="21" name="Product Name 1">
              <a:extLst>
                <a:ext uri="{FF2B5EF4-FFF2-40B4-BE49-F238E27FC236}">
                  <a16:creationId xmlns:a16="http://schemas.microsoft.com/office/drawing/2014/main" id="{164ADA80-327A-41C8-AD47-D312E1A82175}"/>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6252028" y="2314574"/>
              <a:ext cx="27432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742950</xdr:colOff>
      <xdr:row>8</xdr:row>
      <xdr:rowOff>104774</xdr:rowOff>
    </xdr:from>
    <xdr:to>
      <xdr:col>14</xdr:col>
      <xdr:colOff>95250</xdr:colOff>
      <xdr:row>13</xdr:row>
      <xdr:rowOff>95249</xdr:rowOff>
    </xdr:to>
    <mc:AlternateContent xmlns:mc="http://schemas.openxmlformats.org/markup-compatibility/2006" xmlns:a14="http://schemas.microsoft.com/office/drawing/2010/main">
      <mc:Choice Requires="a14">
        <xdr:graphicFrame macro="">
          <xdr:nvGraphicFramePr>
            <xdr:cNvPr id="22" name="State 1">
              <a:extLst>
                <a:ext uri="{FF2B5EF4-FFF2-40B4-BE49-F238E27FC236}">
                  <a16:creationId xmlns:a16="http://schemas.microsoft.com/office/drawing/2014/main" id="{D1D8F1D8-7542-496F-9B0A-99930749660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9220200" y="2314574"/>
              <a:ext cx="27432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228600</xdr:colOff>
      <xdr:row>5</xdr:row>
      <xdr:rowOff>28575</xdr:rowOff>
    </xdr:from>
    <xdr:to>
      <xdr:col>3</xdr:col>
      <xdr:colOff>123825</xdr:colOff>
      <xdr:row>6</xdr:row>
      <xdr:rowOff>104775</xdr:rowOff>
    </xdr:to>
    <xdr:sp macro="" textlink="Z1">
      <xdr:nvSpPr>
        <xdr:cNvPr id="23" name="Rectangle 22">
          <a:extLst>
            <a:ext uri="{FF2B5EF4-FFF2-40B4-BE49-F238E27FC236}">
              <a16:creationId xmlns:a16="http://schemas.microsoft.com/office/drawing/2014/main" id="{27D09939-52DD-42EA-85AC-91FFE56644B9}"/>
            </a:ext>
          </a:extLst>
        </xdr:cNvPr>
        <xdr:cNvSpPr/>
      </xdr:nvSpPr>
      <xdr:spPr>
        <a:xfrm>
          <a:off x="228600" y="1409700"/>
          <a:ext cx="2438400" cy="352425"/>
        </a:xfrm>
        <a:prstGeom prst="rect">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2C17539-B226-4139-9777-8130E7FB9A9D}" type="TxLink">
            <a:rPr lang="en-US" sz="2400" b="1" i="0" u="none" strike="noStrike">
              <a:solidFill>
                <a:srgbClr val="000000"/>
              </a:solidFill>
              <a:latin typeface="Calibri"/>
              <a:cs typeface="Calibri"/>
            </a:rPr>
            <a:pPr algn="ctr"/>
            <a:t>₹ 10,99,000.00</a:t>
          </a:fld>
          <a:endParaRPr lang="en-IN" sz="2400" b="1"/>
        </a:p>
      </xdr:txBody>
    </xdr:sp>
    <xdr:clientData/>
  </xdr:twoCellAnchor>
  <xdr:twoCellAnchor>
    <xdr:from>
      <xdr:col>0</xdr:col>
      <xdr:colOff>304800</xdr:colOff>
      <xdr:row>3</xdr:row>
      <xdr:rowOff>76200</xdr:rowOff>
    </xdr:from>
    <xdr:to>
      <xdr:col>3</xdr:col>
      <xdr:colOff>333375</xdr:colOff>
      <xdr:row>3</xdr:row>
      <xdr:rowOff>133350</xdr:rowOff>
    </xdr:to>
    <xdr:sp macro="" textlink="">
      <xdr:nvSpPr>
        <xdr:cNvPr id="26" name="Rectangle 25">
          <a:extLst>
            <a:ext uri="{FF2B5EF4-FFF2-40B4-BE49-F238E27FC236}">
              <a16:creationId xmlns:a16="http://schemas.microsoft.com/office/drawing/2014/main" id="{A233988D-63AA-44FD-8982-9A77136FA640}"/>
            </a:ext>
          </a:extLst>
        </xdr:cNvPr>
        <xdr:cNvSpPr/>
      </xdr:nvSpPr>
      <xdr:spPr>
        <a:xfrm>
          <a:off x="304800" y="904875"/>
          <a:ext cx="2571750" cy="571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704850</xdr:colOff>
      <xdr:row>3</xdr:row>
      <xdr:rowOff>76200</xdr:rowOff>
    </xdr:from>
    <xdr:to>
      <xdr:col>13</xdr:col>
      <xdr:colOff>733425</xdr:colOff>
      <xdr:row>3</xdr:row>
      <xdr:rowOff>133350</xdr:rowOff>
    </xdr:to>
    <xdr:sp macro="" textlink="">
      <xdr:nvSpPr>
        <xdr:cNvPr id="27" name="Rectangle 26">
          <a:extLst>
            <a:ext uri="{FF2B5EF4-FFF2-40B4-BE49-F238E27FC236}">
              <a16:creationId xmlns:a16="http://schemas.microsoft.com/office/drawing/2014/main" id="{22795EBA-963F-4E72-A003-6130928916EF}"/>
            </a:ext>
          </a:extLst>
        </xdr:cNvPr>
        <xdr:cNvSpPr/>
      </xdr:nvSpPr>
      <xdr:spPr>
        <a:xfrm>
          <a:off x="9182100" y="904875"/>
          <a:ext cx="2571750" cy="571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285750</xdr:colOff>
      <xdr:row>3</xdr:row>
      <xdr:rowOff>76200</xdr:rowOff>
    </xdr:from>
    <xdr:to>
      <xdr:col>10</xdr:col>
      <xdr:colOff>314325</xdr:colOff>
      <xdr:row>3</xdr:row>
      <xdr:rowOff>133350</xdr:rowOff>
    </xdr:to>
    <xdr:sp macro="" textlink="">
      <xdr:nvSpPr>
        <xdr:cNvPr id="28" name="Rectangle 27">
          <a:extLst>
            <a:ext uri="{FF2B5EF4-FFF2-40B4-BE49-F238E27FC236}">
              <a16:creationId xmlns:a16="http://schemas.microsoft.com/office/drawing/2014/main" id="{14A21156-B366-4227-A6C4-7BB867C6F907}"/>
            </a:ext>
          </a:extLst>
        </xdr:cNvPr>
        <xdr:cNvSpPr/>
      </xdr:nvSpPr>
      <xdr:spPr>
        <a:xfrm>
          <a:off x="6219825" y="904875"/>
          <a:ext cx="2571750" cy="571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733425</xdr:colOff>
      <xdr:row>3</xdr:row>
      <xdr:rowOff>76200</xdr:rowOff>
    </xdr:from>
    <xdr:to>
      <xdr:col>6</xdr:col>
      <xdr:colOff>762000</xdr:colOff>
      <xdr:row>3</xdr:row>
      <xdr:rowOff>133350</xdr:rowOff>
    </xdr:to>
    <xdr:sp macro="" textlink="">
      <xdr:nvSpPr>
        <xdr:cNvPr id="29" name="Rectangle 28">
          <a:extLst>
            <a:ext uri="{FF2B5EF4-FFF2-40B4-BE49-F238E27FC236}">
              <a16:creationId xmlns:a16="http://schemas.microsoft.com/office/drawing/2014/main" id="{F7E747B9-E5B6-4858-80AF-B261DC603AD4}"/>
            </a:ext>
          </a:extLst>
        </xdr:cNvPr>
        <xdr:cNvSpPr/>
      </xdr:nvSpPr>
      <xdr:spPr>
        <a:xfrm>
          <a:off x="3276600" y="904875"/>
          <a:ext cx="2571750" cy="571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14287</xdr:colOff>
      <xdr:row>1</xdr:row>
      <xdr:rowOff>171450</xdr:rowOff>
    </xdr:from>
    <xdr:to>
      <xdr:col>14</xdr:col>
      <xdr:colOff>347662</xdr:colOff>
      <xdr:row>17</xdr:row>
      <xdr:rowOff>0</xdr:rowOff>
    </xdr:to>
    <xdr:graphicFrame macro="">
      <xdr:nvGraphicFramePr>
        <xdr:cNvPr id="2" name="Chart 1">
          <a:extLst>
            <a:ext uri="{FF2B5EF4-FFF2-40B4-BE49-F238E27FC236}">
              <a16:creationId xmlns:a16="http://schemas.microsoft.com/office/drawing/2014/main" id="{19832DF0-3E78-4820-888F-AC3A93AD7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619125</xdr:colOff>
      <xdr:row>2</xdr:row>
      <xdr:rowOff>0</xdr:rowOff>
    </xdr:from>
    <xdr:to>
      <xdr:col>17</xdr:col>
      <xdr:colOff>457200</xdr:colOff>
      <xdr:row>8</xdr:row>
      <xdr:rowOff>9525</xdr:rowOff>
    </xdr:to>
    <mc:AlternateContent xmlns:mc="http://schemas.openxmlformats.org/markup-compatibility/2006" xmlns:a14="http://schemas.microsoft.com/office/drawing/2010/main">
      <mc:Choice Requires="a14">
        <xdr:graphicFrame macro="">
          <xdr:nvGraphicFramePr>
            <xdr:cNvPr id="3" name="Months">
              <a:extLst>
                <a:ext uri="{FF2B5EF4-FFF2-40B4-BE49-F238E27FC236}">
                  <a16:creationId xmlns:a16="http://schemas.microsoft.com/office/drawing/2014/main" id="{B07C33DE-E5E3-4FBA-8233-BA93EDC4DF0B}"/>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8991600" y="381000"/>
              <a:ext cx="1828800" cy="1152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xdr:colOff>
      <xdr:row>9</xdr:row>
      <xdr:rowOff>28576</xdr:rowOff>
    </xdr:from>
    <xdr:to>
      <xdr:col>17</xdr:col>
      <xdr:colOff>485775</xdr:colOff>
      <xdr:row>14</xdr:row>
      <xdr:rowOff>9526</xdr:rowOff>
    </xdr:to>
    <mc:AlternateContent xmlns:mc="http://schemas.openxmlformats.org/markup-compatibility/2006" xmlns:a14="http://schemas.microsoft.com/office/drawing/2010/main">
      <mc:Choice Requires="a14">
        <xdr:graphicFrame macro="">
          <xdr:nvGraphicFramePr>
            <xdr:cNvPr id="4" name="Employee Name">
              <a:extLst>
                <a:ext uri="{FF2B5EF4-FFF2-40B4-BE49-F238E27FC236}">
                  <a16:creationId xmlns:a16="http://schemas.microsoft.com/office/drawing/2014/main" id="{C6E0B42E-23CC-46B4-89C3-F4014951F4E8}"/>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mlns="">
        <xdr:sp macro="" textlink="">
          <xdr:nvSpPr>
            <xdr:cNvPr id="0" name=""/>
            <xdr:cNvSpPr>
              <a:spLocks noTextEdit="1"/>
            </xdr:cNvSpPr>
          </xdr:nvSpPr>
          <xdr:spPr>
            <a:xfrm>
              <a:off x="9020175" y="1743076"/>
              <a:ext cx="1828800"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9525</xdr:colOff>
      <xdr:row>15</xdr:row>
      <xdr:rowOff>0</xdr:rowOff>
    </xdr:from>
    <xdr:to>
      <xdr:col>17</xdr:col>
      <xdr:colOff>476250</xdr:colOff>
      <xdr:row>20</xdr:row>
      <xdr:rowOff>9525</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83AD8850-E7DC-4BCD-8B39-428466AFDFC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010650" y="2857500"/>
              <a:ext cx="1828800" cy="96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85725</xdr:colOff>
      <xdr:row>4</xdr:row>
      <xdr:rowOff>33337</xdr:rowOff>
    </xdr:from>
    <xdr:to>
      <xdr:col>12</xdr:col>
      <xdr:colOff>390525</xdr:colOff>
      <xdr:row>18</xdr:row>
      <xdr:rowOff>109537</xdr:rowOff>
    </xdr:to>
    <xdr:graphicFrame macro="">
      <xdr:nvGraphicFramePr>
        <xdr:cNvPr id="2" name="Chart 1">
          <a:extLst>
            <a:ext uri="{FF2B5EF4-FFF2-40B4-BE49-F238E27FC236}">
              <a16:creationId xmlns:a16="http://schemas.microsoft.com/office/drawing/2014/main" id="{AD5840BA-2A5B-4F6E-A3DC-22C1C1E1A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604837</xdr:colOff>
      <xdr:row>3</xdr:row>
      <xdr:rowOff>9525</xdr:rowOff>
    </xdr:from>
    <xdr:to>
      <xdr:col>11</xdr:col>
      <xdr:colOff>0</xdr:colOff>
      <xdr:row>18</xdr:row>
      <xdr:rowOff>9525</xdr:rowOff>
    </xdr:to>
    <xdr:graphicFrame macro="">
      <xdr:nvGraphicFramePr>
        <xdr:cNvPr id="2" name="Chart 1">
          <a:extLst>
            <a:ext uri="{FF2B5EF4-FFF2-40B4-BE49-F238E27FC236}">
              <a16:creationId xmlns:a16="http://schemas.microsoft.com/office/drawing/2014/main" id="{FE5C04F7-FDEC-49EA-91BC-F4DEC2FDE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604837</xdr:colOff>
      <xdr:row>1</xdr:row>
      <xdr:rowOff>185737</xdr:rowOff>
    </xdr:from>
    <xdr:to>
      <xdr:col>12</xdr:col>
      <xdr:colOff>600075</xdr:colOff>
      <xdr:row>16</xdr:row>
      <xdr:rowOff>180975</xdr:rowOff>
    </xdr:to>
    <xdr:graphicFrame macro="">
      <xdr:nvGraphicFramePr>
        <xdr:cNvPr id="2" name="Chart 1">
          <a:extLst>
            <a:ext uri="{FF2B5EF4-FFF2-40B4-BE49-F238E27FC236}">
              <a16:creationId xmlns:a16="http://schemas.microsoft.com/office/drawing/2014/main" id="{FC27E34C-1A83-442B-A599-25BF81244B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19050</xdr:colOff>
      <xdr:row>1</xdr:row>
      <xdr:rowOff>180975</xdr:rowOff>
    </xdr:from>
    <xdr:to>
      <xdr:col>17</xdr:col>
      <xdr:colOff>19050</xdr:colOff>
      <xdr:row>15</xdr:row>
      <xdr:rowOff>38100</xdr:rowOff>
    </xdr:to>
    <mc:AlternateContent xmlns:mc="http://schemas.openxmlformats.org/markup-compatibility/2006" xmlns:a14="http://schemas.microsoft.com/office/drawing/2010/main">
      <mc:Choice Requires="a14">
        <xdr:graphicFrame macro="">
          <xdr:nvGraphicFramePr>
            <xdr:cNvPr id="3" name="Product Name">
              <a:extLst>
                <a:ext uri="{FF2B5EF4-FFF2-40B4-BE49-F238E27FC236}">
                  <a16:creationId xmlns:a16="http://schemas.microsoft.com/office/drawing/2014/main" id="{9A08A6A7-1524-46FA-AA4D-7CA9F30022DB}"/>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9201150" y="371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khichi" refreshedDate="46205.484771875002" createdVersion="6" refreshedVersion="6" minRefreshableVersion="3" recordCount="12" xr:uid="{2665DBF3-55ED-4F2A-A658-30B37BDD4CED}">
  <cacheSource type="worksheet">
    <worksheetSource name="tb1dashboard"/>
  </cacheSource>
  <cacheFields count="11">
    <cacheField name="Date" numFmtId="14">
      <sharedItems containsSemiMixedTypes="0" containsNonDate="0" containsDate="1" containsString="0" minDate="2025-01-08T07:00:20" maxDate="2025-03-28T03:11:31" count="12">
        <d v="2025-03-26T04:14:15"/>
        <d v="2025-03-28T03:11:31"/>
        <d v="2025-02-11T11:59:24"/>
        <d v="2025-01-10T09:25:34"/>
        <d v="2025-02-05T06:53:06"/>
        <d v="2025-02-22T20:54:14"/>
        <d v="2025-01-08T07:00:20"/>
        <d v="2025-01-09T18:22:20"/>
        <d v="2025-03-06T01:51:45"/>
        <d v="2025-01-10T22:24:28"/>
        <d v="2025-01-31T20:03:19"/>
        <d v="2025-03-20T00:08:06"/>
      </sharedItems>
      <fieldGroup par="10" base="0">
        <rangePr groupBy="days" startDate="2025-01-08T07:00:20" endDate="2025-03-28T03:11:31"/>
        <groupItems count="368">
          <s v="&lt;08-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03-2025"/>
        </groupItems>
      </fieldGroup>
    </cacheField>
    <cacheField name="Invoice ID" numFmtId="0">
      <sharedItems/>
    </cacheField>
    <cacheField name="Employee Name" numFmtId="0">
      <sharedItems count="16">
        <s v="Rahul"/>
        <s v="Aman"/>
        <s v="Rohit"/>
        <s v="Priya"/>
        <s v="Neha"/>
        <s v="Kavita"/>
        <s v="Arjun"/>
        <s v="SOHAN"/>
        <s v="E103" u="1"/>
        <s v="E102" u="1"/>
        <s v="E101" u="1"/>
        <s v="E108" u="1"/>
        <s v="E107" u="1"/>
        <s v="E106" u="1"/>
        <s v="E105" u="1"/>
        <s v="E104" u="1"/>
      </sharedItems>
    </cacheField>
    <cacheField name="Department" numFmtId="0">
      <sharedItems/>
    </cacheField>
    <cacheField name="Product Name" numFmtId="0">
      <sharedItems count="5">
        <s v="Laptop"/>
        <s v="Printer"/>
        <s v="Mobile"/>
        <s v="Tablet"/>
        <s v="Monitor"/>
      </sharedItems>
    </cacheField>
    <cacheField name="Price" numFmtId="0">
      <sharedItems containsSemiMixedTypes="0" containsString="0" containsNumber="1" containsInteger="1" minValue="12000" maxValue="55000"/>
    </cacheField>
    <cacheField name="Customer Name" numFmtId="0">
      <sharedItems/>
    </cacheField>
    <cacheField name="State" numFmtId="0">
      <sharedItems count="6">
        <s v="Delhi"/>
        <s v="Jaipur"/>
        <s v="Pune"/>
        <s v="Mumbai"/>
        <s v="Chennai"/>
        <s v="HR"/>
      </sharedItems>
    </cacheField>
    <cacheField name="Qty" numFmtId="0">
      <sharedItems containsSemiMixedTypes="0" containsString="0" containsNumber="1" containsInteger="1" minValue="1" maxValue="8"/>
    </cacheField>
    <cacheField name="Amount" numFmtId="0">
      <sharedItems containsSemiMixedTypes="0" containsString="0" containsNumber="1" containsInteger="1" minValue="12000" maxValue="275000"/>
    </cacheField>
    <cacheField name="Months" numFmtId="0" databaseField="0">
      <fieldGroup base="0">
        <rangePr groupBy="months" startDate="2025-01-08T07:00:20" endDate="2025-03-28T03:11:31"/>
        <groupItems count="14">
          <s v="&lt;08-01-2025"/>
          <s v="Jan"/>
          <s v="Feb"/>
          <s v="Mar"/>
          <s v="Apr"/>
          <s v="May"/>
          <s v="Jun"/>
          <s v="Jul"/>
          <s v="Aug"/>
          <s v="Sep"/>
          <s v="Oct"/>
          <s v="Nov"/>
          <s v="Dec"/>
          <s v="&gt;28-03-2025"/>
        </groupItems>
      </fieldGroup>
    </cacheField>
  </cacheFields>
  <extLst>
    <ext xmlns:x14="http://schemas.microsoft.com/office/spreadsheetml/2009/9/main" uri="{725AE2AE-9491-48be-B2B4-4EB974FC3084}">
      <x14:pivotCacheDefinition pivotCacheId="894256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s v="INV101"/>
    <x v="0"/>
    <s v="Sales"/>
    <x v="0"/>
    <n v="55000"/>
    <s v="ABC Traders"/>
    <x v="0"/>
    <n v="2"/>
    <n v="110000"/>
  </r>
  <r>
    <x v="1"/>
    <s v="INV102"/>
    <x v="1"/>
    <s v="Finance"/>
    <x v="1"/>
    <n v="12000"/>
    <s v="PQR Solutions"/>
    <x v="1"/>
    <n v="1"/>
    <n v="12000"/>
  </r>
  <r>
    <x v="2"/>
    <s v="INV103"/>
    <x v="2"/>
    <s v="Sales"/>
    <x v="2"/>
    <n v="18000"/>
    <s v="LMN Stores"/>
    <x v="2"/>
    <n v="4"/>
    <n v="72000"/>
  </r>
  <r>
    <x v="3"/>
    <s v="INV104"/>
    <x v="3"/>
    <s v="HR"/>
    <x v="3"/>
    <n v="25000"/>
    <s v="ABC Traders"/>
    <x v="0"/>
    <n v="3"/>
    <n v="75000"/>
  </r>
  <r>
    <x v="4"/>
    <s v="INV105"/>
    <x v="4"/>
    <s v="Marketing"/>
    <x v="4"/>
    <n v="15000"/>
    <s v="XYZ Enterprises"/>
    <x v="3"/>
    <n v="2"/>
    <n v="30000"/>
  </r>
  <r>
    <x v="5"/>
    <s v="INV106"/>
    <x v="5"/>
    <s v="Finance"/>
    <x v="0"/>
    <n v="55000"/>
    <s v="Bright Tech"/>
    <x v="4"/>
    <n v="5"/>
    <n v="275000"/>
  </r>
  <r>
    <x v="6"/>
    <s v="INV107"/>
    <x v="0"/>
    <s v="Sales"/>
    <x v="1"/>
    <n v="12000"/>
    <s v="XYZ Enterprises"/>
    <x v="3"/>
    <n v="1"/>
    <n v="12000"/>
  </r>
  <r>
    <x v="7"/>
    <s v="INV108"/>
    <x v="6"/>
    <s v="HR"/>
    <x v="2"/>
    <n v="18000"/>
    <s v="LMN Stores"/>
    <x v="2"/>
    <n v="6"/>
    <n v="108000"/>
  </r>
  <r>
    <x v="8"/>
    <s v="INV109"/>
    <x v="1"/>
    <s v="Finance"/>
    <x v="4"/>
    <n v="15000"/>
    <s v="PQR Solutions"/>
    <x v="1"/>
    <n v="2"/>
    <n v="30000"/>
  </r>
  <r>
    <x v="9"/>
    <s v="INV110"/>
    <x v="2"/>
    <s v="Sales"/>
    <x v="3"/>
    <n v="25000"/>
    <s v="Bright Tech"/>
    <x v="4"/>
    <n v="3"/>
    <n v="75000"/>
  </r>
  <r>
    <x v="10"/>
    <s v="INV111"/>
    <x v="5"/>
    <s v="Finance"/>
    <x v="1"/>
    <n v="12000"/>
    <s v="Electro Centre"/>
    <x v="5"/>
    <n v="5"/>
    <n v="60000"/>
  </r>
  <r>
    <x v="11"/>
    <s v="INV112"/>
    <x v="7"/>
    <s v="HR"/>
    <x v="0"/>
    <n v="30000"/>
    <s v="Tech Sol"/>
    <x v="0"/>
    <n v="8"/>
    <n v="24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26D029-3374-4A4D-8700-CE7F709A59E1}"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2" firstHeaderRow="1" firstDataRow="1" firstDataCol="1"/>
  <pivotFields count="11">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sortType="descending">
      <items count="17">
        <item m="1" x="10"/>
        <item m="1" x="9"/>
        <item m="1" x="8"/>
        <item m="1" x="15"/>
        <item m="1" x="14"/>
        <item m="1" x="13"/>
        <item m="1" x="12"/>
        <item m="1" x="11"/>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showAll="0">
      <items count="6">
        <item x="0"/>
        <item x="2"/>
        <item x="4"/>
        <item x="1"/>
        <item x="3"/>
        <item t="default"/>
      </items>
    </pivotField>
    <pivotField showAll="0"/>
    <pivotField showAll="0"/>
    <pivotField showAll="0">
      <items count="7">
        <item x="4"/>
        <item x="0"/>
        <item x="5"/>
        <item x="1"/>
        <item x="3"/>
        <item x="2"/>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v="13"/>
    </i>
    <i>
      <x v="15"/>
    </i>
    <i>
      <x v="10"/>
    </i>
    <i>
      <x v="8"/>
    </i>
    <i>
      <x v="14"/>
    </i>
    <i>
      <x v="11"/>
    </i>
    <i>
      <x v="9"/>
    </i>
    <i>
      <x v="12"/>
    </i>
    <i t="grand">
      <x/>
    </i>
  </rowItems>
  <colItems count="1">
    <i/>
  </colItems>
  <dataFields count="1">
    <dataField name="Sum of Amount" fld="9" baseField="0" baseItem="0"/>
  </dataFields>
  <chartFormats count="2">
    <chartFormat chart="0" format="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2918CE-1CD6-401E-8374-8C044B32FB77}"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2" firstHeaderRow="1" firstDataRow="1" firstDataCol="1"/>
  <pivotFields count="11">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axis="axisRow" showAll="0" sortType="descending">
      <items count="17">
        <item x="1"/>
        <item x="6"/>
        <item x="5"/>
        <item x="4"/>
        <item x="3"/>
        <item x="0"/>
        <item x="2"/>
        <item x="7"/>
        <item m="1" x="8"/>
        <item m="1" x="9"/>
        <item m="1" x="10"/>
        <item m="1" x="11"/>
        <item m="1" x="12"/>
        <item m="1" x="13"/>
        <item m="1" x="14"/>
        <item m="1" x="15"/>
        <item t="default"/>
      </items>
      <autoSortScope>
        <pivotArea dataOnly="0" outline="0" fieldPosition="0">
          <references count="1">
            <reference field="4294967294" count="1" selected="0">
              <x v="0"/>
            </reference>
          </references>
        </pivotArea>
      </autoSortScope>
    </pivotField>
    <pivotField showAll="0"/>
    <pivotField showAll="0">
      <items count="6">
        <item x="0"/>
        <item x="2"/>
        <item x="4"/>
        <item x="1"/>
        <item x="3"/>
        <item t="default"/>
      </items>
    </pivotField>
    <pivotField showAll="0"/>
    <pivotField showAll="0"/>
    <pivotField showAll="0">
      <items count="7">
        <item x="4"/>
        <item x="0"/>
        <item x="5"/>
        <item x="1"/>
        <item x="3"/>
        <item x="2"/>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9">
    <i>
      <x v="6"/>
    </i>
    <i>
      <x v="5"/>
    </i>
    <i>
      <x v="2"/>
    </i>
    <i>
      <x/>
    </i>
    <i>
      <x v="4"/>
    </i>
    <i>
      <x v="7"/>
    </i>
    <i>
      <x v="1"/>
    </i>
    <i>
      <x v="3"/>
    </i>
    <i t="grand">
      <x/>
    </i>
  </rowItems>
  <colItems count="1">
    <i/>
  </colItems>
  <dataFields count="1">
    <dataField name="Count of Invoice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407D71-CC37-4C28-BC66-FBAE7EC2BC37}"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1">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7">
        <item x="1"/>
        <item x="6"/>
        <item m="1" x="10"/>
        <item m="1" x="9"/>
        <item m="1" x="8"/>
        <item m="1" x="15"/>
        <item m="1" x="14"/>
        <item m="1" x="13"/>
        <item m="1" x="12"/>
        <item m="1" x="11"/>
        <item x="5"/>
        <item x="4"/>
        <item x="3"/>
        <item x="0"/>
        <item x="2"/>
        <item x="7"/>
        <item t="default"/>
      </items>
    </pivotField>
    <pivotField showAll="0"/>
    <pivotField showAll="0">
      <items count="6">
        <item x="0"/>
        <item x="2"/>
        <item x="4"/>
        <item x="1"/>
        <item x="3"/>
        <item t="default"/>
      </items>
    </pivotField>
    <pivotField showAll="0"/>
    <pivotField showAll="0"/>
    <pivotField showAll="0">
      <items count="7">
        <item x="4"/>
        <item x="0"/>
        <item x="5"/>
        <item x="1"/>
        <item x="3"/>
        <item x="2"/>
        <item t="default"/>
      </items>
    </pivotField>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0"/>
    <field x="0"/>
  </rowFields>
  <rowItems count="4">
    <i>
      <x v="1"/>
    </i>
    <i>
      <x v="2"/>
    </i>
    <i>
      <x v="3"/>
    </i>
    <i t="grand">
      <x/>
    </i>
  </rowItems>
  <colItems count="1">
    <i/>
  </colItems>
  <dataFields count="1">
    <dataField name="Sum of Amount"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5D2750-49A9-449D-B939-AA520D5644AF}"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1">
    <pivotField numFmtId="14" showAll="0"/>
    <pivotField showAll="0"/>
    <pivotField showAll="0">
      <items count="17">
        <item x="1"/>
        <item x="6"/>
        <item m="1" x="10"/>
        <item m="1" x="9"/>
        <item m="1" x="8"/>
        <item m="1" x="15"/>
        <item m="1" x="14"/>
        <item m="1" x="13"/>
        <item m="1" x="12"/>
        <item m="1" x="11"/>
        <item x="5"/>
        <item x="4"/>
        <item x="3"/>
        <item x="0"/>
        <item x="2"/>
        <item x="7"/>
        <item t="default"/>
      </items>
    </pivotField>
    <pivotField showAll="0"/>
    <pivotField axis="axisRow" showAll="0" sortType="descending">
      <items count="6">
        <item x="0"/>
        <item x="2"/>
        <item x="4"/>
        <item x="1"/>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0"/>
        <item x="5"/>
        <item x="1"/>
        <item x="3"/>
        <item x="2"/>
        <item t="default"/>
      </items>
    </pivotField>
    <pivotField showAll="0"/>
    <pivotField dataField="1" showAll="0"/>
    <pivotField showAll="0" defaultSubtotal="0">
      <items count="14">
        <item x="0"/>
        <item x="1"/>
        <item x="2"/>
        <item x="3"/>
        <item x="4"/>
        <item x="5"/>
        <item x="6"/>
        <item x="7"/>
        <item x="8"/>
        <item x="9"/>
        <item x="10"/>
        <item x="11"/>
        <item x="12"/>
        <item x="13"/>
      </items>
    </pivotField>
  </pivotFields>
  <rowFields count="1">
    <field x="4"/>
  </rowFields>
  <rowItems count="6">
    <i>
      <x/>
    </i>
    <i>
      <x v="1"/>
    </i>
    <i>
      <x v="4"/>
    </i>
    <i>
      <x v="3"/>
    </i>
    <i>
      <x v="2"/>
    </i>
    <i t="grand">
      <x/>
    </i>
  </rowItems>
  <colItems count="1">
    <i/>
  </colItems>
  <dataFields count="1">
    <dataField name="Sum of Amount"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BE26A5-BC01-4697-AF2F-A568E16F9E84}"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5:C6" firstHeaderRow="1" firstDataRow="1" firstDataCol="0"/>
  <pivotFields count="11">
    <pivotField numFmtId="14" showAll="0"/>
    <pivotField showAll="0"/>
    <pivotField showAll="0">
      <items count="17">
        <item x="1"/>
        <item x="6"/>
        <item m="1" x="10"/>
        <item m="1" x="9"/>
        <item m="1" x="8"/>
        <item m="1" x="15"/>
        <item m="1" x="14"/>
        <item m="1" x="13"/>
        <item m="1" x="12"/>
        <item m="1" x="11"/>
        <item x="5"/>
        <item x="4"/>
        <item x="3"/>
        <item x="0"/>
        <item x="2"/>
        <item x="7"/>
        <item t="default"/>
      </items>
    </pivotField>
    <pivotField showAll="0"/>
    <pivotField showAll="0">
      <items count="6">
        <item x="0"/>
        <item x="2"/>
        <item x="4"/>
        <item x="1"/>
        <item x="3"/>
        <item t="default"/>
      </items>
    </pivotField>
    <pivotField showAll="0"/>
    <pivotField showAll="0"/>
    <pivotField showAll="0">
      <items count="7">
        <item x="4"/>
        <item x="0"/>
        <item x="5"/>
        <item x="1"/>
        <item x="3"/>
        <item x="2"/>
        <item t="default"/>
      </items>
    </pivotField>
    <pivotField dataField="1" showAll="0"/>
    <pivotField showAll="0"/>
    <pivotField showAll="0" defaultSubtotal="0"/>
  </pivotFields>
  <rowItems count="1">
    <i/>
  </rowItems>
  <colItems count="1">
    <i/>
  </colItems>
  <dataFields count="1">
    <dataField name="Sum of Q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537AE5-95DA-4D94-A064-AE7061AF4995}"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3:F4" firstHeaderRow="1" firstDataRow="1" firstDataCol="0"/>
  <pivotFields count="11">
    <pivotField numFmtId="14" showAll="0"/>
    <pivotField dataField="1" showAll="0"/>
    <pivotField showAll="0">
      <items count="17">
        <item x="1"/>
        <item x="6"/>
        <item m="1" x="10"/>
        <item m="1" x="9"/>
        <item m="1" x="8"/>
        <item m="1" x="15"/>
        <item m="1" x="14"/>
        <item m="1" x="13"/>
        <item m="1" x="12"/>
        <item m="1" x="11"/>
        <item x="5"/>
        <item x="4"/>
        <item x="3"/>
        <item x="0"/>
        <item x="2"/>
        <item x="7"/>
        <item t="default"/>
      </items>
    </pivotField>
    <pivotField showAll="0"/>
    <pivotField showAll="0">
      <items count="6">
        <item x="0"/>
        <item x="2"/>
        <item x="4"/>
        <item x="1"/>
        <item x="3"/>
        <item t="default"/>
      </items>
    </pivotField>
    <pivotField showAll="0"/>
    <pivotField showAll="0"/>
    <pivotField showAll="0">
      <items count="7">
        <item x="4"/>
        <item x="0"/>
        <item x="5"/>
        <item x="1"/>
        <item x="3"/>
        <item x="2"/>
        <item t="default"/>
      </items>
    </pivotField>
    <pivotField showAll="0"/>
    <pivotField showAll="0"/>
    <pivotField showAll="0" defaultSubtotal="0"/>
  </pivotFields>
  <rowItems count="1">
    <i/>
  </rowItems>
  <colItems count="1">
    <i/>
  </colItems>
  <dataFields count="1">
    <dataField name="Count of Invoic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8633A9-ABB7-4633-8ECE-E94D4FD08E41}"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A2" firstHeaderRow="1" firstDataRow="1" firstDataCol="0"/>
  <pivotFields count="11">
    <pivotField numFmtId="14" showAll="0"/>
    <pivotField showAll="0"/>
    <pivotField showAll="0">
      <items count="17">
        <item x="1"/>
        <item x="6"/>
        <item m="1" x="10"/>
        <item m="1" x="9"/>
        <item m="1" x="8"/>
        <item m="1" x="15"/>
        <item m="1" x="14"/>
        <item m="1" x="13"/>
        <item m="1" x="12"/>
        <item m="1" x="11"/>
        <item x="5"/>
        <item x="4"/>
        <item x="3"/>
        <item x="0"/>
        <item x="2"/>
        <item x="7"/>
        <item t="default"/>
      </items>
    </pivotField>
    <pivotField showAll="0"/>
    <pivotField showAll="0">
      <items count="6">
        <item x="0"/>
        <item x="2"/>
        <item x="4"/>
        <item x="1"/>
        <item x="3"/>
        <item t="default"/>
      </items>
    </pivotField>
    <pivotField showAll="0"/>
    <pivotField showAll="0"/>
    <pivotField showAll="0">
      <items count="7">
        <item x="4"/>
        <item x="0"/>
        <item x="5"/>
        <item x="1"/>
        <item x="3"/>
        <item x="2"/>
        <item t="default"/>
      </items>
    </pivotField>
    <pivotField showAll="0"/>
    <pivotField dataField="1"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7A988833-470A-493D-9C5B-788B1C31EDA6}" sourceName="Months">
  <pivotTables>
    <pivotTable tabId="7" name="PivotTable1"/>
    <pivotTable tabId="10" name="PivotTable3"/>
    <pivotTable tabId="11" name="PivotTable4"/>
    <pivotTable tabId="12" name="PivotTable5"/>
    <pivotTable tabId="14" name="PivotTable1"/>
  </pivotTables>
  <data>
    <tabular pivotCacheId="894256843">
      <items count="14">
        <i x="1" s="1"/>
        <i x="2" s="1"/>
        <i x="3" s="1"/>
        <i x="4" s="1" nd="1"/>
        <i x="5" s="1" nd="1"/>
        <i x="6" s="1" nd="1"/>
        <i x="7" s="1" nd="1"/>
        <i x="8" s="1" nd="1"/>
        <i x="9" s="1" nd="1"/>
        <i x="10" s="1" nd="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EDFA36CD-877B-4873-B25E-8C0957C9C45A}" sourceName="Employee Name">
  <pivotTables>
    <pivotTable tabId="7" name="PivotTable1"/>
    <pivotTable tabId="10" name="PivotTable3"/>
    <pivotTable tabId="11" name="PivotTable4"/>
    <pivotTable tabId="12" name="PivotTable5"/>
    <pivotTable tabId="14" name="PivotTable1"/>
    <pivotTable tabId="14" name="PivotTable2"/>
    <pivotTable tabId="14" name="PivotTable3"/>
  </pivotTables>
  <data>
    <tabular pivotCacheId="894256843">
      <items count="16">
        <i x="1" s="1"/>
        <i x="6" s="1"/>
        <i x="5" s="1"/>
        <i x="4" s="1"/>
        <i x="3" s="1"/>
        <i x="0" s="1"/>
        <i x="2" s="1"/>
        <i x="7" s="1"/>
        <i x="10" s="1" nd="1"/>
        <i x="9" s="1" nd="1"/>
        <i x="8" s="1" nd="1"/>
        <i x="15" s="1" nd="1"/>
        <i x="14" s="1" nd="1"/>
        <i x="13" s="1" nd="1"/>
        <i x="12" s="1" nd="1"/>
        <i x="1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EFC7E3C9-525A-4604-B7F6-BC208A24893E}" sourceName="Product Name">
  <pivotTables>
    <pivotTable tabId="12" name="PivotTable5"/>
    <pivotTable tabId="10" name="PivotTable3"/>
    <pivotTable tabId="7" name="PivotTable1"/>
    <pivotTable tabId="11" name="PivotTable4"/>
    <pivotTable tabId="14" name="PivotTable1"/>
    <pivotTable tabId="14" name="PivotTable2"/>
    <pivotTable tabId="14" name="PivotTable3"/>
  </pivotTables>
  <data>
    <tabular pivotCacheId="894256843">
      <items count="5">
        <i x="0" s="1"/>
        <i x="2" s="1"/>
        <i x="4"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1E52032-B677-4C33-A563-56DCEABAABC1}" sourceName="State">
  <pivotTables>
    <pivotTable tabId="7" name="PivotTable1"/>
    <pivotTable tabId="10" name="PivotTable3"/>
    <pivotTable tabId="14" name="PivotTable1"/>
    <pivotTable tabId="14" name="PivotTable2"/>
    <pivotTable tabId="14" name="PivotTable3"/>
    <pivotTable tabId="11" name="PivotTable4"/>
    <pivotTable tabId="12" name="PivotTable5"/>
  </pivotTables>
  <data>
    <tabular pivotCacheId="894256843">
      <items count="6">
        <i x="4" s="1"/>
        <i x="0" s="1"/>
        <i x="5"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D951D7B5-AC34-4723-867C-5BB9C7678506}" cache="Slicer_Months" caption="Months" columnCount="4" rowHeight="241300"/>
  <slicer name="Employee Name 1" xr10:uid="{E4FFC384-B573-4922-A808-5FE5D54BCEA8}" cache="Slicer_Employee_Name" caption="Employee Name" rowHeight="241300"/>
  <slicer name="Product Name 1" xr10:uid="{22D4FB0D-126D-4B15-8025-2818BE2214B0}" cache="Slicer_Product_Name" caption="Product Name" rowHeight="241300"/>
  <slicer name="State 1" xr10:uid="{F9950FA4-7FAD-4A60-B90D-C61B6DBEAB0B}" cache="Slicer_State" caption="St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1993E80A-A4C7-4572-8619-C9F3DEDEA97E}" cache="Slicer_Months" caption="Months" rowHeight="241300"/>
  <slicer name="Employee Name" xr10:uid="{225C7EDB-C792-477D-8A0C-4AAEC98DA1C2}" cache="Slicer_Employee_Name" caption="Employee Name" rowHeight="241300"/>
  <slicer name="State" xr10:uid="{30B51080-6A3E-41C0-9B6F-5C6B23AB4D7B}" cache="Slicer_State" caption="Stat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E3F5E794-63A4-40B6-BA98-FC1DA80C3C5D}" cache="Slicer_Product_Name" caption="Product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45BC3E4-4C71-46A1-BE8F-5F4F33EB6EC6}" name="tb1sales" displayName="tb1sales" ref="A1:E13" totalsRowShown="0" headerRowDxfId="30" dataDxfId="29">
  <autoFilter ref="A1:E13" xr:uid="{9D83C444-802D-4018-BB31-BD642666AB3B}"/>
  <tableColumns count="5">
    <tableColumn id="1" xr3:uid="{8AFD2EDD-0F78-44C1-81F7-2F41542ECFB9}" name="Invoice ID" dataDxfId="28"/>
    <tableColumn id="2" xr3:uid="{2E4729C6-D708-4E80-A627-BA2767C132A3}" name="Emp ID" dataDxfId="27"/>
    <tableColumn id="3" xr3:uid="{4C2CC867-5293-41BA-BE63-5FE31276A8BD}" name="Product ID" dataDxfId="26"/>
    <tableColumn id="4" xr3:uid="{13BB3FF1-E56F-4DCD-853D-4BD0EC3F5A87}" name="Customer ID" dataDxfId="25"/>
    <tableColumn id="5" xr3:uid="{77CD18B2-1CAC-4D68-AB31-68D396776433}" name="Qty"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7C58C5-B709-49C6-BFA3-A1E3F6625932}" name="tb1employee" displayName="tb1employee" ref="A1:D9" totalsRowShown="0" headerRowDxfId="23" dataDxfId="22">
  <autoFilter ref="A1:D9" xr:uid="{3391C156-690A-4AA1-8A1D-A9FAF156411F}"/>
  <tableColumns count="4">
    <tableColumn id="1" xr3:uid="{6C55B578-A8FF-4EFA-84A6-8886F62210E3}" name="Emp ID" dataDxfId="21"/>
    <tableColumn id="2" xr3:uid="{50D83334-C699-47DE-9F3F-31244C8CC177}" name="Employee Name" dataDxfId="20"/>
    <tableColumn id="3" xr3:uid="{2538B7E4-DD9E-476D-8ED7-7606462A6CD9}" name="Department" dataDxfId="19"/>
    <tableColumn id="4" xr3:uid="{FDFA8807-8651-44DF-8FBD-570C3366BF62}" name="City"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212D5D-F9BD-423B-8C32-C2DB2EF95559}" name="tb1product" displayName="tb1product" ref="A1:C7" totalsRowShown="0" headerRowDxfId="17" dataDxfId="16">
  <autoFilter ref="A1:C7" xr:uid="{9C772037-537D-423D-929F-60C2D8C248D9}"/>
  <tableColumns count="3">
    <tableColumn id="1" xr3:uid="{6C7CC70B-14BC-43B4-8806-C9D46ACB60E9}" name="Product ID" dataDxfId="15"/>
    <tableColumn id="2" xr3:uid="{D2E4EC59-21AC-4BCA-B4BC-1DC63BA7529A}" name="Product Name" dataDxfId="14"/>
    <tableColumn id="3" xr3:uid="{2F704CC1-A021-4878-B522-35F1114AA9CC}" name="Price" dataDxf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0511AC-18C4-4686-9202-E8115B311D54}" name="tb1customer" displayName="tb1customer" ref="A1:C8" totalsRowShown="0" headerRowDxfId="12" dataDxfId="11">
  <autoFilter ref="A1:C8" xr:uid="{B7A6BFC5-8825-43EE-B1A6-836FACCFFDCF}"/>
  <tableColumns count="3">
    <tableColumn id="1" xr3:uid="{C32C8D9D-DB3D-45C5-9BD7-F06CF0694493}" name="Customer ID" dataDxfId="10"/>
    <tableColumn id="2" xr3:uid="{5EB8DD1B-C881-42B7-B314-0BF2C1963262}" name="Customer Name" dataDxfId="9"/>
    <tableColumn id="3" xr3:uid="{7BA539D8-A9C3-4E2C-B80B-3DBAE057C038}" name="State"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5468A4-9B71-45CA-A636-0EAA278D5FEB}" name="tb1dashboard" displayName="tb1dashboard" ref="A8:J20" totalsRowShown="0">
  <autoFilter ref="A8:J20" xr:uid="{18F93C86-BEFE-42EC-AD91-9789674E84A1}"/>
  <tableColumns count="10">
    <tableColumn id="10" xr3:uid="{72EFDDEC-A75A-44F7-897F-33D905E115F8}" name="Date" dataDxfId="7"/>
    <tableColumn id="1" xr3:uid="{D72FC426-B149-4341-AE40-C81487C17618}" name="Invoice ID" dataDxfId="6"/>
    <tableColumn id="2" xr3:uid="{0CBAA0D1-FFF2-456C-9A39-F9CE3A41EABC}" name="Employee Name" dataDxfId="5">
      <calculatedColumnFormula>VLOOKUP(VLOOKUP(tb1dashboard[[#This Row],[Invoice ID]],tb1sales[],2,0),tb1employee[],2,0)</calculatedColumnFormula>
    </tableColumn>
    <tableColumn id="3" xr3:uid="{C9CD4B80-43E6-4B09-9C79-881FB0B5FC9D}" name="Department" dataDxfId="4">
      <calculatedColumnFormula>VLOOKUP(VLOOKUP(tb1dashboard[[#This Row],[Invoice ID]],tb1sales[],2,0),tb1employee[],3,0)</calculatedColumnFormula>
    </tableColumn>
    <tableColumn id="4" xr3:uid="{ED5C9225-381F-4EB2-B2B3-18216A12C294}" name="Product Name" dataDxfId="3">
      <calculatedColumnFormula>VLOOKUP(VLOOKUP(tb1dashboard[[#This Row],[Invoice ID]],tb1sales[],3,0),tb1product[],2,0)</calculatedColumnFormula>
    </tableColumn>
    <tableColumn id="5" xr3:uid="{FC61D6AF-2E31-452D-80C4-AF0CBC903B8E}" name="Price" dataDxfId="2">
      <calculatedColumnFormula>VLOOKUP(VLOOKUP(tb1dashboard[[#This Row],[Invoice ID]],tb1sales[],3,0),tb1product[],3,0)</calculatedColumnFormula>
    </tableColumn>
    <tableColumn id="6" xr3:uid="{C0635553-5C3A-452C-B02C-0EFFC64D1673}" name="Customer Name" dataDxfId="1">
      <calculatedColumnFormula>VLOOKUP(VLOOKUP(tb1dashboard[[#This Row],[Invoice ID]],tb1sales[],4,0),tb1customer[],2,0)</calculatedColumnFormula>
    </tableColumn>
    <tableColumn id="7" xr3:uid="{F800AA54-803A-4E65-9147-B729E3C8FF92}" name="State" dataDxfId="0">
      <calculatedColumnFormula>VLOOKUP(VLOOKUP(tb1dashboard[[#This Row],[Invoice ID]],tb1sales[],4,0),tb1customer[],3,0)</calculatedColumnFormula>
    </tableColumn>
    <tableColumn id="8" xr3:uid="{0F09866E-56E8-4F4E-91ED-47DA168BE9C2}" name="Qty">
      <calculatedColumnFormula>VLOOKUP(tb1dashboard[[#This Row],[Invoice ID]],tb1sales[],5,0)</calculatedColumnFormula>
    </tableColumn>
    <tableColumn id="9" xr3:uid="{DC857996-D783-41F2-AD74-2D00B70242DA}" name="Amount">
      <calculatedColumnFormula>F9*I9</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D22C1-D845-4ACE-9EBC-D5D8DBE1B50D}">
  <dimension ref="Z1:AB30"/>
  <sheetViews>
    <sheetView showGridLines="0" tabSelected="1" zoomScaleNormal="100" workbookViewId="0">
      <selection activeCell="P3" sqref="P3"/>
    </sheetView>
  </sheetViews>
  <sheetFormatPr defaultRowHeight="15"/>
  <cols>
    <col min="1" max="14" width="12.7109375" customWidth="1"/>
    <col min="26" max="26" width="15.140625" bestFit="1" customWidth="1"/>
    <col min="28" max="28" width="12" bestFit="1" customWidth="1"/>
  </cols>
  <sheetData>
    <row r="1" spans="26:28" ht="21.95" customHeight="1">
      <c r="Z1" s="7">
        <f>GETPIVOTDATA("Amount",'Pivot sheet for KPI'!$A$1)</f>
        <v>1099000</v>
      </c>
    </row>
    <row r="2" spans="26:28" ht="21.95" customHeight="1">
      <c r="Z2">
        <f>GETPIVOTDATA("Invoice ID",'Pivot sheet for KPI'!$F$3)</f>
        <v>12</v>
      </c>
      <c r="AB2" s="7">
        <f>IFERROR(Z1/Z2,0)</f>
        <v>91583.333333333328</v>
      </c>
    </row>
    <row r="3" spans="26:28" ht="21.95" customHeight="1">
      <c r="Z3">
        <f>GETPIVOTDATA("Qty",'Pivot sheet for KPI'!$C$5)</f>
        <v>42</v>
      </c>
    </row>
    <row r="4" spans="26:28" ht="21.95" customHeight="1"/>
    <row r="5" spans="26:28" ht="21.95" customHeight="1"/>
    <row r="6" spans="26:28" ht="21.95" customHeight="1"/>
    <row r="7" spans="26:28" ht="21.95" customHeight="1"/>
    <row r="8" spans="26:28" ht="21.95" customHeight="1"/>
    <row r="9" spans="26:28" ht="21.95" customHeight="1"/>
    <row r="10" spans="26:28" ht="21.95" customHeight="1"/>
    <row r="11" spans="26:28" ht="21.95" customHeight="1"/>
    <row r="12" spans="26:28" ht="21.95" customHeight="1"/>
    <row r="13" spans="26:28" ht="21.95" customHeight="1"/>
    <row r="14" spans="26:28" ht="21.95" customHeight="1"/>
    <row r="15" spans="26:28" ht="21.95" customHeight="1"/>
    <row r="16" spans="26:28" ht="21.95" customHeight="1"/>
    <row r="17" ht="21.95" customHeight="1"/>
    <row r="18" ht="21.95" customHeight="1"/>
    <row r="19" ht="21.95" customHeight="1"/>
    <row r="20" ht="21.95" customHeight="1"/>
    <row r="21" ht="21.95" customHeight="1"/>
    <row r="22" ht="21.95" customHeight="1"/>
    <row r="23" ht="21.95" customHeight="1"/>
    <row r="24" ht="21.95" customHeight="1"/>
    <row r="25" ht="21.95" customHeight="1"/>
    <row r="26" ht="21.95" customHeight="1"/>
    <row r="27" ht="21.95" customHeight="1"/>
    <row r="28" ht="21.95" customHeight="1"/>
    <row r="29" ht="21.95" customHeight="1"/>
    <row r="30" ht="21.95" customHeight="1"/>
  </sheetData>
  <sheetProtection sheet="1" scenarios="1" selectLockedCell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5116E-9204-4772-A375-4F9CD6C4A9B9}">
  <dimension ref="A1:E13"/>
  <sheetViews>
    <sheetView workbookViewId="0">
      <selection activeCell="E14" sqref="E14"/>
    </sheetView>
  </sheetViews>
  <sheetFormatPr defaultRowHeight="15"/>
  <cols>
    <col min="1" max="1" width="13.28515625" customWidth="1"/>
    <col min="2" max="2" width="10.28515625" customWidth="1"/>
    <col min="3" max="3" width="13.85546875" customWidth="1"/>
    <col min="4" max="4" width="15.7109375" customWidth="1"/>
  </cols>
  <sheetData>
    <row r="1" spans="1:5">
      <c r="A1" s="1" t="s">
        <v>0</v>
      </c>
      <c r="B1" s="1" t="s">
        <v>1</v>
      </c>
      <c r="C1" s="1" t="s">
        <v>2</v>
      </c>
      <c r="D1" s="1" t="s">
        <v>3</v>
      </c>
      <c r="E1" s="1" t="s">
        <v>4</v>
      </c>
    </row>
    <row r="2" spans="1:5">
      <c r="A2" s="2" t="s">
        <v>5</v>
      </c>
      <c r="B2" s="2" t="s">
        <v>6</v>
      </c>
      <c r="C2" s="2" t="s">
        <v>7</v>
      </c>
      <c r="D2" s="2" t="s">
        <v>8</v>
      </c>
      <c r="E2" s="2">
        <v>2</v>
      </c>
    </row>
    <row r="3" spans="1:5">
      <c r="A3" s="2" t="s">
        <v>9</v>
      </c>
      <c r="B3" s="2" t="s">
        <v>10</v>
      </c>
      <c r="C3" s="2" t="s">
        <v>11</v>
      </c>
      <c r="D3" s="2" t="s">
        <v>12</v>
      </c>
      <c r="E3" s="2">
        <v>1</v>
      </c>
    </row>
    <row r="4" spans="1:5">
      <c r="A4" s="2" t="s">
        <v>13</v>
      </c>
      <c r="B4" s="2" t="s">
        <v>14</v>
      </c>
      <c r="C4" s="2" t="s">
        <v>15</v>
      </c>
      <c r="D4" s="2" t="s">
        <v>16</v>
      </c>
      <c r="E4" s="2">
        <v>4</v>
      </c>
    </row>
    <row r="5" spans="1:5">
      <c r="A5" s="2" t="s">
        <v>17</v>
      </c>
      <c r="B5" s="2" t="s">
        <v>18</v>
      </c>
      <c r="C5" s="2" t="s">
        <v>19</v>
      </c>
      <c r="D5" s="2" t="s">
        <v>8</v>
      </c>
      <c r="E5" s="2">
        <v>3</v>
      </c>
    </row>
    <row r="6" spans="1:5">
      <c r="A6" s="2" t="s">
        <v>20</v>
      </c>
      <c r="B6" s="2" t="s">
        <v>21</v>
      </c>
      <c r="C6" s="2" t="s">
        <v>22</v>
      </c>
      <c r="D6" s="2" t="s">
        <v>23</v>
      </c>
      <c r="E6" s="2">
        <v>2</v>
      </c>
    </row>
    <row r="7" spans="1:5">
      <c r="A7" s="2" t="s">
        <v>24</v>
      </c>
      <c r="B7" s="2" t="s">
        <v>25</v>
      </c>
      <c r="C7" s="2" t="s">
        <v>7</v>
      </c>
      <c r="D7" s="2" t="s">
        <v>26</v>
      </c>
      <c r="E7" s="2">
        <v>5</v>
      </c>
    </row>
    <row r="8" spans="1:5">
      <c r="A8" s="2" t="s">
        <v>27</v>
      </c>
      <c r="B8" s="2" t="s">
        <v>6</v>
      </c>
      <c r="C8" s="2" t="s">
        <v>11</v>
      </c>
      <c r="D8" s="2" t="s">
        <v>23</v>
      </c>
      <c r="E8" s="2">
        <v>1</v>
      </c>
    </row>
    <row r="9" spans="1:5">
      <c r="A9" s="2" t="s">
        <v>28</v>
      </c>
      <c r="B9" s="2" t="s">
        <v>29</v>
      </c>
      <c r="C9" s="2" t="s">
        <v>15</v>
      </c>
      <c r="D9" s="2" t="s">
        <v>16</v>
      </c>
      <c r="E9" s="2">
        <v>6</v>
      </c>
    </row>
    <row r="10" spans="1:5">
      <c r="A10" s="2" t="s">
        <v>30</v>
      </c>
      <c r="B10" s="2" t="s">
        <v>10</v>
      </c>
      <c r="C10" s="2" t="s">
        <v>22</v>
      </c>
      <c r="D10" s="2" t="s">
        <v>12</v>
      </c>
      <c r="E10" s="2">
        <v>2</v>
      </c>
    </row>
    <row r="11" spans="1:5">
      <c r="A11" s="2" t="s">
        <v>31</v>
      </c>
      <c r="B11" s="2" t="s">
        <v>14</v>
      </c>
      <c r="C11" s="2" t="s">
        <v>19</v>
      </c>
      <c r="D11" s="2" t="s">
        <v>26</v>
      </c>
      <c r="E11" s="2">
        <v>3</v>
      </c>
    </row>
    <row r="12" spans="1:5">
      <c r="A12" s="2" t="s">
        <v>71</v>
      </c>
      <c r="B12" s="2" t="s">
        <v>25</v>
      </c>
      <c r="C12" s="2" t="s">
        <v>11</v>
      </c>
      <c r="D12" s="2" t="s">
        <v>73</v>
      </c>
      <c r="E12" s="2">
        <v>5</v>
      </c>
    </row>
    <row r="13" spans="1:5">
      <c r="A13" s="2" t="s">
        <v>78</v>
      </c>
      <c r="B13" s="2" t="s">
        <v>74</v>
      </c>
      <c r="C13" s="2" t="s">
        <v>76</v>
      </c>
      <c r="D13" s="2" t="s">
        <v>79</v>
      </c>
      <c r="E13" s="2">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4D882-0F2D-452C-B225-FE70244D9118}">
  <dimension ref="A1:D9"/>
  <sheetViews>
    <sheetView workbookViewId="0">
      <selection activeCell="A7" sqref="A7"/>
    </sheetView>
  </sheetViews>
  <sheetFormatPr defaultRowHeight="15"/>
  <cols>
    <col min="1" max="1" width="10.28515625" customWidth="1"/>
    <col min="2" max="2" width="19.28515625" customWidth="1"/>
    <col min="3" max="3" width="15" customWidth="1"/>
  </cols>
  <sheetData>
    <row r="1" spans="1:4">
      <c r="A1" s="1" t="s">
        <v>1</v>
      </c>
      <c r="B1" s="1" t="s">
        <v>32</v>
      </c>
      <c r="C1" s="1" t="s">
        <v>33</v>
      </c>
      <c r="D1" s="1" t="s">
        <v>34</v>
      </c>
    </row>
    <row r="2" spans="1:4">
      <c r="A2" s="2" t="s">
        <v>6</v>
      </c>
      <c r="B2" s="2" t="s">
        <v>35</v>
      </c>
      <c r="C2" s="2" t="s">
        <v>36</v>
      </c>
      <c r="D2" s="2" t="s">
        <v>37</v>
      </c>
    </row>
    <row r="3" spans="1:4">
      <c r="A3" s="2" t="s">
        <v>18</v>
      </c>
      <c r="B3" s="2" t="s">
        <v>38</v>
      </c>
      <c r="C3" s="2" t="s">
        <v>39</v>
      </c>
      <c r="D3" s="2" t="s">
        <v>40</v>
      </c>
    </row>
    <row r="4" spans="1:4">
      <c r="A4" s="2" t="s">
        <v>10</v>
      </c>
      <c r="B4" s="2" t="s">
        <v>41</v>
      </c>
      <c r="C4" s="2" t="s">
        <v>42</v>
      </c>
      <c r="D4" s="2" t="s">
        <v>43</v>
      </c>
    </row>
    <row r="5" spans="1:4">
      <c r="A5" s="2" t="s">
        <v>21</v>
      </c>
      <c r="B5" s="2" t="s">
        <v>44</v>
      </c>
      <c r="C5" s="2" t="s">
        <v>45</v>
      </c>
      <c r="D5" s="2" t="s">
        <v>46</v>
      </c>
    </row>
    <row r="6" spans="1:4">
      <c r="A6" s="2" t="s">
        <v>14</v>
      </c>
      <c r="B6" s="2" t="s">
        <v>47</v>
      </c>
      <c r="C6" s="2" t="s">
        <v>36</v>
      </c>
      <c r="D6" s="2" t="s">
        <v>48</v>
      </c>
    </row>
    <row r="7" spans="1:4">
      <c r="A7" s="2" t="s">
        <v>25</v>
      </c>
      <c r="B7" s="2" t="s">
        <v>49</v>
      </c>
      <c r="C7" s="2" t="s">
        <v>42</v>
      </c>
      <c r="D7" s="2" t="s">
        <v>37</v>
      </c>
    </row>
    <row r="8" spans="1:4">
      <c r="A8" s="2" t="s">
        <v>29</v>
      </c>
      <c r="B8" s="2" t="s">
        <v>50</v>
      </c>
      <c r="C8" s="2" t="s">
        <v>39</v>
      </c>
      <c r="D8" s="2" t="s">
        <v>40</v>
      </c>
    </row>
    <row r="9" spans="1:4">
      <c r="A9" s="2" t="s">
        <v>74</v>
      </c>
      <c r="B9" s="2" t="s">
        <v>72</v>
      </c>
      <c r="C9" s="2" t="s">
        <v>39</v>
      </c>
      <c r="D9" s="2" t="s">
        <v>75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B26BF-A838-4697-A50C-7ED71759F139}">
  <dimension ref="A1:C7"/>
  <sheetViews>
    <sheetView workbookViewId="0">
      <selection activeCell="C23" sqref="C23"/>
    </sheetView>
  </sheetViews>
  <sheetFormatPr defaultRowHeight="15"/>
  <cols>
    <col min="1" max="1" width="13.85546875" customWidth="1"/>
    <col min="2" max="2" width="17.42578125" customWidth="1"/>
  </cols>
  <sheetData>
    <row r="1" spans="1:3">
      <c r="A1" s="1" t="s">
        <v>2</v>
      </c>
      <c r="B1" s="1" t="s">
        <v>51</v>
      </c>
      <c r="C1" s="1" t="s">
        <v>52</v>
      </c>
    </row>
    <row r="2" spans="1:3">
      <c r="A2" s="2" t="s">
        <v>7</v>
      </c>
      <c r="B2" s="2" t="s">
        <v>53</v>
      </c>
      <c r="C2" s="2">
        <v>55000</v>
      </c>
    </row>
    <row r="3" spans="1:3">
      <c r="A3" s="2" t="s">
        <v>15</v>
      </c>
      <c r="B3" s="2" t="s">
        <v>54</v>
      </c>
      <c r="C3" s="2">
        <v>18000</v>
      </c>
    </row>
    <row r="4" spans="1:3">
      <c r="A4" s="2" t="s">
        <v>19</v>
      </c>
      <c r="B4" s="2" t="s">
        <v>55</v>
      </c>
      <c r="C4" s="2">
        <v>25000</v>
      </c>
    </row>
    <row r="5" spans="1:3">
      <c r="A5" s="2" t="s">
        <v>11</v>
      </c>
      <c r="B5" s="2" t="s">
        <v>56</v>
      </c>
      <c r="C5" s="2">
        <v>12000</v>
      </c>
    </row>
    <row r="6" spans="1:3">
      <c r="A6" s="2" t="s">
        <v>22</v>
      </c>
      <c r="B6" s="2" t="s">
        <v>57</v>
      </c>
      <c r="C6" s="2">
        <v>15000</v>
      </c>
    </row>
    <row r="7" spans="1:3">
      <c r="A7" s="2" t="s">
        <v>76</v>
      </c>
      <c r="B7" s="2" t="s">
        <v>53</v>
      </c>
      <c r="C7" s="2">
        <v>30000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A47B5-1E01-4F49-8F6F-B515BD6818D6}">
  <dimension ref="A1:C8"/>
  <sheetViews>
    <sheetView workbookViewId="0">
      <selection activeCell="C9" sqref="C9"/>
    </sheetView>
  </sheetViews>
  <sheetFormatPr defaultRowHeight="15"/>
  <cols>
    <col min="1" max="1" width="15.7109375" customWidth="1"/>
    <col min="2" max="2" width="19.28515625" customWidth="1"/>
  </cols>
  <sheetData>
    <row r="1" spans="1:3">
      <c r="A1" s="1" t="s">
        <v>3</v>
      </c>
      <c r="B1" s="1" t="s">
        <v>58</v>
      </c>
      <c r="C1" s="1" t="s">
        <v>59</v>
      </c>
    </row>
    <row r="2" spans="1:3">
      <c r="A2" s="2" t="s">
        <v>8</v>
      </c>
      <c r="B2" s="2" t="s">
        <v>60</v>
      </c>
      <c r="C2" s="2" t="s">
        <v>37</v>
      </c>
    </row>
    <row r="3" spans="1:3">
      <c r="A3" s="2" t="s">
        <v>23</v>
      </c>
      <c r="B3" s="2" t="s">
        <v>61</v>
      </c>
      <c r="C3" s="2" t="s">
        <v>40</v>
      </c>
    </row>
    <row r="4" spans="1:3">
      <c r="A4" s="2" t="s">
        <v>12</v>
      </c>
      <c r="B4" s="2" t="s">
        <v>62</v>
      </c>
      <c r="C4" s="2" t="s">
        <v>43</v>
      </c>
    </row>
    <row r="5" spans="1:3">
      <c r="A5" s="2" t="s">
        <v>16</v>
      </c>
      <c r="B5" s="2" t="s">
        <v>63</v>
      </c>
      <c r="C5" s="2" t="s">
        <v>46</v>
      </c>
    </row>
    <row r="6" spans="1:3">
      <c r="A6" s="2" t="s">
        <v>26</v>
      </c>
      <c r="B6" s="2" t="s">
        <v>64</v>
      </c>
      <c r="C6" s="2" t="s">
        <v>48</v>
      </c>
    </row>
    <row r="7" spans="1:3">
      <c r="A7" s="2" t="s">
        <v>79</v>
      </c>
      <c r="B7" s="2" t="s">
        <v>77</v>
      </c>
      <c r="C7" s="2" t="s">
        <v>37</v>
      </c>
    </row>
    <row r="8" spans="1:3">
      <c r="A8" s="2" t="s">
        <v>73</v>
      </c>
      <c r="B8" s="2" t="s">
        <v>80</v>
      </c>
      <c r="C8" s="2" t="s">
        <v>39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1C7F-1994-470B-8472-BF141C830E7A}">
  <dimension ref="A1:L20"/>
  <sheetViews>
    <sheetView workbookViewId="0">
      <selection activeCell="M10" sqref="M10"/>
    </sheetView>
  </sheetViews>
  <sheetFormatPr defaultRowHeight="15"/>
  <cols>
    <col min="1" max="1" width="11.5703125" customWidth="1"/>
    <col min="2" max="2" width="13.28515625" customWidth="1"/>
    <col min="3" max="3" width="19.28515625" customWidth="1"/>
    <col min="4" max="4" width="15" customWidth="1"/>
    <col min="5" max="5" width="17.42578125" customWidth="1"/>
    <col min="6" max="6" width="8.42578125" customWidth="1"/>
    <col min="7" max="7" width="19.28515625" customWidth="1"/>
    <col min="8" max="8" width="10.140625" customWidth="1"/>
    <col min="9" max="9" width="20.7109375" customWidth="1"/>
    <col min="10" max="10" width="10.7109375" customWidth="1"/>
    <col min="12" max="12" width="10.42578125" bestFit="1" customWidth="1"/>
  </cols>
  <sheetData>
    <row r="1" spans="1:12" ht="27">
      <c r="B1" s="8" t="s">
        <v>66</v>
      </c>
      <c r="C1" s="9"/>
      <c r="D1" s="9"/>
      <c r="E1" s="9"/>
      <c r="F1" s="9"/>
      <c r="G1" s="9"/>
      <c r="H1" s="9"/>
      <c r="I1" s="9"/>
      <c r="J1" s="9"/>
    </row>
    <row r="3" spans="1:12" ht="15" customHeight="1">
      <c r="B3" s="10" t="s">
        <v>70</v>
      </c>
      <c r="C3" s="11"/>
      <c r="D3" s="14" t="s">
        <v>67</v>
      </c>
      <c r="E3" s="15"/>
      <c r="F3" s="18" t="s">
        <v>68</v>
      </c>
      <c r="G3" s="19"/>
      <c r="H3" s="14" t="s">
        <v>69</v>
      </c>
      <c r="I3" s="20"/>
    </row>
    <row r="4" spans="1:12" ht="15" customHeight="1">
      <c r="B4" s="12">
        <f>SUM(tb1dashboard[Amount])</f>
        <v>1099000</v>
      </c>
      <c r="C4" s="13"/>
      <c r="D4" s="16">
        <f>COUNTA(tb1sales[Invoice ID])</f>
        <v>12</v>
      </c>
      <c r="E4" s="17"/>
      <c r="F4" s="16">
        <f>SUM(tb1sales[Qty])</f>
        <v>42</v>
      </c>
      <c r="G4" s="17"/>
      <c r="H4" s="16">
        <f>B4/F4</f>
        <v>26166.666666666668</v>
      </c>
      <c r="I4" s="21"/>
    </row>
    <row r="5" spans="1:12" ht="15" customHeight="1">
      <c r="B5" s="12"/>
      <c r="C5" s="13"/>
      <c r="D5" s="16"/>
      <c r="E5" s="17"/>
      <c r="F5" s="16"/>
      <c r="G5" s="17"/>
      <c r="H5" s="16"/>
      <c r="I5" s="21"/>
    </row>
    <row r="8" spans="1:12">
      <c r="A8" t="s">
        <v>81</v>
      </c>
      <c r="B8" t="s">
        <v>0</v>
      </c>
      <c r="C8" t="s">
        <v>32</v>
      </c>
      <c r="D8" t="s">
        <v>33</v>
      </c>
      <c r="E8" t="s">
        <v>51</v>
      </c>
      <c r="F8" t="s">
        <v>52</v>
      </c>
      <c r="G8" t="s">
        <v>58</v>
      </c>
      <c r="H8" t="s">
        <v>59</v>
      </c>
      <c r="I8" t="s">
        <v>4</v>
      </c>
      <c r="J8" t="s">
        <v>65</v>
      </c>
    </row>
    <row r="9" spans="1:12">
      <c r="A9" s="4">
        <v>45742.176563867135</v>
      </c>
      <c r="B9" s="2" t="s">
        <v>5</v>
      </c>
      <c r="C9" t="str">
        <f>VLOOKUP(VLOOKUP(tb1dashboard[[#This Row],[Invoice ID]],tb1sales[],2,0),tb1employee[],2,0)</f>
        <v>Rahul</v>
      </c>
      <c r="D9" t="str">
        <f>VLOOKUP(VLOOKUP(tb1dashboard[[#This Row],[Invoice ID]],tb1sales[],2,0),tb1employee[],3,0)</f>
        <v>Sales</v>
      </c>
      <c r="E9" t="str">
        <f>VLOOKUP(VLOOKUP(tb1dashboard[[#This Row],[Invoice ID]],tb1sales[],3,0),tb1product[],2,0)</f>
        <v>Laptop</v>
      </c>
      <c r="F9">
        <f>VLOOKUP(VLOOKUP(tb1dashboard[[#This Row],[Invoice ID]],tb1sales[],3,0),tb1product[],3,0)</f>
        <v>55000</v>
      </c>
      <c r="G9" t="str">
        <f>VLOOKUP(VLOOKUP(tb1dashboard[[#This Row],[Invoice ID]],tb1sales[],4,0),tb1customer[],2,0)</f>
        <v>ABC Traders</v>
      </c>
      <c r="H9" t="str">
        <f>VLOOKUP(VLOOKUP(tb1dashboard[[#This Row],[Invoice ID]],tb1sales[],4,0),tb1customer[],3,0)</f>
        <v>Delhi</v>
      </c>
      <c r="I9">
        <f>VLOOKUP(tb1dashboard[[#This Row],[Invoice ID]],tb1sales[],5,0)</f>
        <v>2</v>
      </c>
      <c r="J9">
        <f>F9*I9</f>
        <v>110000</v>
      </c>
    </row>
    <row r="10" spans="1:12">
      <c r="A10" s="4">
        <v>45744.132994015235</v>
      </c>
      <c r="B10" s="2" t="s">
        <v>9</v>
      </c>
      <c r="C10" t="str">
        <f>VLOOKUP(VLOOKUP(tb1dashboard[[#This Row],[Invoice ID]],tb1sales[],2,0),tb1employee[],2,0)</f>
        <v>Aman</v>
      </c>
      <c r="D10" t="str">
        <f>VLOOKUP(VLOOKUP(tb1dashboard[[#This Row],[Invoice ID]],tb1sales[],2,0),tb1employee[],3,0)</f>
        <v>Finance</v>
      </c>
      <c r="E10" t="str">
        <f>VLOOKUP(VLOOKUP(tb1dashboard[[#This Row],[Invoice ID]],tb1sales[],3,0),tb1product[],2,0)</f>
        <v>Printer</v>
      </c>
      <c r="F10">
        <f>VLOOKUP(VLOOKUP(tb1dashboard[[#This Row],[Invoice ID]],tb1sales[],3,0),tb1product[],3,0)</f>
        <v>12000</v>
      </c>
      <c r="G10" t="str">
        <f>VLOOKUP(VLOOKUP(tb1dashboard[[#This Row],[Invoice ID]],tb1sales[],4,0),tb1customer[],2,0)</f>
        <v>PQR Solutions</v>
      </c>
      <c r="H10" t="str">
        <f>VLOOKUP(VLOOKUP(tb1dashboard[[#This Row],[Invoice ID]],tb1sales[],4,0),tb1customer[],3,0)</f>
        <v>Jaipur</v>
      </c>
      <c r="I10">
        <f>VLOOKUP(tb1dashboard[[#This Row],[Invoice ID]],tb1sales[],5,0)</f>
        <v>1</v>
      </c>
      <c r="J10">
        <f t="shared" ref="J10:J18" si="0">F10*I10</f>
        <v>12000</v>
      </c>
      <c r="L10" s="4"/>
    </row>
    <row r="11" spans="1:12">
      <c r="A11" s="4">
        <v>45699.499577755727</v>
      </c>
      <c r="B11" s="2" t="s">
        <v>13</v>
      </c>
      <c r="C11" t="str">
        <f>VLOOKUP(VLOOKUP(tb1dashboard[[#This Row],[Invoice ID]],tb1sales[],2,0),tb1employee[],2,0)</f>
        <v>Rohit</v>
      </c>
      <c r="D11" t="str">
        <f>VLOOKUP(VLOOKUP(tb1dashboard[[#This Row],[Invoice ID]],tb1sales[],2,0),tb1employee[],3,0)</f>
        <v>Sales</v>
      </c>
      <c r="E11" t="str">
        <f>VLOOKUP(VLOOKUP(tb1dashboard[[#This Row],[Invoice ID]],tb1sales[],3,0),tb1product[],2,0)</f>
        <v>Mobile</v>
      </c>
      <c r="F11">
        <f>VLOOKUP(VLOOKUP(tb1dashboard[[#This Row],[Invoice ID]],tb1sales[],3,0),tb1product[],3,0)</f>
        <v>18000</v>
      </c>
      <c r="G11" t="str">
        <f>VLOOKUP(VLOOKUP(tb1dashboard[[#This Row],[Invoice ID]],tb1sales[],4,0),tb1customer[],2,0)</f>
        <v>LMN Stores</v>
      </c>
      <c r="H11" t="str">
        <f>VLOOKUP(VLOOKUP(tb1dashboard[[#This Row],[Invoice ID]],tb1sales[],4,0),tb1customer[],3,0)</f>
        <v>Pune</v>
      </c>
      <c r="I11">
        <f>VLOOKUP(tb1dashboard[[#This Row],[Invoice ID]],tb1sales[],5,0)</f>
        <v>4</v>
      </c>
      <c r="J11">
        <f t="shared" si="0"/>
        <v>72000</v>
      </c>
      <c r="L11" s="3"/>
    </row>
    <row r="12" spans="1:12">
      <c r="A12" s="4">
        <v>45667.3927545103</v>
      </c>
      <c r="B12" s="2" t="s">
        <v>17</v>
      </c>
      <c r="C12" t="str">
        <f>VLOOKUP(VLOOKUP(tb1dashboard[[#This Row],[Invoice ID]],tb1sales[],2,0),tb1employee[],2,0)</f>
        <v>Priya</v>
      </c>
      <c r="D12" t="str">
        <f>VLOOKUP(VLOOKUP(tb1dashboard[[#This Row],[Invoice ID]],tb1sales[],2,0),tb1employee[],3,0)</f>
        <v>HR</v>
      </c>
      <c r="E12" t="str">
        <f>VLOOKUP(VLOOKUP(tb1dashboard[[#This Row],[Invoice ID]],tb1sales[],3,0),tb1product[],2,0)</f>
        <v>Tablet</v>
      </c>
      <c r="F12">
        <f>VLOOKUP(VLOOKUP(tb1dashboard[[#This Row],[Invoice ID]],tb1sales[],3,0),tb1product[],3,0)</f>
        <v>25000</v>
      </c>
      <c r="G12" t="str">
        <f>VLOOKUP(VLOOKUP(tb1dashboard[[#This Row],[Invoice ID]],tb1sales[],4,0),tb1customer[],2,0)</f>
        <v>ABC Traders</v>
      </c>
      <c r="H12" t="str">
        <f>VLOOKUP(VLOOKUP(tb1dashboard[[#This Row],[Invoice ID]],tb1sales[],4,0),tb1customer[],3,0)</f>
        <v>Delhi</v>
      </c>
      <c r="I12">
        <f>VLOOKUP(tb1dashboard[[#This Row],[Invoice ID]],tb1sales[],5,0)</f>
        <v>3</v>
      </c>
      <c r="J12">
        <f t="shared" si="0"/>
        <v>75000</v>
      </c>
      <c r="L12" s="4"/>
    </row>
    <row r="13" spans="1:12">
      <c r="A13" s="4">
        <v>45693.286874358186</v>
      </c>
      <c r="B13" s="2" t="s">
        <v>20</v>
      </c>
      <c r="C13" t="str">
        <f>VLOOKUP(VLOOKUP(tb1dashboard[[#This Row],[Invoice ID]],tb1sales[],2,0),tb1employee[],2,0)</f>
        <v>Neha</v>
      </c>
      <c r="D13" t="str">
        <f>VLOOKUP(VLOOKUP(tb1dashboard[[#This Row],[Invoice ID]],tb1sales[],2,0),tb1employee[],3,0)</f>
        <v>Marketing</v>
      </c>
      <c r="E13" t="str">
        <f>VLOOKUP(VLOOKUP(tb1dashboard[[#This Row],[Invoice ID]],tb1sales[],3,0),tb1product[],2,0)</f>
        <v>Monitor</v>
      </c>
      <c r="F13">
        <f>VLOOKUP(VLOOKUP(tb1dashboard[[#This Row],[Invoice ID]],tb1sales[],3,0),tb1product[],3,0)</f>
        <v>15000</v>
      </c>
      <c r="G13" t="str">
        <f>VLOOKUP(VLOOKUP(tb1dashboard[[#This Row],[Invoice ID]],tb1sales[],4,0),tb1customer[],2,0)</f>
        <v>XYZ Enterprises</v>
      </c>
      <c r="H13" t="str">
        <f>VLOOKUP(VLOOKUP(tb1dashboard[[#This Row],[Invoice ID]],tb1sales[],4,0),tb1customer[],3,0)</f>
        <v>Mumbai</v>
      </c>
      <c r="I13">
        <f>VLOOKUP(tb1dashboard[[#This Row],[Invoice ID]],tb1sales[],5,0)</f>
        <v>2</v>
      </c>
      <c r="J13">
        <f t="shared" si="0"/>
        <v>30000</v>
      </c>
      <c r="L13" s="4"/>
    </row>
    <row r="14" spans="1:12">
      <c r="A14" s="4">
        <v>45710.871000247404</v>
      </c>
      <c r="B14" s="2" t="s">
        <v>24</v>
      </c>
      <c r="C14" t="str">
        <f>VLOOKUP(VLOOKUP(tb1dashboard[[#This Row],[Invoice ID]],tb1sales[],2,0),tb1employee[],2,0)</f>
        <v>Kavita</v>
      </c>
      <c r="D14" t="str">
        <f>VLOOKUP(VLOOKUP(tb1dashboard[[#This Row],[Invoice ID]],tb1sales[],2,0),tb1employee[],3,0)</f>
        <v>Finance</v>
      </c>
      <c r="E14" t="str">
        <f>VLOOKUP(VLOOKUP(tb1dashboard[[#This Row],[Invoice ID]],tb1sales[],3,0),tb1product[],2,0)</f>
        <v>Laptop</v>
      </c>
      <c r="F14">
        <f>VLOOKUP(VLOOKUP(tb1dashboard[[#This Row],[Invoice ID]],tb1sales[],3,0),tb1product[],3,0)</f>
        <v>55000</v>
      </c>
      <c r="G14" t="str">
        <f>VLOOKUP(VLOOKUP(tb1dashboard[[#This Row],[Invoice ID]],tb1sales[],4,0),tb1customer[],2,0)</f>
        <v>Bright Tech</v>
      </c>
      <c r="H14" t="str">
        <f>VLOOKUP(VLOOKUP(tb1dashboard[[#This Row],[Invoice ID]],tb1sales[],4,0),tb1customer[],3,0)</f>
        <v>Chennai</v>
      </c>
      <c r="I14">
        <f>VLOOKUP(tb1dashboard[[#This Row],[Invoice ID]],tb1sales[],5,0)</f>
        <v>5</v>
      </c>
      <c r="J14">
        <f t="shared" si="0"/>
        <v>275000</v>
      </c>
      <c r="L14" s="4"/>
    </row>
    <row r="15" spans="1:12">
      <c r="A15" s="4">
        <v>45665.291895980365</v>
      </c>
      <c r="B15" s="2" t="s">
        <v>27</v>
      </c>
      <c r="C15" t="str">
        <f>VLOOKUP(VLOOKUP(tb1dashboard[[#This Row],[Invoice ID]],tb1sales[],2,0),tb1employee[],2,0)</f>
        <v>Rahul</v>
      </c>
      <c r="D15" t="str">
        <f>VLOOKUP(VLOOKUP(tb1dashboard[[#This Row],[Invoice ID]],tb1sales[],2,0),tb1employee[],3,0)</f>
        <v>Sales</v>
      </c>
      <c r="E15" t="str">
        <f>VLOOKUP(VLOOKUP(tb1dashboard[[#This Row],[Invoice ID]],tb1sales[],3,0),tb1product[],2,0)</f>
        <v>Printer</v>
      </c>
      <c r="F15">
        <f>VLOOKUP(VLOOKUP(tb1dashboard[[#This Row],[Invoice ID]],tb1sales[],3,0),tb1product[],3,0)</f>
        <v>12000</v>
      </c>
      <c r="G15" t="str">
        <f>VLOOKUP(VLOOKUP(tb1dashboard[[#This Row],[Invoice ID]],tb1sales[],4,0),tb1customer[],2,0)</f>
        <v>XYZ Enterprises</v>
      </c>
      <c r="H15" t="str">
        <f>VLOOKUP(VLOOKUP(tb1dashboard[[#This Row],[Invoice ID]],tb1sales[],4,0),tb1customer[],3,0)</f>
        <v>Mumbai</v>
      </c>
      <c r="I15">
        <f>VLOOKUP(tb1dashboard[[#This Row],[Invoice ID]],tb1sales[],5,0)</f>
        <v>1</v>
      </c>
      <c r="J15">
        <f t="shared" si="0"/>
        <v>12000</v>
      </c>
      <c r="L15" s="4"/>
    </row>
    <row r="16" spans="1:12">
      <c r="A16" s="4">
        <v>45666.765510798381</v>
      </c>
      <c r="B16" s="2" t="s">
        <v>28</v>
      </c>
      <c r="C16" t="str">
        <f>VLOOKUP(VLOOKUP(tb1dashboard[[#This Row],[Invoice ID]],tb1sales[],2,0),tb1employee[],2,0)</f>
        <v>Arjun</v>
      </c>
      <c r="D16" t="str">
        <f>VLOOKUP(VLOOKUP(tb1dashboard[[#This Row],[Invoice ID]],tb1sales[],2,0),tb1employee[],3,0)</f>
        <v>HR</v>
      </c>
      <c r="E16" t="str">
        <f>VLOOKUP(VLOOKUP(tb1dashboard[[#This Row],[Invoice ID]],tb1sales[],3,0),tb1product[],2,0)</f>
        <v>Mobile</v>
      </c>
      <c r="F16">
        <f>VLOOKUP(VLOOKUP(tb1dashboard[[#This Row],[Invoice ID]],tb1sales[],3,0),tb1product[],3,0)</f>
        <v>18000</v>
      </c>
      <c r="G16" t="str">
        <f>VLOOKUP(VLOOKUP(tb1dashboard[[#This Row],[Invoice ID]],tb1sales[],4,0),tb1customer[],2,0)</f>
        <v>LMN Stores</v>
      </c>
      <c r="H16" t="str">
        <f>VLOOKUP(VLOOKUP(tb1dashboard[[#This Row],[Invoice ID]],tb1sales[],4,0),tb1customer[],3,0)</f>
        <v>Pune</v>
      </c>
      <c r="I16">
        <f>VLOOKUP(tb1dashboard[[#This Row],[Invoice ID]],tb1sales[],5,0)</f>
        <v>6</v>
      </c>
      <c r="J16">
        <f t="shared" si="0"/>
        <v>108000</v>
      </c>
      <c r="L16" s="4"/>
    </row>
    <row r="17" spans="1:12">
      <c r="A17" s="4">
        <v>45722.07760682956</v>
      </c>
      <c r="B17" s="2" t="s">
        <v>30</v>
      </c>
      <c r="C17" t="str">
        <f>VLOOKUP(VLOOKUP(tb1dashboard[[#This Row],[Invoice ID]],tb1sales[],2,0),tb1employee[],2,0)</f>
        <v>Aman</v>
      </c>
      <c r="D17" t="str">
        <f>VLOOKUP(VLOOKUP(tb1dashboard[[#This Row],[Invoice ID]],tb1sales[],2,0),tb1employee[],3,0)</f>
        <v>Finance</v>
      </c>
      <c r="E17" t="str">
        <f>VLOOKUP(VLOOKUP(tb1dashboard[[#This Row],[Invoice ID]],tb1sales[],3,0),tb1product[],2,0)</f>
        <v>Monitor</v>
      </c>
      <c r="F17">
        <f>VLOOKUP(VLOOKUP(tb1dashboard[[#This Row],[Invoice ID]],tb1sales[],3,0),tb1product[],3,0)</f>
        <v>15000</v>
      </c>
      <c r="G17" t="str">
        <f>VLOOKUP(VLOOKUP(tb1dashboard[[#This Row],[Invoice ID]],tb1sales[],4,0),tb1customer[],2,0)</f>
        <v>PQR Solutions</v>
      </c>
      <c r="H17" t="str">
        <f>VLOOKUP(VLOOKUP(tb1dashboard[[#This Row],[Invoice ID]],tb1sales[],4,0),tb1customer[],3,0)</f>
        <v>Jaipur</v>
      </c>
      <c r="I17">
        <f>VLOOKUP(tb1dashboard[[#This Row],[Invoice ID]],tb1sales[],5,0)</f>
        <v>2</v>
      </c>
      <c r="J17">
        <f t="shared" si="0"/>
        <v>30000</v>
      </c>
      <c r="L17" s="4"/>
    </row>
    <row r="18" spans="1:12">
      <c r="A18" s="4">
        <v>45667.933653650791</v>
      </c>
      <c r="B18" s="2" t="s">
        <v>31</v>
      </c>
      <c r="C18" t="str">
        <f>VLOOKUP(VLOOKUP(tb1dashboard[[#This Row],[Invoice ID]],tb1sales[],2,0),tb1employee[],2,0)</f>
        <v>Rohit</v>
      </c>
      <c r="D18" t="str">
        <f>VLOOKUP(VLOOKUP(tb1dashboard[[#This Row],[Invoice ID]],tb1sales[],2,0),tb1employee[],3,0)</f>
        <v>Sales</v>
      </c>
      <c r="E18" t="str">
        <f>VLOOKUP(VLOOKUP(tb1dashboard[[#This Row],[Invoice ID]],tb1sales[],3,0),tb1product[],2,0)</f>
        <v>Tablet</v>
      </c>
      <c r="F18">
        <f>VLOOKUP(VLOOKUP(tb1dashboard[[#This Row],[Invoice ID]],tb1sales[],3,0),tb1product[],3,0)</f>
        <v>25000</v>
      </c>
      <c r="G18" t="str">
        <f>VLOOKUP(VLOOKUP(tb1dashboard[[#This Row],[Invoice ID]],tb1sales[],4,0),tb1customer[],2,0)</f>
        <v>Bright Tech</v>
      </c>
      <c r="H18" t="str">
        <f>VLOOKUP(VLOOKUP(tb1dashboard[[#This Row],[Invoice ID]],tb1sales[],4,0),tb1customer[],3,0)</f>
        <v>Chennai</v>
      </c>
      <c r="I18">
        <f>VLOOKUP(tb1dashboard[[#This Row],[Invoice ID]],tb1sales[],5,0)</f>
        <v>3</v>
      </c>
      <c r="J18">
        <f t="shared" si="0"/>
        <v>75000</v>
      </c>
      <c r="L18" s="4"/>
    </row>
    <row r="19" spans="1:12">
      <c r="A19" s="4">
        <v>45688.835641919337</v>
      </c>
      <c r="B19" s="2" t="s">
        <v>71</v>
      </c>
      <c r="C19" t="str">
        <f>VLOOKUP(VLOOKUP(tb1dashboard[[#This Row],[Invoice ID]],tb1sales[],2,0),tb1employee[],2,0)</f>
        <v>Kavita</v>
      </c>
      <c r="D19" t="str">
        <f>VLOOKUP(VLOOKUP(tb1dashboard[[#This Row],[Invoice ID]],tb1sales[],2,0),tb1employee[],3,0)</f>
        <v>Finance</v>
      </c>
      <c r="E19" t="str">
        <f>VLOOKUP(VLOOKUP(tb1dashboard[[#This Row],[Invoice ID]],tb1sales[],3,0),tb1product[],2,0)</f>
        <v>Printer</v>
      </c>
      <c r="F19">
        <f>VLOOKUP(VLOOKUP(tb1dashboard[[#This Row],[Invoice ID]],tb1sales[],3,0),tb1product[],3,0)</f>
        <v>12000</v>
      </c>
      <c r="G19" t="str">
        <f>VLOOKUP(VLOOKUP(tb1dashboard[[#This Row],[Invoice ID]],tb1sales[],4,0),tb1customer[],2,0)</f>
        <v>Electro Centre</v>
      </c>
      <c r="H19" t="str">
        <f>VLOOKUP(VLOOKUP(tb1dashboard[[#This Row],[Invoice ID]],tb1sales[],4,0),tb1customer[],3,0)</f>
        <v>HR</v>
      </c>
      <c r="I19">
        <f>VLOOKUP(tb1dashboard[[#This Row],[Invoice ID]],tb1sales[],5,0)</f>
        <v>5</v>
      </c>
      <c r="J19">
        <f>F19*I19</f>
        <v>60000</v>
      </c>
    </row>
    <row r="20" spans="1:12">
      <c r="A20" s="4">
        <v>45736.005628874271</v>
      </c>
      <c r="B20" s="2" t="s">
        <v>78</v>
      </c>
      <c r="C20" t="str">
        <f>VLOOKUP(VLOOKUP(tb1dashboard[[#This Row],[Invoice ID]],tb1sales[],2,0),tb1employee[],2,0)</f>
        <v>SOHAN</v>
      </c>
      <c r="D20" t="str">
        <f>VLOOKUP(VLOOKUP(tb1dashboard[[#This Row],[Invoice ID]],tb1sales[],2,0),tb1employee[],3,0)</f>
        <v>HR</v>
      </c>
      <c r="E20" t="str">
        <f>VLOOKUP(VLOOKUP(tb1dashboard[[#This Row],[Invoice ID]],tb1sales[],3,0),tb1product[],2,0)</f>
        <v>Laptop</v>
      </c>
      <c r="F20">
        <f>VLOOKUP(VLOOKUP(tb1dashboard[[#This Row],[Invoice ID]],tb1sales[],3,0),tb1product[],3,0)</f>
        <v>30000</v>
      </c>
      <c r="G20" t="str">
        <f>VLOOKUP(VLOOKUP(tb1dashboard[[#This Row],[Invoice ID]],tb1sales[],4,0),tb1customer[],2,0)</f>
        <v>Tech Sol</v>
      </c>
      <c r="H20" t="str">
        <f>VLOOKUP(VLOOKUP(tb1dashboard[[#This Row],[Invoice ID]],tb1sales[],4,0),tb1customer[],3,0)</f>
        <v>Delhi</v>
      </c>
      <c r="I20">
        <f>VLOOKUP(tb1dashboard[[#This Row],[Invoice ID]],tb1sales[],5,0)</f>
        <v>8</v>
      </c>
      <c r="J20">
        <f>F20*I20</f>
        <v>240000</v>
      </c>
    </row>
  </sheetData>
  <mergeCells count="9">
    <mergeCell ref="B1:J1"/>
    <mergeCell ref="B3:C3"/>
    <mergeCell ref="B4:C5"/>
    <mergeCell ref="D3:E3"/>
    <mergeCell ref="D4:E5"/>
    <mergeCell ref="F3:G3"/>
    <mergeCell ref="F4:G5"/>
    <mergeCell ref="H3:I3"/>
    <mergeCell ref="H4:I5"/>
  </mergeCells>
  <pageMargins left="0.7" right="0.7" top="0.75" bottom="0.75" header="0.3" footer="0.3"/>
  <pageSetup orientation="portrait" r:id="rId1"/>
  <ignoredErrors>
    <ignoredError sqref="I9 C9" calculatedColumn="1"/>
  </ignoredError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3EE37-D412-4F56-AF50-13454B2E05B3}">
  <dimension ref="A3:B12"/>
  <sheetViews>
    <sheetView workbookViewId="0">
      <selection activeCell="B7" sqref="B7"/>
    </sheetView>
  </sheetViews>
  <sheetFormatPr defaultRowHeight="15"/>
  <cols>
    <col min="1" max="1" width="13.140625" bestFit="1" customWidth="1"/>
    <col min="2" max="2" width="14.85546875" bestFit="1" customWidth="1"/>
    <col min="3" max="4" width="7" bestFit="1" customWidth="1"/>
    <col min="5" max="5" width="11.28515625" bestFit="1" customWidth="1"/>
    <col min="6" max="6" width="8.7109375" bestFit="1" customWidth="1"/>
    <col min="7" max="8" width="7" bestFit="1" customWidth="1"/>
    <col min="9" max="9" width="11.28515625" bestFit="1" customWidth="1"/>
    <col min="10" max="10" width="9.140625" bestFit="1" customWidth="1"/>
    <col min="11" max="14" width="7.28515625" bestFit="1" customWidth="1"/>
    <col min="15" max="15" width="9.42578125" bestFit="1" customWidth="1"/>
    <col min="16" max="16" width="11.28515625" bestFit="1" customWidth="1"/>
  </cols>
  <sheetData>
    <row r="3" spans="1:2">
      <c r="A3" s="5" t="s">
        <v>82</v>
      </c>
      <c r="B3" t="s">
        <v>84</v>
      </c>
    </row>
    <row r="4" spans="1:2">
      <c r="A4" s="6" t="s">
        <v>49</v>
      </c>
      <c r="B4" s="3">
        <v>335000</v>
      </c>
    </row>
    <row r="5" spans="1:2">
      <c r="A5" s="6" t="s">
        <v>72</v>
      </c>
      <c r="B5" s="3">
        <v>240000</v>
      </c>
    </row>
    <row r="6" spans="1:2">
      <c r="A6" s="6" t="s">
        <v>47</v>
      </c>
      <c r="B6" s="3">
        <v>147000</v>
      </c>
    </row>
    <row r="7" spans="1:2">
      <c r="A7" s="6" t="s">
        <v>35</v>
      </c>
      <c r="B7" s="3">
        <v>122000</v>
      </c>
    </row>
    <row r="8" spans="1:2">
      <c r="A8" s="6" t="s">
        <v>50</v>
      </c>
      <c r="B8" s="3">
        <v>108000</v>
      </c>
    </row>
    <row r="9" spans="1:2">
      <c r="A9" s="6" t="s">
        <v>38</v>
      </c>
      <c r="B9" s="3">
        <v>75000</v>
      </c>
    </row>
    <row r="10" spans="1:2">
      <c r="A10" s="6" t="s">
        <v>41</v>
      </c>
      <c r="B10" s="3">
        <v>42000</v>
      </c>
    </row>
    <row r="11" spans="1:2">
      <c r="A11" s="6" t="s">
        <v>44</v>
      </c>
      <c r="B11" s="3">
        <v>30000</v>
      </c>
    </row>
    <row r="12" spans="1:2">
      <c r="A12" s="6" t="s">
        <v>83</v>
      </c>
      <c r="B12" s="3">
        <v>1099000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CF0E2-2C43-4205-89EA-F05AD54ABED7}">
  <dimension ref="A3:B12"/>
  <sheetViews>
    <sheetView workbookViewId="0">
      <selection activeCell="B6" sqref="B6"/>
    </sheetView>
  </sheetViews>
  <sheetFormatPr defaultRowHeight="15"/>
  <cols>
    <col min="1" max="1" width="13.140625" bestFit="1" customWidth="1"/>
    <col min="2" max="2" width="18" bestFit="1" customWidth="1"/>
  </cols>
  <sheetData>
    <row r="3" spans="1:2">
      <c r="A3" s="5" t="s">
        <v>82</v>
      </c>
      <c r="B3" t="s">
        <v>85</v>
      </c>
    </row>
    <row r="4" spans="1:2">
      <c r="A4" s="6" t="s">
        <v>47</v>
      </c>
      <c r="B4" s="3">
        <v>2</v>
      </c>
    </row>
    <row r="5" spans="1:2">
      <c r="A5" s="6" t="s">
        <v>35</v>
      </c>
      <c r="B5" s="3">
        <v>2</v>
      </c>
    </row>
    <row r="6" spans="1:2">
      <c r="A6" s="6" t="s">
        <v>49</v>
      </c>
      <c r="B6" s="3">
        <v>2</v>
      </c>
    </row>
    <row r="7" spans="1:2">
      <c r="A7" s="6" t="s">
        <v>41</v>
      </c>
      <c r="B7" s="3">
        <v>2</v>
      </c>
    </row>
    <row r="8" spans="1:2">
      <c r="A8" s="6" t="s">
        <v>38</v>
      </c>
      <c r="B8" s="3">
        <v>1</v>
      </c>
    </row>
    <row r="9" spans="1:2">
      <c r="A9" s="6" t="s">
        <v>72</v>
      </c>
      <c r="B9" s="3">
        <v>1</v>
      </c>
    </row>
    <row r="10" spans="1:2">
      <c r="A10" s="6" t="s">
        <v>50</v>
      </c>
      <c r="B10" s="3">
        <v>1</v>
      </c>
    </row>
    <row r="11" spans="1:2">
      <c r="A11" s="6" t="s">
        <v>44</v>
      </c>
      <c r="B11" s="3">
        <v>1</v>
      </c>
    </row>
    <row r="12" spans="1:2">
      <c r="A12" s="6" t="s">
        <v>83</v>
      </c>
      <c r="B12" s="3">
        <v>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7FB67-B4F7-469B-969D-AC64BF73A34F}">
  <dimension ref="A3:B7"/>
  <sheetViews>
    <sheetView workbookViewId="0">
      <selection activeCell="N9" sqref="N9"/>
    </sheetView>
  </sheetViews>
  <sheetFormatPr defaultRowHeight="15"/>
  <cols>
    <col min="1" max="1" width="13.140625" bestFit="1" customWidth="1"/>
    <col min="2" max="2" width="14.85546875" bestFit="1" customWidth="1"/>
  </cols>
  <sheetData>
    <row r="3" spans="1:2">
      <c r="A3" s="5" t="s">
        <v>82</v>
      </c>
      <c r="B3" t="s">
        <v>84</v>
      </c>
    </row>
    <row r="4" spans="1:2">
      <c r="A4" s="6" t="s">
        <v>86</v>
      </c>
      <c r="B4" s="3">
        <v>330000</v>
      </c>
    </row>
    <row r="5" spans="1:2">
      <c r="A5" s="6" t="s">
        <v>87</v>
      </c>
      <c r="B5" s="3">
        <v>377000</v>
      </c>
    </row>
    <row r="6" spans="1:2">
      <c r="A6" s="6" t="s">
        <v>88</v>
      </c>
      <c r="B6" s="3">
        <v>392000</v>
      </c>
    </row>
    <row r="7" spans="1:2">
      <c r="A7" s="6" t="s">
        <v>83</v>
      </c>
      <c r="B7" s="3">
        <v>1099000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68D27-656E-42B3-AD63-A7DF4405D32A}">
  <dimension ref="A3:B9"/>
  <sheetViews>
    <sheetView workbookViewId="0">
      <selection activeCell="B6" sqref="B6"/>
    </sheetView>
  </sheetViews>
  <sheetFormatPr defaultRowHeight="15"/>
  <cols>
    <col min="1" max="1" width="13.140625" bestFit="1" customWidth="1"/>
    <col min="2" max="2" width="14.85546875" bestFit="1" customWidth="1"/>
  </cols>
  <sheetData>
    <row r="3" spans="1:2">
      <c r="A3" s="5" t="s">
        <v>82</v>
      </c>
      <c r="B3" t="s">
        <v>84</v>
      </c>
    </row>
    <row r="4" spans="1:2">
      <c r="A4" s="6" t="s">
        <v>53</v>
      </c>
      <c r="B4" s="3">
        <v>625000</v>
      </c>
    </row>
    <row r="5" spans="1:2">
      <c r="A5" s="6" t="s">
        <v>54</v>
      </c>
      <c r="B5" s="3">
        <v>180000</v>
      </c>
    </row>
    <row r="6" spans="1:2">
      <c r="A6" s="6" t="s">
        <v>55</v>
      </c>
      <c r="B6" s="3">
        <v>150000</v>
      </c>
    </row>
    <row r="7" spans="1:2">
      <c r="A7" s="6" t="s">
        <v>56</v>
      </c>
      <c r="B7" s="3">
        <v>84000</v>
      </c>
    </row>
    <row r="8" spans="1:2">
      <c r="A8" s="6" t="s">
        <v>57</v>
      </c>
      <c r="B8" s="3">
        <v>60000</v>
      </c>
    </row>
    <row r="9" spans="1:2">
      <c r="A9" s="6" t="s">
        <v>83</v>
      </c>
      <c r="B9" s="3">
        <v>1099000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F4CE7-4844-47BD-BBB6-6E0EA91DA7CF}">
  <dimension ref="A1:J11"/>
  <sheetViews>
    <sheetView workbookViewId="0">
      <selection activeCell="C6" sqref="C6"/>
    </sheetView>
  </sheetViews>
  <sheetFormatPr defaultRowHeight="15"/>
  <cols>
    <col min="1" max="1" width="14.85546875" bestFit="1" customWidth="1"/>
    <col min="3" max="3" width="10.7109375" bestFit="1" customWidth="1"/>
    <col min="6" max="6" width="18" bestFit="1" customWidth="1"/>
  </cols>
  <sheetData>
    <row r="1" spans="1:10">
      <c r="A1" t="s">
        <v>84</v>
      </c>
    </row>
    <row r="2" spans="1:10">
      <c r="A2" s="3">
        <v>1099000</v>
      </c>
    </row>
    <row r="3" spans="1:10">
      <c r="F3" t="s">
        <v>85</v>
      </c>
    </row>
    <row r="4" spans="1:10">
      <c r="F4" s="3">
        <v>12</v>
      </c>
    </row>
    <row r="5" spans="1:10">
      <c r="C5" t="s">
        <v>89</v>
      </c>
    </row>
    <row r="6" spans="1:10">
      <c r="C6" s="3">
        <v>42</v>
      </c>
    </row>
    <row r="11" spans="1:10">
      <c r="J11">
        <f>SUM(tb1dashboard[Qty])</f>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Sales Data</vt:lpstr>
      <vt:lpstr>Employee Master</vt:lpstr>
      <vt:lpstr>Product Master</vt:lpstr>
      <vt:lpstr>Customer Master</vt:lpstr>
      <vt:lpstr>Report Data</vt:lpstr>
      <vt:lpstr>Pivot table 1 (Revenue)</vt:lpstr>
      <vt:lpstr>Pivot 2 (Order)</vt:lpstr>
      <vt:lpstr>Pivot3 (Revenue by date)</vt:lpstr>
      <vt:lpstr>Pivot4 (Revenue by product)</vt:lpstr>
      <vt:lpstr>Pivot sheet for 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khichi</dc:creator>
  <cp:lastModifiedBy>yash khichi</cp:lastModifiedBy>
  <dcterms:created xsi:type="dcterms:W3CDTF">2026-06-29T07:11:57Z</dcterms:created>
  <dcterms:modified xsi:type="dcterms:W3CDTF">2026-07-02T16:13:36Z</dcterms:modified>
</cp:coreProperties>
</file>